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o\Desktop\QFTC\"/>
    </mc:Choice>
  </mc:AlternateContent>
  <bookViews>
    <workbookView xWindow="480" yWindow="360" windowWidth="14115" windowHeight="4440" tabRatio="783"/>
  </bookViews>
  <sheets>
    <sheet name="Put y call Europeo" sheetId="1" r:id="rId1"/>
    <sheet name="St" sheetId="2" r:id="rId2"/>
    <sheet name="Put " sheetId="3" r:id="rId3"/>
    <sheet name="Call " sheetId="4" r:id="rId4"/>
    <sheet name="Alphas(call)" sheetId="5" r:id="rId5"/>
    <sheet name="Beta(call)" sheetId="6" r:id="rId6"/>
    <sheet name="Alphas(put)" sheetId="7" r:id="rId7"/>
    <sheet name="Betas(put)" sheetId="8" r:id="rId8"/>
    <sheet name="Put Americana" sheetId="9" r:id="rId9"/>
    <sheet name="Call Americano" sheetId="10" r:id="rId10"/>
    <sheet name="B&amp;S y Montecarlo" sheetId="11" state="hidden" r:id="rId11"/>
  </sheets>
  <definedNames>
    <definedName name="solver_adj" localSheetId="0" hidden="1">'Put y call Europeo'!$B$7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'Put y call Europeo'!$B$7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20</definedName>
    <definedName name="solver_ver" localSheetId="0" hidden="1">3</definedName>
  </definedNames>
  <calcPr calcId="171027"/>
</workbook>
</file>

<file path=xl/calcChain.xml><?xml version="1.0" encoding="utf-8"?>
<calcChain xmlns="http://schemas.openxmlformats.org/spreadsheetml/2006/main">
  <c r="B1" i="1" l="1"/>
  <c r="B12" i="1"/>
  <c r="B28" i="10"/>
  <c r="B26" i="10"/>
  <c r="C27" i="10" s="1"/>
  <c r="B24" i="10"/>
  <c r="C25" i="10" s="1"/>
  <c r="D26" i="10" s="1"/>
  <c r="B22" i="10"/>
  <c r="C23" i="10" s="1"/>
  <c r="B20" i="10"/>
  <c r="C21" i="10" s="1"/>
  <c r="B18" i="10"/>
  <c r="C19" i="10" s="1"/>
  <c r="D20" i="10" s="1"/>
  <c r="B16" i="10"/>
  <c r="C17" i="10" s="1"/>
  <c r="D18" i="10" s="1"/>
  <c r="E19" i="10" s="1"/>
  <c r="C15" i="10"/>
  <c r="B14" i="10"/>
  <c r="B12" i="10"/>
  <c r="C13" i="10" s="1"/>
  <c r="D14" i="10" s="1"/>
  <c r="B10" i="10"/>
  <c r="C11" i="10" s="1"/>
  <c r="D12" i="10" s="1"/>
  <c r="E13" i="10" s="1"/>
  <c r="B8" i="10"/>
  <c r="C9" i="10" s="1"/>
  <c r="C7" i="10"/>
  <c r="B6" i="10"/>
  <c r="B4" i="10"/>
  <c r="C5" i="10" s="1"/>
  <c r="D6" i="10" s="1"/>
  <c r="B28" i="9"/>
  <c r="C27" i="9"/>
  <c r="D26" i="9"/>
  <c r="B26" i="9"/>
  <c r="E25" i="9"/>
  <c r="C25" i="9"/>
  <c r="F24" i="9"/>
  <c r="D24" i="9"/>
  <c r="B24" i="9"/>
  <c r="G23" i="9"/>
  <c r="E23" i="9"/>
  <c r="C23" i="9"/>
  <c r="H22" i="9"/>
  <c r="F22" i="9"/>
  <c r="D22" i="9"/>
  <c r="B22" i="9"/>
  <c r="I21" i="9"/>
  <c r="G21" i="9"/>
  <c r="E21" i="9"/>
  <c r="C21" i="9"/>
  <c r="D20" i="9"/>
  <c r="B20" i="9"/>
  <c r="B18" i="9"/>
  <c r="C19" i="9" s="1"/>
  <c r="B16" i="9"/>
  <c r="B14" i="9"/>
  <c r="C15" i="9" s="1"/>
  <c r="B12" i="9"/>
  <c r="C13" i="9" s="1"/>
  <c r="D14" i="9" s="1"/>
  <c r="B10" i="9"/>
  <c r="C11" i="9" s="1"/>
  <c r="D12" i="9" s="1"/>
  <c r="E13" i="9" s="1"/>
  <c r="B8" i="9"/>
  <c r="B6" i="9"/>
  <c r="C7" i="9" s="1"/>
  <c r="B4" i="9"/>
  <c r="C5" i="9" s="1"/>
  <c r="D6" i="9" s="1"/>
  <c r="O56" i="1"/>
  <c r="O54" i="1"/>
  <c r="N57" i="1"/>
  <c r="N55" i="1"/>
  <c r="N53" i="1"/>
  <c r="M58" i="1"/>
  <c r="M56" i="1"/>
  <c r="M54" i="1"/>
  <c r="M52" i="1"/>
  <c r="L59" i="1"/>
  <c r="L57" i="1"/>
  <c r="L55" i="1"/>
  <c r="L53" i="1"/>
  <c r="L51" i="1"/>
  <c r="K60" i="1"/>
  <c r="K58" i="1"/>
  <c r="K56" i="1"/>
  <c r="K54" i="1"/>
  <c r="K52" i="1"/>
  <c r="K50" i="1"/>
  <c r="J61" i="1"/>
  <c r="J59" i="1"/>
  <c r="J57" i="1"/>
  <c r="J55" i="1"/>
  <c r="J53" i="1"/>
  <c r="J51" i="1"/>
  <c r="J49" i="1"/>
  <c r="I62" i="1"/>
  <c r="I60" i="1"/>
  <c r="I58" i="1"/>
  <c r="I56" i="1"/>
  <c r="I54" i="1"/>
  <c r="I52" i="1"/>
  <c r="I50" i="1"/>
  <c r="I48" i="1"/>
  <c r="H63" i="1"/>
  <c r="H61" i="1"/>
  <c r="H59" i="1"/>
  <c r="H57" i="1"/>
  <c r="H55" i="1"/>
  <c r="H53" i="1"/>
  <c r="H51" i="1"/>
  <c r="H49" i="1"/>
  <c r="H47" i="1"/>
  <c r="G64" i="1"/>
  <c r="G62" i="1"/>
  <c r="G60" i="1"/>
  <c r="G58" i="1"/>
  <c r="G56" i="1"/>
  <c r="G54" i="1"/>
  <c r="G52" i="1"/>
  <c r="G50" i="1"/>
  <c r="G48" i="1"/>
  <c r="G46" i="1"/>
  <c r="F65" i="1"/>
  <c r="F63" i="1"/>
  <c r="F61" i="1"/>
  <c r="F59" i="1"/>
  <c r="F57" i="1"/>
  <c r="F55" i="1"/>
  <c r="F53" i="1"/>
  <c r="F51" i="1"/>
  <c r="F49" i="1"/>
  <c r="F47" i="1"/>
  <c r="F45" i="1"/>
  <c r="E66" i="1"/>
  <c r="E64" i="1"/>
  <c r="E62" i="1"/>
  <c r="E60" i="1"/>
  <c r="E58" i="1"/>
  <c r="E56" i="1"/>
  <c r="E54" i="1"/>
  <c r="E52" i="1"/>
  <c r="E50" i="1"/>
  <c r="E48" i="1"/>
  <c r="E46" i="1"/>
  <c r="E44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B28" i="4"/>
  <c r="B26" i="4"/>
  <c r="C27" i="4" s="1"/>
  <c r="B24" i="4"/>
  <c r="C25" i="4" s="1"/>
  <c r="D26" i="4" s="1"/>
  <c r="B22" i="4"/>
  <c r="B20" i="4"/>
  <c r="C21" i="4" s="1"/>
  <c r="B18" i="4"/>
  <c r="C19" i="4" s="1"/>
  <c r="D20" i="4" s="1"/>
  <c r="B16" i="4"/>
  <c r="C17" i="4" s="1"/>
  <c r="D18" i="4" s="1"/>
  <c r="E19" i="4" s="1"/>
  <c r="B14" i="4"/>
  <c r="B12" i="4"/>
  <c r="C13" i="4" s="1"/>
  <c r="B10" i="4"/>
  <c r="C11" i="4" s="1"/>
  <c r="D12" i="4" s="1"/>
  <c r="B8" i="4"/>
  <c r="C9" i="4" s="1"/>
  <c r="D10" i="4" s="1"/>
  <c r="E11" i="4" s="1"/>
  <c r="B6" i="4"/>
  <c r="B4" i="4"/>
  <c r="C5" i="4" s="1"/>
  <c r="B28" i="3"/>
  <c r="B26" i="3"/>
  <c r="B24" i="3"/>
  <c r="B22" i="3"/>
  <c r="B20" i="3"/>
  <c r="C21" i="3" s="1"/>
  <c r="B18" i="3"/>
  <c r="B16" i="3"/>
  <c r="B14" i="3"/>
  <c r="B12" i="3"/>
  <c r="C13" i="3" s="1"/>
  <c r="B10" i="3"/>
  <c r="B8" i="3"/>
  <c r="B6" i="3"/>
  <c r="B4" i="3"/>
  <c r="C5" i="3" s="1"/>
  <c r="C27" i="2"/>
  <c r="D26" i="2"/>
  <c r="E25" i="2"/>
  <c r="C25" i="2"/>
  <c r="F24" i="2"/>
  <c r="D24" i="2"/>
  <c r="G23" i="2"/>
  <c r="E23" i="2"/>
  <c r="C23" i="2"/>
  <c r="H22" i="2"/>
  <c r="F22" i="2"/>
  <c r="D22" i="2"/>
  <c r="I21" i="2"/>
  <c r="G21" i="2"/>
  <c r="E21" i="2"/>
  <c r="C21" i="2"/>
  <c r="J20" i="2"/>
  <c r="H20" i="2"/>
  <c r="F20" i="2"/>
  <c r="D20" i="2"/>
  <c r="K19" i="2"/>
  <c r="I19" i="2"/>
  <c r="G19" i="2"/>
  <c r="E19" i="2"/>
  <c r="C19" i="2"/>
  <c r="L18" i="2"/>
  <c r="J18" i="2"/>
  <c r="H18" i="2"/>
  <c r="F18" i="2"/>
  <c r="D18" i="2"/>
  <c r="M17" i="2"/>
  <c r="K17" i="2"/>
  <c r="I17" i="2"/>
  <c r="G17" i="2"/>
  <c r="E17" i="2"/>
  <c r="C17" i="2"/>
  <c r="O16" i="2"/>
  <c r="N16" i="2"/>
  <c r="L16" i="2"/>
  <c r="J16" i="2"/>
  <c r="H16" i="2"/>
  <c r="F16" i="2"/>
  <c r="D16" i="2"/>
  <c r="M15" i="2"/>
  <c r="K15" i="2"/>
  <c r="I15" i="2"/>
  <c r="G15" i="2"/>
  <c r="E15" i="2"/>
  <c r="C15" i="2"/>
  <c r="L14" i="2"/>
  <c r="J14" i="2"/>
  <c r="H14" i="2"/>
  <c r="F14" i="2"/>
  <c r="D14" i="2"/>
  <c r="K13" i="2"/>
  <c r="I13" i="2"/>
  <c r="G13" i="2"/>
  <c r="E13" i="2"/>
  <c r="C13" i="2"/>
  <c r="J12" i="2"/>
  <c r="H12" i="2"/>
  <c r="F12" i="2"/>
  <c r="D12" i="2"/>
  <c r="I11" i="2"/>
  <c r="G11" i="2"/>
  <c r="E11" i="2"/>
  <c r="C11" i="2"/>
  <c r="H10" i="2"/>
  <c r="F10" i="2"/>
  <c r="D10" i="2"/>
  <c r="G9" i="2"/>
  <c r="E9" i="2"/>
  <c r="C9" i="2"/>
  <c r="F8" i="2"/>
  <c r="D8" i="2"/>
  <c r="E7" i="2"/>
  <c r="C7" i="2"/>
  <c r="D6" i="2"/>
  <c r="C5" i="2"/>
  <c r="B10" i="1"/>
  <c r="B9" i="1"/>
  <c r="S27" i="1"/>
  <c r="S25" i="1"/>
  <c r="S23" i="1"/>
  <c r="S21" i="1"/>
  <c r="S19" i="1"/>
  <c r="S17" i="1"/>
  <c r="S15" i="1"/>
  <c r="S13" i="1"/>
  <c r="S11" i="1"/>
  <c r="S9" i="1"/>
  <c r="S7" i="1"/>
  <c r="S5" i="1"/>
  <c r="S3" i="1"/>
  <c r="R27" i="1"/>
  <c r="R25" i="1"/>
  <c r="R23" i="1"/>
  <c r="R21" i="1"/>
  <c r="R19" i="1"/>
  <c r="R17" i="1"/>
  <c r="R15" i="1"/>
  <c r="R13" i="1"/>
  <c r="R11" i="1"/>
  <c r="R9" i="1"/>
  <c r="R7" i="1"/>
  <c r="R5" i="1"/>
  <c r="R3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P27" i="1"/>
  <c r="P25" i="1"/>
  <c r="P23" i="1"/>
  <c r="P21" i="1"/>
  <c r="P19" i="1"/>
  <c r="P17" i="1"/>
  <c r="P15" i="1"/>
  <c r="P13" i="1"/>
  <c r="P11" i="1"/>
  <c r="P9" i="1"/>
  <c r="P7" i="1"/>
  <c r="P5" i="1"/>
  <c r="P3" i="1"/>
  <c r="O27" i="1"/>
  <c r="O25" i="1"/>
  <c r="O23" i="1"/>
  <c r="O21" i="1"/>
  <c r="O19" i="1"/>
  <c r="O17" i="1"/>
  <c r="O15" i="1"/>
  <c r="O13" i="1"/>
  <c r="O11" i="1"/>
  <c r="O9" i="1"/>
  <c r="O7" i="1"/>
  <c r="O5" i="1"/>
  <c r="O3" i="1"/>
  <c r="N26" i="1"/>
  <c r="N24" i="1"/>
  <c r="N22" i="1"/>
  <c r="N20" i="1"/>
  <c r="N18" i="1"/>
  <c r="N16" i="1"/>
  <c r="N14" i="1"/>
  <c r="N12" i="1"/>
  <c r="N10" i="1"/>
  <c r="N8" i="1"/>
  <c r="N6" i="1"/>
  <c r="N4" i="1"/>
  <c r="M25" i="1"/>
  <c r="M23" i="1"/>
  <c r="M21" i="1"/>
  <c r="M19" i="1"/>
  <c r="M17" i="1"/>
  <c r="M15" i="1"/>
  <c r="M13" i="1"/>
  <c r="M11" i="1"/>
  <c r="M9" i="1"/>
  <c r="M7" i="1"/>
  <c r="M5" i="1"/>
  <c r="L24" i="1"/>
  <c r="L22" i="1"/>
  <c r="L20" i="1"/>
  <c r="L18" i="1"/>
  <c r="L16" i="1"/>
  <c r="L14" i="1"/>
  <c r="L12" i="1"/>
  <c r="L10" i="1"/>
  <c r="L8" i="1"/>
  <c r="L6" i="1"/>
  <c r="K23" i="1"/>
  <c r="K21" i="1"/>
  <c r="K19" i="1"/>
  <c r="K17" i="1"/>
  <c r="K15" i="1"/>
  <c r="K13" i="1"/>
  <c r="K11" i="1"/>
  <c r="K9" i="1"/>
  <c r="K7" i="1"/>
  <c r="J22" i="1"/>
  <c r="J20" i="1"/>
  <c r="J18" i="1"/>
  <c r="J16" i="1"/>
  <c r="J14" i="1"/>
  <c r="J12" i="1"/>
  <c r="J10" i="1"/>
  <c r="J8" i="1"/>
  <c r="I21" i="1"/>
  <c r="I19" i="1"/>
  <c r="I17" i="1"/>
  <c r="I15" i="1"/>
  <c r="I13" i="1"/>
  <c r="I11" i="1"/>
  <c r="I9" i="1"/>
  <c r="H20" i="1"/>
  <c r="H18" i="1"/>
  <c r="H16" i="1"/>
  <c r="H14" i="1"/>
  <c r="H12" i="1"/>
  <c r="H10" i="1"/>
  <c r="G19" i="1"/>
  <c r="G17" i="1"/>
  <c r="G15" i="1"/>
  <c r="G13" i="1"/>
  <c r="G11" i="1"/>
  <c r="F18" i="1"/>
  <c r="F16" i="1"/>
  <c r="F14" i="1"/>
  <c r="F12" i="1"/>
  <c r="E17" i="1"/>
  <c r="E15" i="1"/>
  <c r="E13" i="1"/>
  <c r="D16" i="1"/>
  <c r="D14" i="1"/>
  <c r="C15" i="1"/>
  <c r="B6" i="1"/>
  <c r="D10" i="10" l="1"/>
  <c r="E11" i="10" s="1"/>
  <c r="F12" i="10" s="1"/>
  <c r="D16" i="10"/>
  <c r="E17" i="10" s="1"/>
  <c r="F18" i="10" s="1"/>
  <c r="D24" i="10"/>
  <c r="E25" i="10" s="1"/>
  <c r="E7" i="10"/>
  <c r="F8" i="10" s="1"/>
  <c r="G9" i="10" s="1"/>
  <c r="H10" i="10" s="1"/>
  <c r="E15" i="10"/>
  <c r="F16" i="10" s="1"/>
  <c r="G17" i="10" s="1"/>
  <c r="D8" i="10"/>
  <c r="E9" i="10" s="1"/>
  <c r="F10" i="10" s="1"/>
  <c r="G11" i="10" s="1"/>
  <c r="D22" i="10"/>
  <c r="E23" i="10" s="1"/>
  <c r="F24" i="10" s="1"/>
  <c r="C9" i="3"/>
  <c r="C17" i="3"/>
  <c r="C25" i="3"/>
  <c r="C7" i="4"/>
  <c r="D6" i="4" s="1"/>
  <c r="C23" i="4"/>
  <c r="D22" i="4" s="1"/>
  <c r="E21" i="4" s="1"/>
  <c r="F20" i="4" s="1"/>
  <c r="C9" i="9"/>
  <c r="D10" i="9" s="1"/>
  <c r="E11" i="9" s="1"/>
  <c r="F12" i="9" s="1"/>
  <c r="C17" i="9"/>
  <c r="D18" i="9" s="1"/>
  <c r="E19" i="9" s="1"/>
  <c r="F20" i="9" s="1"/>
  <c r="D8" i="9"/>
  <c r="E9" i="9" s="1"/>
  <c r="F10" i="9" s="1"/>
  <c r="G11" i="9" s="1"/>
  <c r="D16" i="9"/>
  <c r="E17" i="9" s="1"/>
  <c r="F18" i="9" s="1"/>
  <c r="G19" i="9" s="1"/>
  <c r="H20" i="9" s="1"/>
  <c r="C15" i="4"/>
  <c r="D14" i="4" s="1"/>
  <c r="E13" i="4" s="1"/>
  <c r="F12" i="4" s="1"/>
  <c r="D8" i="4"/>
  <c r="E9" i="4" s="1"/>
  <c r="F10" i="4" s="1"/>
  <c r="D16" i="4"/>
  <c r="E17" i="4" s="1"/>
  <c r="F18" i="4" s="1"/>
  <c r="D24" i="4"/>
  <c r="E25" i="4" s="1"/>
  <c r="C7" i="3"/>
  <c r="D8" i="3" s="1"/>
  <c r="C15" i="3"/>
  <c r="D16" i="3" s="1"/>
  <c r="C23" i="3"/>
  <c r="D22" i="3" s="1"/>
  <c r="C11" i="3"/>
  <c r="D10" i="3" s="1"/>
  <c r="C19" i="3"/>
  <c r="D20" i="3" s="1"/>
  <c r="C27" i="3"/>
  <c r="D26" i="3" s="1"/>
  <c r="D14" i="3"/>
  <c r="B6" i="11"/>
  <c r="B5" i="11"/>
  <c r="B4" i="11"/>
  <c r="B3" i="11"/>
  <c r="B2" i="11"/>
  <c r="B1" i="11"/>
  <c r="D24" i="3" l="1"/>
  <c r="E9" i="3"/>
  <c r="E21" i="10"/>
  <c r="F14" i="10"/>
  <c r="G15" i="10" s="1"/>
  <c r="H16" i="10" s="1"/>
  <c r="G19" i="4"/>
  <c r="D6" i="3"/>
  <c r="E23" i="4"/>
  <c r="F24" i="4" s="1"/>
  <c r="E7" i="4"/>
  <c r="F8" i="4" s="1"/>
  <c r="G9" i="4" s="1"/>
  <c r="E21" i="3"/>
  <c r="E15" i="9"/>
  <c r="E7" i="9"/>
  <c r="F8" i="9" s="1"/>
  <c r="G9" i="9" s="1"/>
  <c r="H10" i="9" s="1"/>
  <c r="D12" i="3"/>
  <c r="E13" i="3" s="1"/>
  <c r="G11" i="4"/>
  <c r="D18" i="3"/>
  <c r="E17" i="3" s="1"/>
  <c r="E25" i="3"/>
  <c r="E15" i="4"/>
  <c r="E19" i="3"/>
  <c r="F20" i="3" s="1"/>
  <c r="E23" i="3"/>
  <c r="E15" i="3"/>
  <c r="E7" i="3"/>
  <c r="F8" i="3" s="1"/>
  <c r="B3152" i="11"/>
  <c r="C3152" i="11" s="1"/>
  <c r="B5106" i="11"/>
  <c r="B6040" i="11"/>
  <c r="C6040" i="11" s="1"/>
  <c r="B6698" i="11"/>
  <c r="B7008" i="11"/>
  <c r="D7008" i="11" s="1"/>
  <c r="B7306" i="11"/>
  <c r="D7306" i="11" s="1"/>
  <c r="B7466" i="11"/>
  <c r="D7466" i="11" s="1"/>
  <c r="B7586" i="11"/>
  <c r="D7586" i="11" s="1"/>
  <c r="B7682" i="11"/>
  <c r="D7682" i="11" s="1"/>
  <c r="B7798" i="11"/>
  <c r="B7858" i="11"/>
  <c r="B7906" i="11"/>
  <c r="B7970" i="11"/>
  <c r="D7970" i="11" s="1"/>
  <c r="B8030" i="11"/>
  <c r="B8078" i="11"/>
  <c r="D8078" i="11" s="1"/>
  <c r="B8142" i="11"/>
  <c r="B8198" i="11"/>
  <c r="D8198" i="11" s="1"/>
  <c r="B8246" i="11"/>
  <c r="D8246" i="11" s="1"/>
  <c r="B8310" i="11"/>
  <c r="B8370" i="11"/>
  <c r="D8370" i="11" s="1"/>
  <c r="B8418" i="11"/>
  <c r="B8482" i="11"/>
  <c r="B8542" i="11"/>
  <c r="C8542" i="11" s="1"/>
  <c r="B8590" i="11"/>
  <c r="B8654" i="11"/>
  <c r="C8654" i="11" s="1"/>
  <c r="B8690" i="11"/>
  <c r="B8722" i="11"/>
  <c r="C8722" i="11" s="1"/>
  <c r="B8766" i="11"/>
  <c r="B8802" i="11"/>
  <c r="C8802" i="11" s="1"/>
  <c r="B8838" i="11"/>
  <c r="B8882" i="11"/>
  <c r="B8914" i="11"/>
  <c r="B8940" i="11"/>
  <c r="C8940" i="11" s="1"/>
  <c r="B8970" i="11"/>
  <c r="B8994" i="11"/>
  <c r="B9014" i="11"/>
  <c r="C9014" i="11" s="1"/>
  <c r="B9044" i="11"/>
  <c r="D9044" i="11" s="1"/>
  <c r="B9068" i="11"/>
  <c r="B9094" i="11"/>
  <c r="B9122" i="11"/>
  <c r="B9142" i="11"/>
  <c r="B3730" i="11"/>
  <c r="D3730" i="11" s="1"/>
  <c r="B5352" i="11"/>
  <c r="C5352" i="11" s="1"/>
  <c r="B6280" i="11"/>
  <c r="B6778" i="11"/>
  <c r="B7077" i="11"/>
  <c r="C7077" i="11" s="1"/>
  <c r="B7362" i="11"/>
  <c r="D7362" i="11" s="1"/>
  <c r="B7498" i="11"/>
  <c r="D7498" i="11" s="1"/>
  <c r="B7594" i="11"/>
  <c r="D7594" i="11" s="1"/>
  <c r="B7722" i="11"/>
  <c r="B7814" i="11"/>
  <c r="D7814" i="11" s="1"/>
  <c r="B7862" i="11"/>
  <c r="B7926" i="11"/>
  <c r="D7926" i="11" s="1"/>
  <c r="B7986" i="11"/>
  <c r="D7986" i="11" s="1"/>
  <c r="B8034" i="11"/>
  <c r="D8034" i="11" s="1"/>
  <c r="B8098" i="11"/>
  <c r="B8158" i="11"/>
  <c r="D8158" i="11" s="1"/>
  <c r="B8206" i="11"/>
  <c r="B8270" i="11"/>
  <c r="C8270" i="11" s="1"/>
  <c r="B8326" i="11"/>
  <c r="B8374" i="11"/>
  <c r="B8438" i="11"/>
  <c r="B8498" i="11"/>
  <c r="B8546" i="11"/>
  <c r="B8610" i="11"/>
  <c r="B8658" i="11"/>
  <c r="C8658" i="11" s="1"/>
  <c r="B8694" i="11"/>
  <c r="C8694" i="11" s="1"/>
  <c r="B8738" i="11"/>
  <c r="C8738" i="11" s="1"/>
  <c r="B8774" i="11"/>
  <c r="B8806" i="11"/>
  <c r="C8806" i="11" s="1"/>
  <c r="B8850" i="11"/>
  <c r="C8850" i="11" s="1"/>
  <c r="B8886" i="11"/>
  <c r="B8924" i="11"/>
  <c r="B8950" i="11"/>
  <c r="B8972" i="11"/>
  <c r="C8972" i="11" s="1"/>
  <c r="B8998" i="11"/>
  <c r="C8998" i="11" s="1"/>
  <c r="B9026" i="11"/>
  <c r="C9026" i="11" s="1"/>
  <c r="B9052" i="11"/>
  <c r="D9052" i="11" s="1"/>
  <c r="B9074" i="11"/>
  <c r="C9074" i="11" s="1"/>
  <c r="B9100" i="11"/>
  <c r="B9126" i="11"/>
  <c r="B9150" i="11"/>
  <c r="B9180" i="11"/>
  <c r="D9180" i="11" s="1"/>
  <c r="B9202" i="11"/>
  <c r="B9226" i="11"/>
  <c r="B9254" i="11"/>
  <c r="B9278" i="11"/>
  <c r="B9300" i="11"/>
  <c r="B9324" i="11"/>
  <c r="B9342" i="11"/>
  <c r="B9362" i="11"/>
  <c r="D9362" i="11" s="1"/>
  <c r="B9382" i="11"/>
  <c r="B9398" i="11"/>
  <c r="B9418" i="11"/>
  <c r="B9438" i="11"/>
  <c r="B9458" i="11"/>
  <c r="B9474" i="11"/>
  <c r="D9474" i="11" s="1"/>
  <c r="B9494" i="11"/>
  <c r="B9514" i="11"/>
  <c r="D9514" i="11" s="1"/>
  <c r="B9532" i="11"/>
  <c r="B9554" i="11"/>
  <c r="B9570" i="11"/>
  <c r="B9588" i="11"/>
  <c r="B9610" i="11"/>
  <c r="B9628" i="11"/>
  <c r="B9644" i="11"/>
  <c r="B9666" i="11"/>
  <c r="D9666" i="11" s="1"/>
  <c r="B9684" i="11"/>
  <c r="B9702" i="11"/>
  <c r="B9724" i="11"/>
  <c r="B9740" i="11"/>
  <c r="B9758" i="11"/>
  <c r="B9780" i="11"/>
  <c r="B9798" i="11"/>
  <c r="B9814" i="11"/>
  <c r="B9836" i="11"/>
  <c r="B9854" i="11"/>
  <c r="B9874" i="11"/>
  <c r="B9894" i="11"/>
  <c r="D9894" i="11" s="1"/>
  <c r="B9910" i="11"/>
  <c r="B9930" i="11"/>
  <c r="B9946" i="11"/>
  <c r="B9958" i="11"/>
  <c r="B9972" i="11"/>
  <c r="B9988" i="11"/>
  <c r="D9988" i="11" s="1"/>
  <c r="B10002" i="11"/>
  <c r="D10002" i="11" s="1"/>
  <c r="B4626" i="11"/>
  <c r="D4626" i="11" s="1"/>
  <c r="B6624" i="11"/>
  <c r="B7232" i="11"/>
  <c r="B7554" i="11"/>
  <c r="D7554" i="11" s="1"/>
  <c r="B7766" i="11"/>
  <c r="D7766" i="11" s="1"/>
  <c r="B7902" i="11"/>
  <c r="D7902" i="11" s="1"/>
  <c r="B8014" i="11"/>
  <c r="B8118" i="11"/>
  <c r="B8242" i="11"/>
  <c r="D8242" i="11" s="1"/>
  <c r="B8354" i="11"/>
  <c r="B8462" i="11"/>
  <c r="D8462" i="11" s="1"/>
  <c r="B8582" i="11"/>
  <c r="B8678" i="11"/>
  <c r="C8678" i="11" s="1"/>
  <c r="B8754" i="11"/>
  <c r="B8830" i="11"/>
  <c r="B8910" i="11"/>
  <c r="C8910" i="11" s="1"/>
  <c r="B8958" i="11"/>
  <c r="B9012" i="11"/>
  <c r="B9066" i="11"/>
  <c r="B9110" i="11"/>
  <c r="B9164" i="11"/>
  <c r="C9164" i="11" s="1"/>
  <c r="B9196" i="11"/>
  <c r="B9236" i="11"/>
  <c r="C9236" i="11" s="1"/>
  <c r="B9266" i="11"/>
  <c r="B9298" i="11"/>
  <c r="B9330" i="11"/>
  <c r="B9354" i="11"/>
  <c r="B9374" i="11"/>
  <c r="B9404" i="11"/>
  <c r="B9428" i="11"/>
  <c r="B9452" i="11"/>
  <c r="B9482" i="11"/>
  <c r="B9502" i="11"/>
  <c r="D9502" i="11" s="1"/>
  <c r="B9526" i="11"/>
  <c r="B9556" i="11"/>
  <c r="B9580" i="11"/>
  <c r="B9602" i="11"/>
  <c r="B9630" i="11"/>
  <c r="B9654" i="11"/>
  <c r="B9682" i="11"/>
  <c r="B9708" i="11"/>
  <c r="B9730" i="11"/>
  <c r="B9756" i="11"/>
  <c r="B9782" i="11"/>
  <c r="B9810" i="11"/>
  <c r="D9810" i="11" s="1"/>
  <c r="B9830" i="11"/>
  <c r="B9858" i="11"/>
  <c r="B9884" i="11"/>
  <c r="B9908" i="11"/>
  <c r="B9934" i="11"/>
  <c r="D9934" i="11" s="1"/>
  <c r="B9950" i="11"/>
  <c r="B9970" i="11"/>
  <c r="B9990" i="11"/>
  <c r="B10010" i="11"/>
  <c r="D10010" i="11" s="1"/>
  <c r="B6848" i="11"/>
  <c r="B8054" i="11"/>
  <c r="D8054" i="11" s="1"/>
  <c r="B8162" i="11"/>
  <c r="B8398" i="11"/>
  <c r="B8502" i="11"/>
  <c r="D8502" i="11" s="1"/>
  <c r="B8626" i="11"/>
  <c r="B8710" i="11"/>
  <c r="C8710" i="11" s="1"/>
  <c r="B8862" i="11"/>
  <c r="B8930" i="11"/>
  <c r="B8980" i="11"/>
  <c r="B9030" i="11"/>
  <c r="C9030" i="11" s="1"/>
  <c r="B9084" i="11"/>
  <c r="B9130" i="11"/>
  <c r="B9206" i="11"/>
  <c r="B9238" i="11"/>
  <c r="C9238" i="11" s="1"/>
  <c r="B9270" i="11"/>
  <c r="C9270" i="11" s="1"/>
  <c r="B9310" i="11"/>
  <c r="B9332" i="11"/>
  <c r="B9356" i="11"/>
  <c r="B9386" i="11"/>
  <c r="B9410" i="11"/>
  <c r="B9460" i="11"/>
  <c r="B9484" i="11"/>
  <c r="B9510" i="11"/>
  <c r="B9538" i="11"/>
  <c r="B9558" i="11"/>
  <c r="B9586" i="11"/>
  <c r="D9586" i="11" s="1"/>
  <c r="B9612" i="11"/>
  <c r="B9638" i="11"/>
  <c r="B9660" i="11"/>
  <c r="B9686" i="11"/>
  <c r="D9686" i="11" s="1"/>
  <c r="B9738" i="11"/>
  <c r="B9766" i="11"/>
  <c r="B9788" i="11"/>
  <c r="B9812" i="11"/>
  <c r="D9812" i="11" s="1"/>
  <c r="B9842" i="11"/>
  <c r="B9866" i="11"/>
  <c r="D9866" i="11" s="1"/>
  <c r="B9886" i="11"/>
  <c r="B9916" i="11"/>
  <c r="D9916" i="11" s="1"/>
  <c r="B9938" i="11"/>
  <c r="B9956" i="11"/>
  <c r="B9978" i="11"/>
  <c r="B10012" i="11"/>
  <c r="D10012" i="11" s="1"/>
  <c r="B5832" i="11"/>
  <c r="B7422" i="11"/>
  <c r="D7422" i="11" s="1"/>
  <c r="B7670" i="11"/>
  <c r="B7842" i="11"/>
  <c r="D7842" i="11" s="1"/>
  <c r="B7950" i="11"/>
  <c r="B8070" i="11"/>
  <c r="B8182" i="11"/>
  <c r="B8290" i="11"/>
  <c r="D8290" i="11" s="1"/>
  <c r="B8414" i="11"/>
  <c r="B8526" i="11"/>
  <c r="B8630" i="11"/>
  <c r="B8718" i="11"/>
  <c r="B8798" i="11"/>
  <c r="B8866" i="11"/>
  <c r="B8938" i="11"/>
  <c r="B9036" i="11"/>
  <c r="B9086" i="11"/>
  <c r="B9182" i="11"/>
  <c r="C9182" i="11" s="1"/>
  <c r="B9214" i="11"/>
  <c r="B9282" i="11"/>
  <c r="C9282" i="11" s="1"/>
  <c r="B9340" i="11"/>
  <c r="B9388" i="11"/>
  <c r="B9442" i="11"/>
  <c r="B9490" i="11"/>
  <c r="D9490" i="11" s="1"/>
  <c r="B9542" i="11"/>
  <c r="B9596" i="11"/>
  <c r="B9642" i="11"/>
  <c r="B9694" i="11"/>
  <c r="B9746" i="11"/>
  <c r="B9794" i="11"/>
  <c r="B9844" i="11"/>
  <c r="B9898" i="11"/>
  <c r="D9898" i="11" s="1"/>
  <c r="B9940" i="11"/>
  <c r="B9980" i="11"/>
  <c r="B5592" i="11"/>
  <c r="D5592" i="11" s="1"/>
  <c r="B7406" i="11"/>
  <c r="B7638" i="11"/>
  <c r="B7822" i="11"/>
  <c r="D7822" i="11" s="1"/>
  <c r="B7942" i="11"/>
  <c r="B8286" i="11"/>
  <c r="B8782" i="11"/>
  <c r="B9170" i="11"/>
  <c r="C9170" i="11" s="1"/>
  <c r="B9430" i="11"/>
  <c r="B9714" i="11"/>
  <c r="B9994" i="11"/>
  <c r="B6928" i="11"/>
  <c r="B8988" i="11"/>
  <c r="B9140" i="11"/>
  <c r="C9140" i="11" s="1"/>
  <c r="B9244" i="11"/>
  <c r="B9314" i="11"/>
  <c r="B9366" i="11"/>
  <c r="B9414" i="11"/>
  <c r="B9468" i="11"/>
  <c r="B9516" i="11"/>
  <c r="B9566" i="11"/>
  <c r="B9618" i="11"/>
  <c r="D9618" i="11" s="1"/>
  <c r="B9670" i="11"/>
  <c r="B9716" i="11"/>
  <c r="B9770" i="11"/>
  <c r="B9822" i="11"/>
  <c r="D9822" i="11" s="1"/>
  <c r="B9868" i="11"/>
  <c r="B9922" i="11"/>
  <c r="B9962" i="11"/>
  <c r="D9962" i="11" s="1"/>
  <c r="B9998" i="11"/>
  <c r="D9998" i="11" s="1"/>
  <c r="B9966" i="11"/>
  <c r="B9878" i="11"/>
  <c r="B9772" i="11"/>
  <c r="B9674" i="11"/>
  <c r="D9674" i="11" s="1"/>
  <c r="B9574" i="11"/>
  <c r="B9470" i="11"/>
  <c r="B9372" i="11"/>
  <c r="B9258" i="11"/>
  <c r="B9108" i="11"/>
  <c r="B8894" i="11"/>
  <c r="C8894" i="11" s="1"/>
  <c r="B8566" i="11"/>
  <c r="B8114" i="11"/>
  <c r="B7510" i="11"/>
  <c r="D7510" i="11" s="1"/>
  <c r="B9948" i="11"/>
  <c r="B9852" i="11"/>
  <c r="B9750" i="11"/>
  <c r="B9652" i="11"/>
  <c r="D9652" i="11" s="1"/>
  <c r="B9546" i="11"/>
  <c r="B9446" i="11"/>
  <c r="B9346" i="11"/>
  <c r="B9222" i="11"/>
  <c r="B9054" i="11"/>
  <c r="B8822" i="11"/>
  <c r="B8454" i="11"/>
  <c r="B7990" i="11"/>
  <c r="B7157" i="11"/>
  <c r="B10004" i="11"/>
  <c r="B9926" i="11"/>
  <c r="B9826" i="11"/>
  <c r="B9726" i="11"/>
  <c r="B9622" i="11"/>
  <c r="B9524" i="11"/>
  <c r="D9524" i="11" s="1"/>
  <c r="B9426" i="11"/>
  <c r="B9318" i="11"/>
  <c r="B9186" i="11"/>
  <c r="B9010" i="11"/>
  <c r="B8742" i="11"/>
  <c r="B8334" i="11"/>
  <c r="B7886" i="11"/>
  <c r="B6504" i="11"/>
  <c r="D6504" i="11" s="1"/>
  <c r="B9982" i="11"/>
  <c r="B9900" i="11"/>
  <c r="B9802" i="11"/>
  <c r="B9698" i="11"/>
  <c r="B9598" i="11"/>
  <c r="B9500" i="11"/>
  <c r="D9500" i="11" s="1"/>
  <c r="B9396" i="11"/>
  <c r="B9292" i="11"/>
  <c r="C9292" i="11" s="1"/>
  <c r="B9158" i="11"/>
  <c r="B8956" i="11"/>
  <c r="C8956" i="11" s="1"/>
  <c r="B8670" i="11"/>
  <c r="B8226" i="11"/>
  <c r="B7754" i="11"/>
  <c r="B4178" i="11"/>
  <c r="D4178" i="11" s="1"/>
  <c r="B696" i="11"/>
  <c r="B1423" i="11"/>
  <c r="B1766" i="11"/>
  <c r="D1766" i="11" s="1"/>
  <c r="B1993" i="11"/>
  <c r="B2188" i="11"/>
  <c r="D2188" i="11" s="1"/>
  <c r="B2346" i="11"/>
  <c r="D2346" i="11" s="1"/>
  <c r="B2474" i="11"/>
  <c r="B2602" i="11"/>
  <c r="D2602" i="11" s="1"/>
  <c r="B2730" i="11"/>
  <c r="B2858" i="11"/>
  <c r="B2986" i="11"/>
  <c r="B3088" i="11"/>
  <c r="B3174" i="11"/>
  <c r="B3259" i="11"/>
  <c r="C3259" i="11" s="1"/>
  <c r="B3344" i="11"/>
  <c r="C3344" i="11" s="1"/>
  <c r="B3430" i="11"/>
  <c r="C3430" i="11" s="1"/>
  <c r="B3515" i="11"/>
  <c r="B3600" i="11"/>
  <c r="C3600" i="11" s="1"/>
  <c r="B3682" i="11"/>
  <c r="D3682" i="11" s="1"/>
  <c r="B3746" i="11"/>
  <c r="C3746" i="11" s="1"/>
  <c r="B3810" i="11"/>
  <c r="C3810" i="11" s="1"/>
  <c r="B3874" i="11"/>
  <c r="D3874" i="11" s="1"/>
  <c r="B3938" i="11"/>
  <c r="D3938" i="11" s="1"/>
  <c r="B4002" i="11"/>
  <c r="D4002" i="11" s="1"/>
  <c r="B4066" i="11"/>
  <c r="C4066" i="11" s="1"/>
  <c r="B4130" i="11"/>
  <c r="C4130" i="11" s="1"/>
  <c r="B4194" i="11"/>
  <c r="D4194" i="11" s="1"/>
  <c r="B4258" i="11"/>
  <c r="C4258" i="11" s="1"/>
  <c r="B4322" i="11"/>
  <c r="C4322" i="11" s="1"/>
  <c r="B4386" i="11"/>
  <c r="C4386" i="11" s="1"/>
  <c r="B4450" i="11"/>
  <c r="D4450" i="11" s="1"/>
  <c r="B4514" i="11"/>
  <c r="C4514" i="11" s="1"/>
  <c r="B4578" i="11"/>
  <c r="C4578" i="11" s="1"/>
  <c r="B4642" i="11"/>
  <c r="B4706" i="11"/>
  <c r="B4770" i="11"/>
  <c r="B4834" i="11"/>
  <c r="C4834" i="11" s="1"/>
  <c r="B4898" i="11"/>
  <c r="D4898" i="11" s="1"/>
  <c r="B4962" i="11"/>
  <c r="B5026" i="11"/>
  <c r="B5090" i="11"/>
  <c r="B5143" i="11"/>
  <c r="C5143" i="11" s="1"/>
  <c r="B5186" i="11"/>
  <c r="B5228" i="11"/>
  <c r="C5228" i="11" s="1"/>
  <c r="B5264" i="11"/>
  <c r="C5264" i="11" s="1"/>
  <c r="B5296" i="11"/>
  <c r="D5296" i="11" s="1"/>
  <c r="B5328" i="11"/>
  <c r="B5360" i="11"/>
  <c r="B5392" i="11"/>
  <c r="C5392" i="11" s="1"/>
  <c r="B5424" i="11"/>
  <c r="D5424" i="11" s="1"/>
  <c r="B5456" i="11"/>
  <c r="B5488" i="11"/>
  <c r="B5520" i="11"/>
  <c r="C5520" i="11" s="1"/>
  <c r="B5552" i="11"/>
  <c r="C5552" i="11" s="1"/>
  <c r="B5584" i="11"/>
  <c r="B5616" i="11"/>
  <c r="C5616" i="11" s="1"/>
  <c r="B5648" i="11"/>
  <c r="B5680" i="11"/>
  <c r="C5680" i="11" s="1"/>
  <c r="B5712" i="11"/>
  <c r="B5744" i="11"/>
  <c r="B5776" i="11"/>
  <c r="B5808" i="11"/>
  <c r="B5840" i="11"/>
  <c r="B5872" i="11"/>
  <c r="B5904" i="11"/>
  <c r="B5936" i="11"/>
  <c r="B5968" i="11"/>
  <c r="B6000" i="11"/>
  <c r="B6032" i="11"/>
  <c r="B6064" i="11"/>
  <c r="B6096" i="11"/>
  <c r="B6128" i="11"/>
  <c r="B6160" i="11"/>
  <c r="B6192" i="11"/>
  <c r="C6192" i="11" s="1"/>
  <c r="B6224" i="11"/>
  <c r="B6256" i="11"/>
  <c r="B6288" i="11"/>
  <c r="B6320" i="11"/>
  <c r="B6352" i="11"/>
  <c r="B6384" i="11"/>
  <c r="B6416" i="11"/>
  <c r="B6448" i="11"/>
  <c r="B6480" i="11"/>
  <c r="B6512" i="11"/>
  <c r="B6544" i="11"/>
  <c r="B1196" i="11"/>
  <c r="B1650" i="11"/>
  <c r="B1880" i="11"/>
  <c r="D1880" i="11" s="1"/>
  <c r="B2102" i="11"/>
  <c r="B2273" i="11"/>
  <c r="C2273" i="11" s="1"/>
  <c r="B2410" i="11"/>
  <c r="B2538" i="11"/>
  <c r="B2666" i="11"/>
  <c r="B2794" i="11"/>
  <c r="B2922" i="11"/>
  <c r="B3046" i="11"/>
  <c r="B3131" i="11"/>
  <c r="B3216" i="11"/>
  <c r="D3216" i="11" s="1"/>
  <c r="B3302" i="11"/>
  <c r="B3387" i="11"/>
  <c r="B3472" i="11"/>
  <c r="D3472" i="11" s="1"/>
  <c r="B3558" i="11"/>
  <c r="C3558" i="11" s="1"/>
  <c r="B3643" i="11"/>
  <c r="B3714" i="11"/>
  <c r="D3714" i="11" s="1"/>
  <c r="B3778" i="11"/>
  <c r="D3778" i="11" s="1"/>
  <c r="B3842" i="11"/>
  <c r="C3842" i="11" s="1"/>
  <c r="B3906" i="11"/>
  <c r="C3906" i="11" s="1"/>
  <c r="B3970" i="11"/>
  <c r="C3970" i="11" s="1"/>
  <c r="B4034" i="11"/>
  <c r="D4034" i="11" s="1"/>
  <c r="B4098" i="11"/>
  <c r="C4098" i="11" s="1"/>
  <c r="B4162" i="11"/>
  <c r="C4162" i="11" s="1"/>
  <c r="B4226" i="11"/>
  <c r="C4226" i="11" s="1"/>
  <c r="B4290" i="11"/>
  <c r="D4290" i="11" s="1"/>
  <c r="B4354" i="11"/>
  <c r="C4354" i="11" s="1"/>
  <c r="B4418" i="11"/>
  <c r="C4418" i="11" s="1"/>
  <c r="B4482" i="11"/>
  <c r="D4482" i="11" s="1"/>
  <c r="B4546" i="11"/>
  <c r="B4610" i="11"/>
  <c r="D4610" i="11" s="1"/>
  <c r="B4674" i="11"/>
  <c r="B4738" i="11"/>
  <c r="D4738" i="11" s="1"/>
  <c r="B4802" i="11"/>
  <c r="B4866" i="11"/>
  <c r="C4866" i="11" s="1"/>
  <c r="B4930" i="11"/>
  <c r="D4930" i="11" s="1"/>
  <c r="B4994" i="11"/>
  <c r="D4994" i="11" s="1"/>
  <c r="B5058" i="11"/>
  <c r="B5122" i="11"/>
  <c r="D5122" i="11" s="1"/>
  <c r="B5164" i="11"/>
  <c r="B5207" i="11"/>
  <c r="C5207" i="11" s="1"/>
  <c r="B5248" i="11"/>
  <c r="C5248" i="11" s="1"/>
  <c r="B5280" i="11"/>
  <c r="D5280" i="11" s="1"/>
  <c r="B5312" i="11"/>
  <c r="B5344" i="11"/>
  <c r="C5344" i="11" s="1"/>
  <c r="B5376" i="11"/>
  <c r="C5376" i="11" s="1"/>
  <c r="B5408" i="11"/>
  <c r="D5408" i="11" s="1"/>
  <c r="B5440" i="11"/>
  <c r="C5440" i="11" s="1"/>
  <c r="B5472" i="11"/>
  <c r="C5472" i="11" s="1"/>
  <c r="B5504" i="11"/>
  <c r="C5504" i="11" s="1"/>
  <c r="B5536" i="11"/>
  <c r="D5536" i="11" s="1"/>
  <c r="B5568" i="11"/>
  <c r="B5600" i="11"/>
  <c r="B5632" i="11"/>
  <c r="B5664" i="11"/>
  <c r="C5664" i="11" s="1"/>
  <c r="B5696" i="11"/>
  <c r="B5728" i="11"/>
  <c r="B5760" i="11"/>
  <c r="B5792" i="11"/>
  <c r="B5824" i="11"/>
  <c r="B5856" i="11"/>
  <c r="B5888" i="11"/>
  <c r="B5920" i="11"/>
  <c r="C5920" i="11" s="1"/>
  <c r="B5952" i="11"/>
  <c r="B5984" i="11"/>
  <c r="B6016" i="11"/>
  <c r="B6048" i="11"/>
  <c r="B6080" i="11"/>
  <c r="B6112" i="11"/>
  <c r="B6144" i="11"/>
  <c r="B6176" i="11"/>
  <c r="B6208" i="11"/>
  <c r="B6240" i="11"/>
  <c r="B6272" i="11"/>
  <c r="B6304" i="11"/>
  <c r="B6336" i="11"/>
  <c r="B6368" i="11"/>
  <c r="C6368" i="11" s="1"/>
  <c r="B6400" i="11"/>
  <c r="B6432" i="11"/>
  <c r="B6464" i="11"/>
  <c r="B6496" i="11"/>
  <c r="B6528" i="11"/>
  <c r="B6560" i="11"/>
  <c r="B994" i="11"/>
  <c r="B1822" i="11"/>
  <c r="C1822" i="11" s="1"/>
  <c r="B2230" i="11"/>
  <c r="B2506" i="11"/>
  <c r="D2506" i="11" s="1"/>
  <c r="B2762" i="11"/>
  <c r="D2762" i="11" s="1"/>
  <c r="B3018" i="11"/>
  <c r="B1538" i="11"/>
  <c r="D1538" i="11" s="1"/>
  <c r="B2050" i="11"/>
  <c r="C2050" i="11" s="1"/>
  <c r="B2378" i="11"/>
  <c r="B2634" i="11"/>
  <c r="D2634" i="11" s="1"/>
  <c r="B2890" i="11"/>
  <c r="B3110" i="11"/>
  <c r="B3280" i="11"/>
  <c r="B3451" i="11"/>
  <c r="B3622" i="11"/>
  <c r="C3622" i="11" s="1"/>
  <c r="B3762" i="11"/>
  <c r="C3762" i="11" s="1"/>
  <c r="B3890" i="11"/>
  <c r="C3890" i="11" s="1"/>
  <c r="B4018" i="11"/>
  <c r="C4018" i="11" s="1"/>
  <c r="B4146" i="11"/>
  <c r="C4146" i="11" s="1"/>
  <c r="B4274" i="11"/>
  <c r="C4274" i="11" s="1"/>
  <c r="B4402" i="11"/>
  <c r="C4402" i="11" s="1"/>
  <c r="B4530" i="11"/>
  <c r="D4530" i="11" s="1"/>
  <c r="B4658" i="11"/>
  <c r="B4786" i="11"/>
  <c r="D4786" i="11" s="1"/>
  <c r="B4914" i="11"/>
  <c r="B5042" i="11"/>
  <c r="B5154" i="11"/>
  <c r="B5239" i="11"/>
  <c r="C5239" i="11" s="1"/>
  <c r="B5304" i="11"/>
  <c r="C5304" i="11" s="1"/>
  <c r="B5368" i="11"/>
  <c r="B5432" i="11"/>
  <c r="C5432" i="11" s="1"/>
  <c r="B5496" i="11"/>
  <c r="C5496" i="11" s="1"/>
  <c r="B5560" i="11"/>
  <c r="B5624" i="11"/>
  <c r="C5624" i="11" s="1"/>
  <c r="B5688" i="11"/>
  <c r="B5752" i="11"/>
  <c r="C5752" i="11" s="1"/>
  <c r="B5816" i="11"/>
  <c r="B5880" i="11"/>
  <c r="B5944" i="11"/>
  <c r="B6008" i="11"/>
  <c r="C6008" i="11" s="1"/>
  <c r="B6072" i="11"/>
  <c r="B6136" i="11"/>
  <c r="B6200" i="11"/>
  <c r="B6264" i="11"/>
  <c r="B6328" i="11"/>
  <c r="B6392" i="11"/>
  <c r="B6456" i="11"/>
  <c r="B6520" i="11"/>
  <c r="C6520" i="11" s="1"/>
  <c r="B6576" i="11"/>
  <c r="B6597" i="11"/>
  <c r="B6618" i="11"/>
  <c r="B6640" i="11"/>
  <c r="C6640" i="11" s="1"/>
  <c r="B6661" i="11"/>
  <c r="B6682" i="11"/>
  <c r="D6682" i="11" s="1"/>
  <c r="B6704" i="11"/>
  <c r="B6725" i="11"/>
  <c r="B6746" i="11"/>
  <c r="B6768" i="11"/>
  <c r="B6789" i="11"/>
  <c r="C6789" i="11" s="1"/>
  <c r="B6810" i="11"/>
  <c r="B6832" i="11"/>
  <c r="B6853" i="11"/>
  <c r="C6853" i="11" s="1"/>
  <c r="B6874" i="11"/>
  <c r="B6896" i="11"/>
  <c r="C6896" i="11" s="1"/>
  <c r="B6917" i="11"/>
  <c r="C6917" i="11" s="1"/>
  <c r="B6938" i="11"/>
  <c r="B6960" i="11"/>
  <c r="B6981" i="11"/>
  <c r="C6981" i="11" s="1"/>
  <c r="B7002" i="11"/>
  <c r="B7024" i="11"/>
  <c r="B7045" i="11"/>
  <c r="C7045" i="11" s="1"/>
  <c r="B7066" i="11"/>
  <c r="B7088" i="11"/>
  <c r="B7109" i="11"/>
  <c r="B7130" i="11"/>
  <c r="B7152" i="11"/>
  <c r="B7173" i="11"/>
  <c r="C7173" i="11" s="1"/>
  <c r="B7194" i="11"/>
  <c r="B7216" i="11"/>
  <c r="B7237" i="11"/>
  <c r="B7258" i="11"/>
  <c r="B7280" i="11"/>
  <c r="B7301" i="11"/>
  <c r="B7318" i="11"/>
  <c r="B7334" i="11"/>
  <c r="B7350" i="11"/>
  <c r="D7350" i="11" s="1"/>
  <c r="B7366" i="11"/>
  <c r="B7382" i="11"/>
  <c r="D7382" i="11" s="1"/>
  <c r="B7398" i="11"/>
  <c r="B7414" i="11"/>
  <c r="B7430" i="11"/>
  <c r="B1308" i="11"/>
  <c r="D1308" i="11" s="1"/>
  <c r="B1709" i="11"/>
  <c r="B2442" i="11"/>
  <c r="D2442" i="11" s="1"/>
  <c r="B2954" i="11"/>
  <c r="B3238" i="11"/>
  <c r="C3238" i="11" s="1"/>
  <c r="B3494" i="11"/>
  <c r="B3698" i="11"/>
  <c r="C3698" i="11" s="1"/>
  <c r="B3858" i="11"/>
  <c r="C3858" i="11" s="1"/>
  <c r="B4050" i="11"/>
  <c r="C4050" i="11" s="1"/>
  <c r="B4210" i="11"/>
  <c r="C4210" i="11" s="1"/>
  <c r="B4370" i="11"/>
  <c r="C4370" i="11" s="1"/>
  <c r="B4562" i="11"/>
  <c r="B4722" i="11"/>
  <c r="C4722" i="11" s="1"/>
  <c r="B4882" i="11"/>
  <c r="B5074" i="11"/>
  <c r="B5196" i="11"/>
  <c r="D5196" i="11" s="1"/>
  <c r="B5288" i="11"/>
  <c r="C5288" i="11" s="1"/>
  <c r="B5384" i="11"/>
  <c r="C5384" i="11" s="1"/>
  <c r="B5464" i="11"/>
  <c r="B5544" i="11"/>
  <c r="B5640" i="11"/>
  <c r="C5640" i="11" s="1"/>
  <c r="B5720" i="11"/>
  <c r="B5800" i="11"/>
  <c r="B5896" i="11"/>
  <c r="B5976" i="11"/>
  <c r="B6056" i="11"/>
  <c r="B6152" i="11"/>
  <c r="B6232" i="11"/>
  <c r="B6312" i="11"/>
  <c r="B6408" i="11"/>
  <c r="B6488" i="11"/>
  <c r="B6568" i="11"/>
  <c r="B6602" i="11"/>
  <c r="B6629" i="11"/>
  <c r="B6656" i="11"/>
  <c r="B6688" i="11"/>
  <c r="B6714" i="11"/>
  <c r="D6714" i="11" s="1"/>
  <c r="B6741" i="11"/>
  <c r="C6741" i="11" s="1"/>
  <c r="B6773" i="11"/>
  <c r="B6800" i="11"/>
  <c r="B6826" i="11"/>
  <c r="B6858" i="11"/>
  <c r="B6885" i="11"/>
  <c r="B6912" i="11"/>
  <c r="B6944" i="11"/>
  <c r="B6970" i="11"/>
  <c r="B6997" i="11"/>
  <c r="C6997" i="11" s="1"/>
  <c r="B7029" i="11"/>
  <c r="C7029" i="11" s="1"/>
  <c r="B7056" i="11"/>
  <c r="B7082" i="11"/>
  <c r="B7114" i="11"/>
  <c r="B7141" i="11"/>
  <c r="C7141" i="11" s="1"/>
  <c r="B7168" i="11"/>
  <c r="C7168" i="11" s="1"/>
  <c r="B7200" i="11"/>
  <c r="B7226" i="11"/>
  <c r="B7253" i="11"/>
  <c r="C7253" i="11" s="1"/>
  <c r="B7285" i="11"/>
  <c r="C7285" i="11" s="1"/>
  <c r="B7310" i="11"/>
  <c r="B7330" i="11"/>
  <c r="B7354" i="11"/>
  <c r="B7374" i="11"/>
  <c r="D7374" i="11" s="1"/>
  <c r="B7394" i="11"/>
  <c r="B7418" i="11"/>
  <c r="D7418" i="11" s="1"/>
  <c r="B7438" i="11"/>
  <c r="D7438" i="11" s="1"/>
  <c r="B7454" i="11"/>
  <c r="B7470" i="11"/>
  <c r="B7486" i="11"/>
  <c r="B7502" i="11"/>
  <c r="B7518" i="11"/>
  <c r="B7534" i="11"/>
  <c r="B7550" i="11"/>
  <c r="D7550" i="11" s="1"/>
  <c r="B7566" i="11"/>
  <c r="D7566" i="11" s="1"/>
  <c r="B7582" i="11"/>
  <c r="B7598" i="11"/>
  <c r="B7614" i="11"/>
  <c r="B7630" i="11"/>
  <c r="B7646" i="11"/>
  <c r="B7662" i="11"/>
  <c r="D7662" i="11" s="1"/>
  <c r="B7678" i="11"/>
  <c r="D7678" i="11" s="1"/>
  <c r="B7694" i="11"/>
  <c r="B7710" i="11"/>
  <c r="B7726" i="11"/>
  <c r="B7742" i="11"/>
  <c r="B7758" i="11"/>
  <c r="B7774" i="11"/>
  <c r="B7790" i="11"/>
  <c r="D7790" i="11" s="1"/>
  <c r="B1937" i="11"/>
  <c r="B2698" i="11"/>
  <c r="C2698" i="11" s="1"/>
  <c r="B3195" i="11"/>
  <c r="B3536" i="11"/>
  <c r="C3536" i="11" s="1"/>
  <c r="B3794" i="11"/>
  <c r="C3794" i="11" s="1"/>
  <c r="B3986" i="11"/>
  <c r="D3986" i="11" s="1"/>
  <c r="B4242" i="11"/>
  <c r="C4242" i="11" s="1"/>
  <c r="B4466" i="11"/>
  <c r="C4466" i="11" s="1"/>
  <c r="B4690" i="11"/>
  <c r="C4690" i="11" s="1"/>
  <c r="B4946" i="11"/>
  <c r="B5132" i="11"/>
  <c r="C5132" i="11" s="1"/>
  <c r="B5272" i="11"/>
  <c r="B5400" i="11"/>
  <c r="C5400" i="11" s="1"/>
  <c r="B5512" i="11"/>
  <c r="C5512" i="11" s="1"/>
  <c r="B5608" i="11"/>
  <c r="B5736" i="11"/>
  <c r="B5848" i="11"/>
  <c r="B5960" i="11"/>
  <c r="B6088" i="11"/>
  <c r="B6184" i="11"/>
  <c r="B6296" i="11"/>
  <c r="B6424" i="11"/>
  <c r="B6536" i="11"/>
  <c r="B6592" i="11"/>
  <c r="B6634" i="11"/>
  <c r="B6672" i="11"/>
  <c r="B6709" i="11"/>
  <c r="C6709" i="11" s="1"/>
  <c r="B6752" i="11"/>
  <c r="B6784" i="11"/>
  <c r="B6821" i="11"/>
  <c r="C6821" i="11" s="1"/>
  <c r="B6864" i="11"/>
  <c r="B6901" i="11"/>
  <c r="C6901" i="11" s="1"/>
  <c r="B6933" i="11"/>
  <c r="B6976" i="11"/>
  <c r="B7013" i="11"/>
  <c r="C7013" i="11" s="1"/>
  <c r="B7050" i="11"/>
  <c r="B7093" i="11"/>
  <c r="B7125" i="11"/>
  <c r="C7125" i="11" s="1"/>
  <c r="B7162" i="11"/>
  <c r="B7205" i="11"/>
  <c r="C7205" i="11" s="1"/>
  <c r="B7242" i="11"/>
  <c r="B7274" i="11"/>
  <c r="B7314" i="11"/>
  <c r="B7342" i="11"/>
  <c r="D7342" i="11" s="1"/>
  <c r="B7370" i="11"/>
  <c r="B7402" i="11"/>
  <c r="B7426" i="11"/>
  <c r="B7450" i="11"/>
  <c r="D7450" i="11" s="1"/>
  <c r="B7474" i="11"/>
  <c r="B7494" i="11"/>
  <c r="B7514" i="11"/>
  <c r="D7514" i="11" s="1"/>
  <c r="B7538" i="11"/>
  <c r="B7558" i="11"/>
  <c r="D7558" i="11" s="1"/>
  <c r="B7578" i="11"/>
  <c r="B7602" i="11"/>
  <c r="B7622" i="11"/>
  <c r="D7622" i="11" s="1"/>
  <c r="B7642" i="11"/>
  <c r="B7666" i="11"/>
  <c r="B7686" i="11"/>
  <c r="D7686" i="11" s="1"/>
  <c r="B7706" i="11"/>
  <c r="B7730" i="11"/>
  <c r="B7750" i="11"/>
  <c r="D7750" i="11" s="1"/>
  <c r="B7770" i="11"/>
  <c r="D7770" i="11" s="1"/>
  <c r="B2314" i="11"/>
  <c r="B3067" i="11"/>
  <c r="B3366" i="11"/>
  <c r="C3366" i="11" s="1"/>
  <c r="B3664" i="11"/>
  <c r="C3664" i="11" s="1"/>
  <c r="B3922" i="11"/>
  <c r="C3922" i="11" s="1"/>
  <c r="B4114" i="11"/>
  <c r="C4114" i="11" s="1"/>
  <c r="B4338" i="11"/>
  <c r="D4338" i="11" s="1"/>
  <c r="B4594" i="11"/>
  <c r="C4594" i="11" s="1"/>
  <c r="B4818" i="11"/>
  <c r="B5010" i="11"/>
  <c r="B5218" i="11"/>
  <c r="B5336" i="11"/>
  <c r="D5336" i="11" s="1"/>
  <c r="B5448" i="11"/>
  <c r="C5448" i="11" s="1"/>
  <c r="B5576" i="11"/>
  <c r="D5576" i="11" s="1"/>
  <c r="B5672" i="11"/>
  <c r="B5784" i="11"/>
  <c r="B5912" i="11"/>
  <c r="B6024" i="11"/>
  <c r="B6120" i="11"/>
  <c r="B6248" i="11"/>
  <c r="B6360" i="11"/>
  <c r="B6472" i="11"/>
  <c r="C6472" i="11" s="1"/>
  <c r="B6581" i="11"/>
  <c r="C6581" i="11" s="1"/>
  <c r="B6613" i="11"/>
  <c r="C6613" i="11" s="1"/>
  <c r="B6650" i="11"/>
  <c r="B6693" i="11"/>
  <c r="B6730" i="11"/>
  <c r="B6762" i="11"/>
  <c r="D6762" i="11" s="1"/>
  <c r="B6805" i="11"/>
  <c r="C6805" i="11" s="1"/>
  <c r="B6842" i="11"/>
  <c r="D6842" i="11" s="1"/>
  <c r="B6880" i="11"/>
  <c r="B6922" i="11"/>
  <c r="B6954" i="11"/>
  <c r="B6992" i="11"/>
  <c r="B7034" i="11"/>
  <c r="B7072" i="11"/>
  <c r="B7104" i="11"/>
  <c r="B7146" i="11"/>
  <c r="B7184" i="11"/>
  <c r="B7221" i="11"/>
  <c r="C7221" i="11" s="1"/>
  <c r="B7264" i="11"/>
  <c r="B7296" i="11"/>
  <c r="B7326" i="11"/>
  <c r="B7358" i="11"/>
  <c r="B7386" i="11"/>
  <c r="B7410" i="11"/>
  <c r="D7410" i="11" s="1"/>
  <c r="B7442" i="11"/>
  <c r="D7442" i="11" s="1"/>
  <c r="B7462" i="11"/>
  <c r="D7462" i="11" s="1"/>
  <c r="B7482" i="11"/>
  <c r="D7482" i="11" s="1"/>
  <c r="B7506" i="11"/>
  <c r="D7506" i="11" s="1"/>
  <c r="B7526" i="11"/>
  <c r="B7546" i="11"/>
  <c r="D7546" i="11" s="1"/>
  <c r="B7570" i="11"/>
  <c r="B7590" i="11"/>
  <c r="B7610" i="11"/>
  <c r="D7610" i="11" s="1"/>
  <c r="B7634" i="11"/>
  <c r="B7654" i="11"/>
  <c r="B7674" i="11"/>
  <c r="B7698" i="11"/>
  <c r="B7718" i="11"/>
  <c r="B7738" i="11"/>
  <c r="B7762" i="11"/>
  <c r="D7762" i="11" s="1"/>
  <c r="B7782" i="11"/>
  <c r="B7802" i="11"/>
  <c r="D7802" i="11" s="1"/>
  <c r="B7818" i="11"/>
  <c r="B7834" i="11"/>
  <c r="D7834" i="11" s="1"/>
  <c r="B7850" i="11"/>
  <c r="D7850" i="11" s="1"/>
  <c r="B7866" i="11"/>
  <c r="D7866" i="11" s="1"/>
  <c r="B7882" i="11"/>
  <c r="B7898" i="11"/>
  <c r="B7914" i="11"/>
  <c r="B7930" i="11"/>
  <c r="D7930" i="11" s="1"/>
  <c r="B7946" i="11"/>
  <c r="D7946" i="11" s="1"/>
  <c r="B7962" i="11"/>
  <c r="D7962" i="11" s="1"/>
  <c r="B7978" i="11"/>
  <c r="D7978" i="11" s="1"/>
  <c r="B7994" i="11"/>
  <c r="D7994" i="11" s="1"/>
  <c r="B8010" i="11"/>
  <c r="B8026" i="11"/>
  <c r="B8042" i="11"/>
  <c r="D8042" i="11" s="1"/>
  <c r="B8058" i="11"/>
  <c r="D8058" i="11" s="1"/>
  <c r="B8074" i="11"/>
  <c r="D8074" i="11" s="1"/>
  <c r="B8090" i="11"/>
  <c r="D8090" i="11" s="1"/>
  <c r="B8106" i="11"/>
  <c r="B8122" i="11"/>
  <c r="D8122" i="11" s="1"/>
  <c r="B8138" i="11"/>
  <c r="B8154" i="11"/>
  <c r="D8154" i="11" s="1"/>
  <c r="B8170" i="11"/>
  <c r="B8186" i="11"/>
  <c r="D8186" i="11" s="1"/>
  <c r="B8202" i="11"/>
  <c r="B8218" i="11"/>
  <c r="B8234" i="11"/>
  <c r="B8250" i="11"/>
  <c r="D8250" i="11" s="1"/>
  <c r="B8266" i="11"/>
  <c r="B8282" i="11"/>
  <c r="B8298" i="11"/>
  <c r="B8314" i="11"/>
  <c r="B8330" i="11"/>
  <c r="B8346" i="11"/>
  <c r="D8346" i="11" s="1"/>
  <c r="B8362" i="11"/>
  <c r="B8378" i="11"/>
  <c r="B8394" i="11"/>
  <c r="B8410" i="11"/>
  <c r="B8426" i="11"/>
  <c r="B8442" i="11"/>
  <c r="B8458" i="11"/>
  <c r="B8474" i="11"/>
  <c r="B8490" i="11"/>
  <c r="B8506" i="11"/>
  <c r="B8522" i="11"/>
  <c r="B8538" i="11"/>
  <c r="C8538" i="11" s="1"/>
  <c r="B8554" i="11"/>
  <c r="B8570" i="11"/>
  <c r="B8586" i="11"/>
  <c r="B8602" i="11"/>
  <c r="B8618" i="11"/>
  <c r="B8634" i="11"/>
  <c r="C8634" i="11" s="1"/>
  <c r="B8650" i="11"/>
  <c r="B8666" i="11"/>
  <c r="B8682" i="11"/>
  <c r="B8698" i="11"/>
  <c r="C8698" i="11" s="1"/>
  <c r="B8714" i="11"/>
  <c r="C8714" i="11" s="1"/>
  <c r="B8730" i="11"/>
  <c r="B8746" i="11"/>
  <c r="B8762" i="11"/>
  <c r="C8762" i="11" s="1"/>
  <c r="B8778" i="11"/>
  <c r="B8794" i="11"/>
  <c r="B8810" i="11"/>
  <c r="C8810" i="11" s="1"/>
  <c r="B8826" i="11"/>
  <c r="C8826" i="11" s="1"/>
  <c r="B8842" i="11"/>
  <c r="B8858" i="11"/>
  <c r="B8874" i="11"/>
  <c r="B8890" i="11"/>
  <c r="C8890" i="11" s="1"/>
  <c r="B8906" i="11"/>
  <c r="B8922" i="11"/>
  <c r="B8932" i="11"/>
  <c r="D8932" i="11" s="1"/>
  <c r="B8942" i="11"/>
  <c r="B8954" i="11"/>
  <c r="B8964" i="11"/>
  <c r="B8974" i="11"/>
  <c r="B8986" i="11"/>
  <c r="C8986" i="11" s="1"/>
  <c r="B8996" i="11"/>
  <c r="B9006" i="11"/>
  <c r="C9006" i="11" s="1"/>
  <c r="B9018" i="11"/>
  <c r="B9028" i="11"/>
  <c r="C9028" i="11" s="1"/>
  <c r="B9038" i="11"/>
  <c r="B9050" i="11"/>
  <c r="B9060" i="11"/>
  <c r="C9060" i="11" s="1"/>
  <c r="B9070" i="11"/>
  <c r="B9082" i="11"/>
  <c r="B9092" i="11"/>
  <c r="D9092" i="11" s="1"/>
  <c r="B9102" i="11"/>
  <c r="B9114" i="11"/>
  <c r="C9114" i="11" s="1"/>
  <c r="B9124" i="11"/>
  <c r="B9134" i="11"/>
  <c r="B9146" i="11"/>
  <c r="B9156" i="11"/>
  <c r="C9156" i="11" s="1"/>
  <c r="B9166" i="11"/>
  <c r="B9178" i="11"/>
  <c r="B9188" i="11"/>
  <c r="B9198" i="11"/>
  <c r="C9198" i="11" s="1"/>
  <c r="B9210" i="11"/>
  <c r="B9220" i="11"/>
  <c r="B9230" i="11"/>
  <c r="B9242" i="11"/>
  <c r="C9242" i="11" s="1"/>
  <c r="B9252" i="11"/>
  <c r="B9262" i="11"/>
  <c r="B9274" i="11"/>
  <c r="B9284" i="11"/>
  <c r="C9284" i="11" s="1"/>
  <c r="B9294" i="11"/>
  <c r="B9306" i="11"/>
  <c r="B2145" i="11"/>
  <c r="B3323" i="11"/>
  <c r="B3826" i="11"/>
  <c r="D3826" i="11" s="1"/>
  <c r="B4306" i="11"/>
  <c r="C4306" i="11" s="1"/>
  <c r="B4754" i="11"/>
  <c r="B5175" i="11"/>
  <c r="B5416" i="11"/>
  <c r="C5416" i="11" s="1"/>
  <c r="B5656" i="11"/>
  <c r="C5656" i="11" s="1"/>
  <c r="B5864" i="11"/>
  <c r="B6104" i="11"/>
  <c r="B6344" i="11"/>
  <c r="B6552" i="11"/>
  <c r="B6645" i="11"/>
  <c r="C6645" i="11" s="1"/>
  <c r="B6720" i="11"/>
  <c r="C6720" i="11" s="1"/>
  <c r="B6794" i="11"/>
  <c r="B6869" i="11"/>
  <c r="B6949" i="11"/>
  <c r="C6949" i="11" s="1"/>
  <c r="B7018" i="11"/>
  <c r="B7098" i="11"/>
  <c r="B7178" i="11"/>
  <c r="B7248" i="11"/>
  <c r="B7322" i="11"/>
  <c r="B7378" i="11"/>
  <c r="B7434" i="11"/>
  <c r="B7478" i="11"/>
  <c r="B7522" i="11"/>
  <c r="B7562" i="11"/>
  <c r="D7562" i="11" s="1"/>
  <c r="B7606" i="11"/>
  <c r="B7650" i="11"/>
  <c r="B7690" i="11"/>
  <c r="D7690" i="11" s="1"/>
  <c r="B7734" i="11"/>
  <c r="D7734" i="11" s="1"/>
  <c r="B7778" i="11"/>
  <c r="B7806" i="11"/>
  <c r="B7826" i="11"/>
  <c r="B7846" i="11"/>
  <c r="B7870" i="11"/>
  <c r="B7890" i="11"/>
  <c r="B7910" i="11"/>
  <c r="B7934" i="11"/>
  <c r="D7934" i="11" s="1"/>
  <c r="B7954" i="11"/>
  <c r="B7974" i="11"/>
  <c r="B7998" i="11"/>
  <c r="B8018" i="11"/>
  <c r="B8038" i="11"/>
  <c r="D8038" i="11" s="1"/>
  <c r="B8062" i="11"/>
  <c r="B8082" i="11"/>
  <c r="B8102" i="11"/>
  <c r="D8102" i="11" s="1"/>
  <c r="B8126" i="11"/>
  <c r="B8146" i="11"/>
  <c r="B8166" i="11"/>
  <c r="D8166" i="11" s="1"/>
  <c r="B8190" i="11"/>
  <c r="B8210" i="11"/>
  <c r="B8230" i="11"/>
  <c r="B8254" i="11"/>
  <c r="D8254" i="11" s="1"/>
  <c r="B8274" i="11"/>
  <c r="B8294" i="11"/>
  <c r="B8318" i="11"/>
  <c r="D8318" i="11" s="1"/>
  <c r="B8338" i="11"/>
  <c r="D8338" i="11" s="1"/>
  <c r="B8358" i="11"/>
  <c r="B8382" i="11"/>
  <c r="B8402" i="11"/>
  <c r="B8422" i="11"/>
  <c r="D8422" i="11" s="1"/>
  <c r="B8446" i="11"/>
  <c r="B8466" i="11"/>
  <c r="D8466" i="11" s="1"/>
  <c r="B8486" i="11"/>
  <c r="B8510" i="11"/>
  <c r="B8530" i="11"/>
  <c r="B8550" i="11"/>
  <c r="B8574" i="11"/>
  <c r="B8594" i="11"/>
  <c r="B8614" i="11"/>
  <c r="B8638" i="11"/>
  <c r="B2570" i="11"/>
  <c r="B3408" i="11"/>
  <c r="B3954" i="11"/>
  <c r="C3954" i="11" s="1"/>
  <c r="B4434" i="11"/>
  <c r="C4434" i="11" s="1"/>
  <c r="B4850" i="11"/>
  <c r="D4850" i="11" s="1"/>
  <c r="B5256" i="11"/>
  <c r="D5256" i="11" s="1"/>
  <c r="B5480" i="11"/>
  <c r="C5480" i="11" s="1"/>
  <c r="B5704" i="11"/>
  <c r="B5928" i="11"/>
  <c r="B6168" i="11"/>
  <c r="C6168" i="11" s="1"/>
  <c r="B6376" i="11"/>
  <c r="B6586" i="11"/>
  <c r="D6586" i="11" s="1"/>
  <c r="B6666" i="11"/>
  <c r="B6736" i="11"/>
  <c r="C6736" i="11" s="1"/>
  <c r="B6816" i="11"/>
  <c r="B6890" i="11"/>
  <c r="B6965" i="11"/>
  <c r="C6965" i="11" s="1"/>
  <c r="B7040" i="11"/>
  <c r="C7040" i="11" s="1"/>
  <c r="B7120" i="11"/>
  <c r="B7189" i="11"/>
  <c r="C7189" i="11" s="1"/>
  <c r="B7269" i="11"/>
  <c r="C7269" i="11" s="1"/>
  <c r="B7338" i="11"/>
  <c r="D7338" i="11" s="1"/>
  <c r="B7390" i="11"/>
  <c r="B7446" i="11"/>
  <c r="D7446" i="11" s="1"/>
  <c r="B7490" i="11"/>
  <c r="D7490" i="11" s="1"/>
  <c r="B7530" i="11"/>
  <c r="B7574" i="11"/>
  <c r="B7618" i="11"/>
  <c r="B7658" i="11"/>
  <c r="B7702" i="11"/>
  <c r="D7702" i="11" s="1"/>
  <c r="B7746" i="11"/>
  <c r="B7786" i="11"/>
  <c r="B7810" i="11"/>
  <c r="B7830" i="11"/>
  <c r="B7854" i="11"/>
  <c r="D7854" i="11" s="1"/>
  <c r="B7874" i="11"/>
  <c r="B7894" i="11"/>
  <c r="B7918" i="11"/>
  <c r="D7918" i="11" s="1"/>
  <c r="B7938" i="11"/>
  <c r="D7938" i="11" s="1"/>
  <c r="B7958" i="11"/>
  <c r="B7982" i="11"/>
  <c r="D7982" i="11" s="1"/>
  <c r="B8002" i="11"/>
  <c r="B8022" i="11"/>
  <c r="B8046" i="11"/>
  <c r="D8046" i="11" s="1"/>
  <c r="B8066" i="11"/>
  <c r="D8066" i="11" s="1"/>
  <c r="B8086" i="11"/>
  <c r="B8110" i="11"/>
  <c r="B8130" i="11"/>
  <c r="B8150" i="11"/>
  <c r="D8150" i="11" s="1"/>
  <c r="B8174" i="11"/>
  <c r="B8194" i="11"/>
  <c r="B8214" i="11"/>
  <c r="B8238" i="11"/>
  <c r="B8258" i="11"/>
  <c r="B8278" i="11"/>
  <c r="B8302" i="11"/>
  <c r="B8322" i="11"/>
  <c r="D8322" i="11" s="1"/>
  <c r="B8342" i="11"/>
  <c r="D8342" i="11" s="1"/>
  <c r="B8366" i="11"/>
  <c r="B8386" i="11"/>
  <c r="B8406" i="11"/>
  <c r="B8430" i="11"/>
  <c r="B8450" i="11"/>
  <c r="B8470" i="11"/>
  <c r="B8494" i="11"/>
  <c r="B8514" i="11"/>
  <c r="C8514" i="11" s="1"/>
  <c r="B8534" i="11"/>
  <c r="C8534" i="11" s="1"/>
  <c r="B8558" i="11"/>
  <c r="B8578" i="11"/>
  <c r="B8598" i="11"/>
  <c r="B8622" i="11"/>
  <c r="B8642" i="11"/>
  <c r="B8662" i="11"/>
  <c r="C8662" i="11" s="1"/>
  <c r="B8686" i="11"/>
  <c r="B8706" i="11"/>
  <c r="B8726" i="11"/>
  <c r="C8726" i="11" s="1"/>
  <c r="B8750" i="11"/>
  <c r="B8770" i="11"/>
  <c r="C8770" i="11" s="1"/>
  <c r="B8790" i="11"/>
  <c r="B8814" i="11"/>
  <c r="B8834" i="11"/>
  <c r="B8854" i="11"/>
  <c r="B8878" i="11"/>
  <c r="B8898" i="11"/>
  <c r="B8918" i="11"/>
  <c r="C8918" i="11" s="1"/>
  <c r="B8934" i="11"/>
  <c r="C8934" i="11" s="1"/>
  <c r="B8948" i="11"/>
  <c r="B8962" i="11"/>
  <c r="B8978" i="11"/>
  <c r="B8990" i="11"/>
  <c r="C8990" i="11" s="1"/>
  <c r="B9004" i="11"/>
  <c r="B9020" i="11"/>
  <c r="B9034" i="11"/>
  <c r="B9046" i="11"/>
  <c r="B9062" i="11"/>
  <c r="B9076" i="11"/>
  <c r="B9090" i="11"/>
  <c r="B9106" i="11"/>
  <c r="B9118" i="11"/>
  <c r="B9132" i="11"/>
  <c r="C9132" i="11" s="1"/>
  <c r="B9148" i="11"/>
  <c r="C9148" i="11" s="1"/>
  <c r="B9162" i="11"/>
  <c r="B9174" i="11"/>
  <c r="B9190" i="11"/>
  <c r="B9204" i="11"/>
  <c r="B9218" i="11"/>
  <c r="C9218" i="11" s="1"/>
  <c r="B9234" i="11"/>
  <c r="B9246" i="11"/>
  <c r="B9260" i="11"/>
  <c r="C9260" i="11" s="1"/>
  <c r="B9276" i="11"/>
  <c r="B9290" i="11"/>
  <c r="B9302" i="11"/>
  <c r="B9316" i="11"/>
  <c r="B9326" i="11"/>
  <c r="B9338" i="11"/>
  <c r="B9348" i="11"/>
  <c r="B9358" i="11"/>
  <c r="B9370" i="11"/>
  <c r="D9370" i="11" s="1"/>
  <c r="B9380" i="11"/>
  <c r="B9390" i="11"/>
  <c r="B9402" i="11"/>
  <c r="B9412" i="11"/>
  <c r="B9422" i="11"/>
  <c r="B9434" i="11"/>
  <c r="D9434" i="11" s="1"/>
  <c r="B9444" i="11"/>
  <c r="B9454" i="11"/>
  <c r="B9466" i="11"/>
  <c r="B9476" i="11"/>
  <c r="B9486" i="11"/>
  <c r="B9498" i="11"/>
  <c r="D9498" i="11" s="1"/>
  <c r="B9508" i="11"/>
  <c r="B9518" i="11"/>
  <c r="D9518" i="11" s="1"/>
  <c r="B9530" i="11"/>
  <c r="B9540" i="11"/>
  <c r="B9550" i="11"/>
  <c r="B9562" i="11"/>
  <c r="B9572" i="11"/>
  <c r="B9582" i="11"/>
  <c r="B9594" i="11"/>
  <c r="B9604" i="11"/>
  <c r="B9614" i="11"/>
  <c r="B9626" i="11"/>
  <c r="D9626" i="11" s="1"/>
  <c r="B9636" i="11"/>
  <c r="B9646" i="11"/>
  <c r="B9658" i="11"/>
  <c r="B9668" i="11"/>
  <c r="B9678" i="11"/>
  <c r="B9690" i="11"/>
  <c r="B9700" i="11"/>
  <c r="B9710" i="11"/>
  <c r="B9722" i="11"/>
  <c r="B9732" i="11"/>
  <c r="D9732" i="11" s="1"/>
  <c r="B9742" i="11"/>
  <c r="B9754" i="11"/>
  <c r="B9764" i="11"/>
  <c r="B9774" i="11"/>
  <c r="B9786" i="11"/>
  <c r="D9786" i="11" s="1"/>
  <c r="B9796" i="11"/>
  <c r="B9806" i="11"/>
  <c r="B9818" i="11"/>
  <c r="B9828" i="11"/>
  <c r="B9838" i="11"/>
  <c r="D9838" i="11" s="1"/>
  <c r="B9850" i="11"/>
  <c r="B9860" i="11"/>
  <c r="B9870" i="11"/>
  <c r="B9882" i="11"/>
  <c r="D9882" i="11" s="1"/>
  <c r="B9892" i="11"/>
  <c r="B9902" i="11"/>
  <c r="B9914" i="11"/>
  <c r="B9924" i="11"/>
  <c r="B10006" i="11"/>
  <c r="B9996" i="11"/>
  <c r="B9986" i="11"/>
  <c r="D9986" i="11" s="1"/>
  <c r="B9974" i="11"/>
  <c r="B9964" i="11"/>
  <c r="B9954" i="11"/>
  <c r="B9942" i="11"/>
  <c r="B9932" i="11"/>
  <c r="D9932" i="11" s="1"/>
  <c r="B9918" i="11"/>
  <c r="B9906" i="11"/>
  <c r="B9890" i="11"/>
  <c r="B9876" i="11"/>
  <c r="B9862" i="11"/>
  <c r="B9846" i="11"/>
  <c r="D9846" i="11" s="1"/>
  <c r="B9834" i="11"/>
  <c r="D9834" i="11" s="1"/>
  <c r="B9820" i="11"/>
  <c r="B9804" i="11"/>
  <c r="C9804" i="11" s="1"/>
  <c r="B9790" i="11"/>
  <c r="B9778" i="11"/>
  <c r="B9762" i="11"/>
  <c r="B9748" i="11"/>
  <c r="B9734" i="11"/>
  <c r="B9718" i="11"/>
  <c r="B9706" i="11"/>
  <c r="B9692" i="11"/>
  <c r="B9676" i="11"/>
  <c r="B9662" i="11"/>
  <c r="B9650" i="11"/>
  <c r="B9634" i="11"/>
  <c r="B9620" i="11"/>
  <c r="B9606" i="11"/>
  <c r="B9590" i="11"/>
  <c r="B9578" i="11"/>
  <c r="B9564" i="11"/>
  <c r="B9548" i="11"/>
  <c r="C9548" i="11" s="1"/>
  <c r="B9534" i="11"/>
  <c r="D9534" i="11" s="1"/>
  <c r="B9522" i="11"/>
  <c r="B9506" i="11"/>
  <c r="B9492" i="11"/>
  <c r="B9478" i="11"/>
  <c r="D9478" i="11" s="1"/>
  <c r="B9462" i="11"/>
  <c r="B9450" i="11"/>
  <c r="B9436" i="11"/>
  <c r="B9420" i="11"/>
  <c r="B9406" i="11"/>
  <c r="D9406" i="11" s="1"/>
  <c r="B9394" i="11"/>
  <c r="B9378" i="11"/>
  <c r="B9364" i="11"/>
  <c r="B9350" i="11"/>
  <c r="B9334" i="11"/>
  <c r="B9322" i="11"/>
  <c r="B9308" i="11"/>
  <c r="B9286" i="11"/>
  <c r="C9286" i="11" s="1"/>
  <c r="B9268" i="11"/>
  <c r="D9268" i="11" s="1"/>
  <c r="B9250" i="11"/>
  <c r="B9228" i="11"/>
  <c r="D9228" i="11" s="1"/>
  <c r="B9212" i="11"/>
  <c r="B9194" i="11"/>
  <c r="B9172" i="11"/>
  <c r="B9154" i="11"/>
  <c r="C9154" i="11" s="1"/>
  <c r="B9138" i="11"/>
  <c r="B9116" i="11"/>
  <c r="B9098" i="11"/>
  <c r="B9078" i="11"/>
  <c r="B9058" i="11"/>
  <c r="B9042" i="11"/>
  <c r="B9022" i="11"/>
  <c r="B9002" i="11"/>
  <c r="C9002" i="11" s="1"/>
  <c r="B8982" i="11"/>
  <c r="C8982" i="11" s="1"/>
  <c r="B8966" i="11"/>
  <c r="B8946" i="11"/>
  <c r="B8926" i="11"/>
  <c r="C8926" i="11" s="1"/>
  <c r="B8902" i="11"/>
  <c r="B8870" i="11"/>
  <c r="C8870" i="11" s="1"/>
  <c r="B8846" i="11"/>
  <c r="B8818" i="11"/>
  <c r="C8818" i="11" s="1"/>
  <c r="B8786" i="11"/>
  <c r="B8758" i="11"/>
  <c r="C8758" i="11" s="1"/>
  <c r="B8734" i="11"/>
  <c r="C8734" i="11" s="1"/>
  <c r="B8702" i="11"/>
  <c r="B8674" i="11"/>
  <c r="B8646" i="11"/>
  <c r="C8646" i="11" s="1"/>
  <c r="B8606" i="11"/>
  <c r="B8562" i="11"/>
  <c r="B8518" i="11"/>
  <c r="B8478" i="11"/>
  <c r="C8478" i="11" s="1"/>
  <c r="B8434" i="11"/>
  <c r="B8390" i="11"/>
  <c r="B8350" i="11"/>
  <c r="B8306" i="11"/>
  <c r="B8262" i="11"/>
  <c r="B8222" i="11"/>
  <c r="B8178" i="11"/>
  <c r="B8134" i="11"/>
  <c r="B8094" i="11"/>
  <c r="B8050" i="11"/>
  <c r="B8006" i="11"/>
  <c r="B7966" i="11"/>
  <c r="B7922" i="11"/>
  <c r="B7878" i="11"/>
  <c r="D7878" i="11" s="1"/>
  <c r="B7838" i="11"/>
  <c r="B7794" i="11"/>
  <c r="B7714" i="11"/>
  <c r="B7626" i="11"/>
  <c r="D7626" i="11" s="1"/>
  <c r="B7542" i="11"/>
  <c r="B7458" i="11"/>
  <c r="B7346" i="11"/>
  <c r="B7210" i="11"/>
  <c r="B7061" i="11"/>
  <c r="C7061" i="11" s="1"/>
  <c r="B6906" i="11"/>
  <c r="B6757" i="11"/>
  <c r="C6757" i="11" s="1"/>
  <c r="B6608" i="11"/>
  <c r="B6216" i="11"/>
  <c r="B5768" i="11"/>
  <c r="D5768" i="11" s="1"/>
  <c r="B5320" i="11"/>
  <c r="C5320" i="11" s="1"/>
  <c r="B4498" i="11"/>
  <c r="C4498" i="11" s="1"/>
  <c r="B3579" i="11"/>
  <c r="B7290" i="11"/>
  <c r="B7136" i="11"/>
  <c r="B6986" i="11"/>
  <c r="B6837" i="11"/>
  <c r="C6837" i="11" s="1"/>
  <c r="B6677" i="11"/>
  <c r="B6440" i="11"/>
  <c r="B5992" i="11"/>
  <c r="B5528" i="11"/>
  <c r="C5528" i="11" s="1"/>
  <c r="B4978" i="11"/>
  <c r="D4978" i="11" s="1"/>
  <c r="B4082" i="11"/>
  <c r="D4082" i="11" s="1"/>
  <c r="B2826" i="11"/>
  <c r="C9934" i="11"/>
  <c r="B13" i="11"/>
  <c r="B17" i="11"/>
  <c r="B21" i="11"/>
  <c r="B25" i="11"/>
  <c r="D25" i="11" s="1"/>
  <c r="B29" i="11"/>
  <c r="C29" i="11" s="1"/>
  <c r="B33" i="11"/>
  <c r="B37" i="11"/>
  <c r="B41" i="11"/>
  <c r="C41" i="11" s="1"/>
  <c r="B45" i="11"/>
  <c r="D45" i="11" s="1"/>
  <c r="B49" i="11"/>
  <c r="B53" i="11"/>
  <c r="B57" i="11"/>
  <c r="C57" i="11" s="1"/>
  <c r="B61" i="11"/>
  <c r="B65" i="11"/>
  <c r="B69" i="11"/>
  <c r="B73" i="11"/>
  <c r="B77" i="11"/>
  <c r="D77" i="11" s="1"/>
  <c r="B81" i="11"/>
  <c r="B85" i="11"/>
  <c r="C85" i="11" s="1"/>
  <c r="B89" i="11"/>
  <c r="D89" i="11" s="1"/>
  <c r="B93" i="11"/>
  <c r="C93" i="11" s="1"/>
  <c r="B97" i="11"/>
  <c r="B101" i="11"/>
  <c r="B105" i="11"/>
  <c r="C105" i="11" s="1"/>
  <c r="B109" i="11"/>
  <c r="D109" i="11" s="1"/>
  <c r="B113" i="11"/>
  <c r="B117" i="11"/>
  <c r="C117" i="11" s="1"/>
  <c r="B121" i="11"/>
  <c r="B125" i="11"/>
  <c r="B129" i="11"/>
  <c r="C129" i="11" s="1"/>
  <c r="B133" i="11"/>
  <c r="D133" i="11" s="1"/>
  <c r="B137" i="11"/>
  <c r="B141" i="11"/>
  <c r="B145" i="11"/>
  <c r="B149" i="11"/>
  <c r="B153" i="11"/>
  <c r="C153" i="11" s="1"/>
  <c r="B157" i="11"/>
  <c r="B161" i="11"/>
  <c r="B165" i="11"/>
  <c r="C165" i="11" s="1"/>
  <c r="B169" i="11"/>
  <c r="B173" i="11"/>
  <c r="B177" i="11"/>
  <c r="B181" i="11"/>
  <c r="C181" i="11" s="1"/>
  <c r="B185" i="11"/>
  <c r="D185" i="11" s="1"/>
  <c r="B189" i="11"/>
  <c r="D189" i="11" s="1"/>
  <c r="B193" i="11"/>
  <c r="B197" i="11"/>
  <c r="C197" i="11" s="1"/>
  <c r="B201" i="11"/>
  <c r="D201" i="11" s="1"/>
  <c r="B205" i="11"/>
  <c r="D205" i="11" s="1"/>
  <c r="B209" i="11"/>
  <c r="B213" i="11"/>
  <c r="B217" i="11"/>
  <c r="D217" i="11" s="1"/>
  <c r="B221" i="11"/>
  <c r="D221" i="11" s="1"/>
  <c r="B225" i="11"/>
  <c r="D225" i="11" s="1"/>
  <c r="B229" i="11"/>
  <c r="D229" i="11" s="1"/>
  <c r="B233" i="11"/>
  <c r="D233" i="11" s="1"/>
  <c r="B237" i="11"/>
  <c r="D237" i="11" s="1"/>
  <c r="B241" i="11"/>
  <c r="B245" i="11"/>
  <c r="C245" i="11" s="1"/>
  <c r="B249" i="11"/>
  <c r="C249" i="11" s="1"/>
  <c r="B253" i="11"/>
  <c r="D253" i="11" s="1"/>
  <c r="B257" i="11"/>
  <c r="B261" i="11"/>
  <c r="C261" i="11" s="1"/>
  <c r="B265" i="11"/>
  <c r="D265" i="11" s="1"/>
  <c r="B269" i="11"/>
  <c r="B273" i="11"/>
  <c r="D273" i="11" s="1"/>
  <c r="B277" i="11"/>
  <c r="D277" i="11" s="1"/>
  <c r="B281" i="11"/>
  <c r="D281" i="11" s="1"/>
  <c r="B285" i="11"/>
  <c r="B289" i="11"/>
  <c r="B293" i="11"/>
  <c r="D293" i="11" s="1"/>
  <c r="B297" i="11"/>
  <c r="D297" i="11" s="1"/>
  <c r="B301" i="11"/>
  <c r="D301" i="11" s="1"/>
  <c r="B305" i="11"/>
  <c r="D305" i="11" s="1"/>
  <c r="B309" i="11"/>
  <c r="C309" i="11" s="1"/>
  <c r="B313" i="11"/>
  <c r="C313" i="11" s="1"/>
  <c r="B317" i="11"/>
  <c r="B321" i="11"/>
  <c r="B325" i="11"/>
  <c r="B329" i="11"/>
  <c r="B333" i="11"/>
  <c r="C333" i="11" s="1"/>
  <c r="B337" i="11"/>
  <c r="D337" i="11" s="1"/>
  <c r="B341" i="11"/>
  <c r="B345" i="11"/>
  <c r="B349" i="11"/>
  <c r="D349" i="11" s="1"/>
  <c r="B15" i="11"/>
  <c r="B19" i="11"/>
  <c r="B23" i="11"/>
  <c r="B27" i="11"/>
  <c r="B31" i="11"/>
  <c r="B35" i="11"/>
  <c r="B39" i="11"/>
  <c r="B43" i="11"/>
  <c r="B47" i="11"/>
  <c r="B51" i="11"/>
  <c r="B55" i="11"/>
  <c r="B59" i="11"/>
  <c r="B63" i="11"/>
  <c r="B67" i="11"/>
  <c r="B71" i="11"/>
  <c r="B75" i="11"/>
  <c r="B79" i="11"/>
  <c r="B83" i="11"/>
  <c r="B87" i="11"/>
  <c r="B91" i="11"/>
  <c r="B95" i="11"/>
  <c r="B99" i="11"/>
  <c r="B103" i="11"/>
  <c r="B107" i="11"/>
  <c r="B111" i="11"/>
  <c r="B115" i="11"/>
  <c r="B119" i="11"/>
  <c r="B123" i="11"/>
  <c r="B127" i="11"/>
  <c r="B131" i="11"/>
  <c r="C131" i="11" s="1"/>
  <c r="B135" i="11"/>
  <c r="B139" i="11"/>
  <c r="C139" i="11" s="1"/>
  <c r="B143" i="11"/>
  <c r="B147" i="11"/>
  <c r="B151" i="11"/>
  <c r="B155" i="11"/>
  <c r="C155" i="11" s="1"/>
  <c r="B159" i="11"/>
  <c r="B163" i="11"/>
  <c r="C163" i="11" s="1"/>
  <c r="B167" i="11"/>
  <c r="C167" i="11" s="1"/>
  <c r="B171" i="11"/>
  <c r="C171" i="11" s="1"/>
  <c r="B175" i="11"/>
  <c r="B179" i="11"/>
  <c r="B183" i="11"/>
  <c r="B187" i="11"/>
  <c r="B191" i="11"/>
  <c r="B195" i="11"/>
  <c r="B199" i="11"/>
  <c r="B203" i="11"/>
  <c r="B207" i="11"/>
  <c r="B211" i="11"/>
  <c r="B215" i="11"/>
  <c r="B219" i="11"/>
  <c r="B223" i="11"/>
  <c r="B227" i="11"/>
  <c r="B231" i="11"/>
  <c r="B235" i="11"/>
  <c r="B239" i="11"/>
  <c r="B243" i="11"/>
  <c r="B247" i="11"/>
  <c r="B251" i="11"/>
  <c r="B255" i="11"/>
  <c r="B259" i="11"/>
  <c r="B263" i="11"/>
  <c r="B267" i="11"/>
  <c r="B271" i="11"/>
  <c r="B275" i="11"/>
  <c r="B279" i="11"/>
  <c r="B283" i="11"/>
  <c r="B287" i="11"/>
  <c r="B291" i="11"/>
  <c r="B295" i="11"/>
  <c r="B299" i="11"/>
  <c r="D299" i="11" s="1"/>
  <c r="B303" i="11"/>
  <c r="B307" i="11"/>
  <c r="D307" i="11" s="1"/>
  <c r="B311" i="11"/>
  <c r="B315" i="11"/>
  <c r="B319" i="11"/>
  <c r="B323" i="11"/>
  <c r="C323" i="11" s="1"/>
  <c r="B327" i="11"/>
  <c r="B331" i="11"/>
  <c r="B335" i="11"/>
  <c r="B339" i="11"/>
  <c r="B343" i="11"/>
  <c r="D343" i="11" s="1"/>
  <c r="B347" i="11"/>
  <c r="D347" i="11" s="1"/>
  <c r="B351" i="11"/>
  <c r="B14" i="11"/>
  <c r="B22" i="11"/>
  <c r="C22" i="11" s="1"/>
  <c r="B30" i="11"/>
  <c r="B38" i="11"/>
  <c r="D38" i="11" s="1"/>
  <c r="B46" i="11"/>
  <c r="B54" i="11"/>
  <c r="B62" i="11"/>
  <c r="B70" i="11"/>
  <c r="C70" i="11" s="1"/>
  <c r="B78" i="11"/>
  <c r="B86" i="11"/>
  <c r="C86" i="11" s="1"/>
  <c r="B94" i="11"/>
  <c r="B102" i="11"/>
  <c r="B110" i="11"/>
  <c r="D110" i="11" s="1"/>
  <c r="B118" i="11"/>
  <c r="D118" i="11" s="1"/>
  <c r="B126" i="11"/>
  <c r="D126" i="11" s="1"/>
  <c r="B134" i="11"/>
  <c r="B142" i="11"/>
  <c r="B150" i="11"/>
  <c r="B158" i="11"/>
  <c r="D158" i="11" s="1"/>
  <c r="B166" i="11"/>
  <c r="B174" i="11"/>
  <c r="C174" i="11" s="1"/>
  <c r="B182" i="11"/>
  <c r="B190" i="11"/>
  <c r="B198" i="11"/>
  <c r="C198" i="11" s="1"/>
  <c r="B206" i="11"/>
  <c r="C206" i="11" s="1"/>
  <c r="B214" i="11"/>
  <c r="D214" i="11" s="1"/>
  <c r="B222" i="11"/>
  <c r="C222" i="11" s="1"/>
  <c r="B230" i="11"/>
  <c r="C230" i="11" s="1"/>
  <c r="B238" i="11"/>
  <c r="C238" i="11" s="1"/>
  <c r="B246" i="11"/>
  <c r="C246" i="11" s="1"/>
  <c r="B254" i="11"/>
  <c r="B262" i="11"/>
  <c r="D262" i="11" s="1"/>
  <c r="B270" i="11"/>
  <c r="C270" i="11" s="1"/>
  <c r="B278" i="11"/>
  <c r="B286" i="11"/>
  <c r="B294" i="11"/>
  <c r="B302" i="11"/>
  <c r="B310" i="11"/>
  <c r="B318" i="11"/>
  <c r="B326" i="11"/>
  <c r="B334" i="11"/>
  <c r="B342" i="11"/>
  <c r="B350" i="11"/>
  <c r="C350" i="11" s="1"/>
  <c r="B355" i="11"/>
  <c r="B359" i="11"/>
  <c r="B18" i="11"/>
  <c r="B26" i="11"/>
  <c r="B34" i="11"/>
  <c r="B42" i="11"/>
  <c r="B50" i="11"/>
  <c r="B58" i="11"/>
  <c r="B66" i="11"/>
  <c r="B74" i="11"/>
  <c r="B82" i="11"/>
  <c r="B90" i="11"/>
  <c r="B98" i="11"/>
  <c r="B106" i="11"/>
  <c r="B114" i="11"/>
  <c r="B122" i="11"/>
  <c r="D122" i="11" s="1"/>
  <c r="B130" i="11"/>
  <c r="B138" i="11"/>
  <c r="C138" i="11" s="1"/>
  <c r="B146" i="11"/>
  <c r="D146" i="11" s="1"/>
  <c r="B154" i="11"/>
  <c r="B162" i="11"/>
  <c r="C162" i="11" s="1"/>
  <c r="B170" i="11"/>
  <c r="D170" i="11" s="1"/>
  <c r="B178" i="11"/>
  <c r="D178" i="11" s="1"/>
  <c r="B186" i="11"/>
  <c r="B194" i="11"/>
  <c r="D194" i="11" s="1"/>
  <c r="B202" i="11"/>
  <c r="B210" i="11"/>
  <c r="B218" i="11"/>
  <c r="C218" i="11" s="1"/>
  <c r="B226" i="11"/>
  <c r="D226" i="11" s="1"/>
  <c r="B234" i="11"/>
  <c r="D234" i="11" s="1"/>
  <c r="B242" i="11"/>
  <c r="B250" i="11"/>
  <c r="D250" i="11" s="1"/>
  <c r="B258" i="11"/>
  <c r="B266" i="11"/>
  <c r="B274" i="11"/>
  <c r="B282" i="11"/>
  <c r="B290" i="11"/>
  <c r="B298" i="11"/>
  <c r="B306" i="11"/>
  <c r="D306" i="11" s="1"/>
  <c r="B314" i="11"/>
  <c r="B322" i="11"/>
  <c r="B330" i="11"/>
  <c r="B338" i="11"/>
  <c r="B346" i="11"/>
  <c r="B353" i="11"/>
  <c r="B357" i="11"/>
  <c r="D357" i="11" s="1"/>
  <c r="B361" i="11"/>
  <c r="D361" i="11" s="1"/>
  <c r="B365" i="11"/>
  <c r="D365" i="11" s="1"/>
  <c r="B369" i="11"/>
  <c r="C369" i="11" s="1"/>
  <c r="B373" i="11"/>
  <c r="B377" i="11"/>
  <c r="D377" i="11" s="1"/>
  <c r="B381" i="11"/>
  <c r="B385" i="11"/>
  <c r="B389" i="11"/>
  <c r="B393" i="11"/>
  <c r="B397" i="11"/>
  <c r="D397" i="11" s="1"/>
  <c r="B401" i="11"/>
  <c r="C401" i="11" s="1"/>
  <c r="B405" i="11"/>
  <c r="D405" i="11" s="1"/>
  <c r="B409" i="11"/>
  <c r="B413" i="11"/>
  <c r="C413" i="11" s="1"/>
  <c r="B417" i="11"/>
  <c r="B421" i="11"/>
  <c r="B425" i="11"/>
  <c r="B429" i="11"/>
  <c r="C429" i="11" s="1"/>
  <c r="B433" i="11"/>
  <c r="B437" i="11"/>
  <c r="C437" i="11" s="1"/>
  <c r="B441" i="11"/>
  <c r="B445" i="11"/>
  <c r="B449" i="11"/>
  <c r="D449" i="11" s="1"/>
  <c r="B453" i="11"/>
  <c r="D453" i="11" s="1"/>
  <c r="B457" i="11"/>
  <c r="D457" i="11" s="1"/>
  <c r="B461" i="11"/>
  <c r="D461" i="11" s="1"/>
  <c r="B465" i="11"/>
  <c r="C465" i="11" s="1"/>
  <c r="B469" i="11"/>
  <c r="B473" i="11"/>
  <c r="B477" i="11"/>
  <c r="B481" i="11"/>
  <c r="B485" i="11"/>
  <c r="B489" i="11"/>
  <c r="B493" i="11"/>
  <c r="D493" i="11" s="1"/>
  <c r="B497" i="11"/>
  <c r="C497" i="11" s="1"/>
  <c r="B501" i="11"/>
  <c r="B505" i="11"/>
  <c r="B509" i="11"/>
  <c r="D509" i="11" s="1"/>
  <c r="B513" i="11"/>
  <c r="B517" i="11"/>
  <c r="C517" i="11" s="1"/>
  <c r="B521" i="11"/>
  <c r="D521" i="11" s="1"/>
  <c r="B525" i="11"/>
  <c r="B529" i="11"/>
  <c r="B533" i="11"/>
  <c r="D533" i="11" s="1"/>
  <c r="B537" i="11"/>
  <c r="B541" i="11"/>
  <c r="D541" i="11" s="1"/>
  <c r="B545" i="11"/>
  <c r="B549" i="11"/>
  <c r="C549" i="11" s="1"/>
  <c r="B553" i="11"/>
  <c r="B557" i="11"/>
  <c r="C557" i="11" s="1"/>
  <c r="B561" i="11"/>
  <c r="C561" i="11" s="1"/>
  <c r="B565" i="11"/>
  <c r="B569" i="11"/>
  <c r="B573" i="11"/>
  <c r="B577" i="11"/>
  <c r="D577" i="11" s="1"/>
  <c r="B581" i="11"/>
  <c r="B585" i="11"/>
  <c r="B589" i="11"/>
  <c r="D589" i="11" s="1"/>
  <c r="B593" i="11"/>
  <c r="B597" i="11"/>
  <c r="B601" i="11"/>
  <c r="D601" i="11" s="1"/>
  <c r="B605" i="11"/>
  <c r="B609" i="11"/>
  <c r="B613" i="11"/>
  <c r="B617" i="11"/>
  <c r="B621" i="11"/>
  <c r="B625" i="11"/>
  <c r="D625" i="11" s="1"/>
  <c r="B629" i="11"/>
  <c r="B633" i="11"/>
  <c r="B637" i="11"/>
  <c r="B641" i="11"/>
  <c r="B645" i="11"/>
  <c r="D645" i="11" s="1"/>
  <c r="B649" i="11"/>
  <c r="B653" i="11"/>
  <c r="C653" i="11" s="1"/>
  <c r="B657" i="11"/>
  <c r="B661" i="11"/>
  <c r="B665" i="11"/>
  <c r="B669" i="11"/>
  <c r="B673" i="11"/>
  <c r="B677" i="11"/>
  <c r="B681" i="11"/>
  <c r="B685" i="11"/>
  <c r="D685" i="11" s="1"/>
  <c r="B689" i="11"/>
  <c r="B693" i="11"/>
  <c r="B697" i="11"/>
  <c r="D697" i="11" s="1"/>
  <c r="B701" i="11"/>
  <c r="C701" i="11" s="1"/>
  <c r="B705" i="11"/>
  <c r="B709" i="11"/>
  <c r="B713" i="11"/>
  <c r="C713" i="11" s="1"/>
  <c r="B717" i="11"/>
  <c r="C717" i="11" s="1"/>
  <c r="B721" i="11"/>
  <c r="C721" i="11" s="1"/>
  <c r="B725" i="11"/>
  <c r="D725" i="11" s="1"/>
  <c r="B729" i="11"/>
  <c r="C729" i="11" s="1"/>
  <c r="B733" i="11"/>
  <c r="C733" i="11" s="1"/>
  <c r="B737" i="11"/>
  <c r="B741" i="11"/>
  <c r="D741" i="11" s="1"/>
  <c r="B745" i="11"/>
  <c r="B749" i="11"/>
  <c r="B753" i="11"/>
  <c r="D753" i="11" s="1"/>
  <c r="B757" i="11"/>
  <c r="B761" i="11"/>
  <c r="C761" i="11" s="1"/>
  <c r="B765" i="11"/>
  <c r="B769" i="11"/>
  <c r="B773" i="11"/>
  <c r="C773" i="11" s="1"/>
  <c r="B777" i="11"/>
  <c r="D777" i="11" s="1"/>
  <c r="B781" i="11"/>
  <c r="B785" i="11"/>
  <c r="B789" i="11"/>
  <c r="B793" i="11"/>
  <c r="C793" i="11" s="1"/>
  <c r="B797" i="11"/>
  <c r="B801" i="11"/>
  <c r="B805" i="11"/>
  <c r="B809" i="11"/>
  <c r="C809" i="11" s="1"/>
  <c r="B813" i="11"/>
  <c r="C813" i="11" s="1"/>
  <c r="B817" i="11"/>
  <c r="B821" i="11"/>
  <c r="B825" i="11"/>
  <c r="D825" i="11" s="1"/>
  <c r="B829" i="11"/>
  <c r="B833" i="11"/>
  <c r="B837" i="11"/>
  <c r="B841" i="11"/>
  <c r="C841" i="11" s="1"/>
  <c r="B845" i="11"/>
  <c r="B849" i="11"/>
  <c r="C849" i="11" s="1"/>
  <c r="B853" i="11"/>
  <c r="B857" i="11"/>
  <c r="B861" i="11"/>
  <c r="C861" i="11" s="1"/>
  <c r="B20" i="11"/>
  <c r="B36" i="11"/>
  <c r="B52" i="11"/>
  <c r="B68" i="11"/>
  <c r="B84" i="11"/>
  <c r="B100" i="11"/>
  <c r="B116" i="11"/>
  <c r="B132" i="11"/>
  <c r="B148" i="11"/>
  <c r="B164" i="11"/>
  <c r="B180" i="11"/>
  <c r="C180" i="11" s="1"/>
  <c r="B196" i="11"/>
  <c r="B212" i="11"/>
  <c r="B228" i="11"/>
  <c r="B244" i="11"/>
  <c r="B260" i="11"/>
  <c r="D260" i="11" s="1"/>
  <c r="B276" i="11"/>
  <c r="C276" i="11" s="1"/>
  <c r="B292" i="11"/>
  <c r="D292" i="11" s="1"/>
  <c r="B308" i="11"/>
  <c r="C308" i="11" s="1"/>
  <c r="B324" i="11"/>
  <c r="B340" i="11"/>
  <c r="C340" i="11" s="1"/>
  <c r="B354" i="11"/>
  <c r="C354" i="11" s="1"/>
  <c r="B362" i="11"/>
  <c r="B367" i="11"/>
  <c r="C367" i="11" s="1"/>
  <c r="B372" i="11"/>
  <c r="B378" i="11"/>
  <c r="D378" i="11" s="1"/>
  <c r="B383" i="11"/>
  <c r="B388" i="11"/>
  <c r="B394" i="11"/>
  <c r="B399" i="11"/>
  <c r="B404" i="11"/>
  <c r="D404" i="11" s="1"/>
  <c r="B410" i="11"/>
  <c r="B415" i="11"/>
  <c r="B420" i="11"/>
  <c r="B426" i="11"/>
  <c r="C426" i="11" s="1"/>
  <c r="B431" i="11"/>
  <c r="B436" i="11"/>
  <c r="B442" i="11"/>
  <c r="D442" i="11" s="1"/>
  <c r="B447" i="11"/>
  <c r="B452" i="11"/>
  <c r="B458" i="11"/>
  <c r="D458" i="11" s="1"/>
  <c r="B463" i="11"/>
  <c r="B468" i="11"/>
  <c r="C468" i="11" s="1"/>
  <c r="B474" i="11"/>
  <c r="D474" i="11" s="1"/>
  <c r="B479" i="11"/>
  <c r="C479" i="11" s="1"/>
  <c r="B484" i="11"/>
  <c r="B490" i="11"/>
  <c r="D490" i="11" s="1"/>
  <c r="B495" i="11"/>
  <c r="D495" i="11" s="1"/>
  <c r="B500" i="11"/>
  <c r="D500" i="11" s="1"/>
  <c r="B506" i="11"/>
  <c r="D506" i="11" s="1"/>
  <c r="B511" i="11"/>
  <c r="C511" i="11" s="1"/>
  <c r="B516" i="11"/>
  <c r="B522" i="11"/>
  <c r="D522" i="11" s="1"/>
  <c r="B527" i="11"/>
  <c r="D527" i="11" s="1"/>
  <c r="B532" i="11"/>
  <c r="C532" i="11" s="1"/>
  <c r="B538" i="11"/>
  <c r="D538" i="11" s="1"/>
  <c r="B543" i="11"/>
  <c r="B548" i="11"/>
  <c r="B554" i="11"/>
  <c r="B559" i="11"/>
  <c r="B564" i="11"/>
  <c r="B570" i="11"/>
  <c r="B575" i="11"/>
  <c r="B580" i="11"/>
  <c r="B586" i="11"/>
  <c r="B591" i="11"/>
  <c r="D591" i="11" s="1"/>
  <c r="B596" i="11"/>
  <c r="B602" i="11"/>
  <c r="C602" i="11" s="1"/>
  <c r="B607" i="11"/>
  <c r="B612" i="11"/>
  <c r="C612" i="11" s="1"/>
  <c r="B618" i="11"/>
  <c r="B623" i="11"/>
  <c r="B628" i="11"/>
  <c r="B634" i="11"/>
  <c r="B639" i="11"/>
  <c r="B644" i="11"/>
  <c r="B650" i="11"/>
  <c r="B655" i="11"/>
  <c r="B660" i="11"/>
  <c r="B666" i="11"/>
  <c r="B671" i="11"/>
  <c r="D671" i="11" s="1"/>
  <c r="B676" i="11"/>
  <c r="D676" i="11" s="1"/>
  <c r="B682" i="11"/>
  <c r="B687" i="11"/>
  <c r="B692" i="11"/>
  <c r="B16" i="11"/>
  <c r="B40" i="11"/>
  <c r="B60" i="11"/>
  <c r="B80" i="11"/>
  <c r="B104" i="11"/>
  <c r="B124" i="11"/>
  <c r="B144" i="11"/>
  <c r="B168" i="11"/>
  <c r="B188" i="11"/>
  <c r="B208" i="11"/>
  <c r="B232" i="11"/>
  <c r="B252" i="11"/>
  <c r="B272" i="11"/>
  <c r="C272" i="11" s="1"/>
  <c r="B296" i="11"/>
  <c r="C296" i="11" s="1"/>
  <c r="B316" i="11"/>
  <c r="C316" i="11" s="1"/>
  <c r="B336" i="11"/>
  <c r="B356" i="11"/>
  <c r="D356" i="11" s="1"/>
  <c r="B364" i="11"/>
  <c r="B371" i="11"/>
  <c r="B379" i="11"/>
  <c r="B386" i="11"/>
  <c r="D386" i="11" s="1"/>
  <c r="B392" i="11"/>
  <c r="D392" i="11" s="1"/>
  <c r="B400" i="11"/>
  <c r="B407" i="11"/>
  <c r="B414" i="11"/>
  <c r="D414" i="11" s="1"/>
  <c r="B422" i="11"/>
  <c r="B428" i="11"/>
  <c r="C428" i="11" s="1"/>
  <c r="B435" i="11"/>
  <c r="B443" i="11"/>
  <c r="B450" i="11"/>
  <c r="D450" i="11" s="1"/>
  <c r="B456" i="11"/>
  <c r="C456" i="11" s="1"/>
  <c r="B464" i="11"/>
  <c r="D464" i="11" s="1"/>
  <c r="B471" i="11"/>
  <c r="B478" i="11"/>
  <c r="B486" i="11"/>
  <c r="B492" i="11"/>
  <c r="B499" i="11"/>
  <c r="C499" i="11" s="1"/>
  <c r="B507" i="11"/>
  <c r="B514" i="11"/>
  <c r="B520" i="11"/>
  <c r="C520" i="11" s="1"/>
  <c r="B528" i="11"/>
  <c r="B535" i="11"/>
  <c r="B542" i="11"/>
  <c r="D542" i="11" s="1"/>
  <c r="B550" i="11"/>
  <c r="C550" i="11" s="1"/>
  <c r="B556" i="11"/>
  <c r="B563" i="11"/>
  <c r="C563" i="11" s="1"/>
  <c r="B571" i="11"/>
  <c r="D571" i="11" s="1"/>
  <c r="B578" i="11"/>
  <c r="B584" i="11"/>
  <c r="B592" i="11"/>
  <c r="B599" i="11"/>
  <c r="B606" i="11"/>
  <c r="D606" i="11" s="1"/>
  <c r="B614" i="11"/>
  <c r="D614" i="11" s="1"/>
  <c r="B620" i="11"/>
  <c r="B627" i="11"/>
  <c r="B635" i="11"/>
  <c r="B642" i="11"/>
  <c r="B648" i="11"/>
  <c r="B656" i="11"/>
  <c r="D656" i="11" s="1"/>
  <c r="B663" i="11"/>
  <c r="B670" i="11"/>
  <c r="B678" i="11"/>
  <c r="B684" i="11"/>
  <c r="C684" i="11" s="1"/>
  <c r="B691" i="11"/>
  <c r="B698" i="11"/>
  <c r="B703" i="11"/>
  <c r="B708" i="11"/>
  <c r="C708" i="11" s="1"/>
  <c r="B714" i="11"/>
  <c r="B719" i="11"/>
  <c r="D719" i="11" s="1"/>
  <c r="B724" i="11"/>
  <c r="B730" i="11"/>
  <c r="C730" i="11" s="1"/>
  <c r="B735" i="11"/>
  <c r="B740" i="11"/>
  <c r="B746" i="11"/>
  <c r="C746" i="11" s="1"/>
  <c r="B751" i="11"/>
  <c r="D751" i="11" s="1"/>
  <c r="B756" i="11"/>
  <c r="B762" i="11"/>
  <c r="D762" i="11" s="1"/>
  <c r="B767" i="11"/>
  <c r="B772" i="11"/>
  <c r="B778" i="11"/>
  <c r="B783" i="11"/>
  <c r="B788" i="11"/>
  <c r="B794" i="11"/>
  <c r="B799" i="11"/>
  <c r="D799" i="11" s="1"/>
  <c r="B804" i="11"/>
  <c r="B810" i="11"/>
  <c r="C810" i="11" s="1"/>
  <c r="B815" i="11"/>
  <c r="B820" i="11"/>
  <c r="B826" i="11"/>
  <c r="B831" i="11"/>
  <c r="B836" i="11"/>
  <c r="B842" i="11"/>
  <c r="B847" i="11"/>
  <c r="B852" i="11"/>
  <c r="B858" i="11"/>
  <c r="D858" i="11" s="1"/>
  <c r="B863" i="11"/>
  <c r="B867" i="11"/>
  <c r="B871" i="11"/>
  <c r="C871" i="11" s="1"/>
  <c r="B875" i="11"/>
  <c r="C875" i="11" s="1"/>
  <c r="B879" i="11"/>
  <c r="B883" i="11"/>
  <c r="C883" i="11" s="1"/>
  <c r="B887" i="11"/>
  <c r="C887" i="11" s="1"/>
  <c r="B891" i="11"/>
  <c r="C891" i="11" s="1"/>
  <c r="B895" i="11"/>
  <c r="B899" i="11"/>
  <c r="C899" i="11" s="1"/>
  <c r="B903" i="11"/>
  <c r="C903" i="11" s="1"/>
  <c r="B907" i="11"/>
  <c r="B911" i="11"/>
  <c r="B915" i="11"/>
  <c r="C915" i="11" s="1"/>
  <c r="B919" i="11"/>
  <c r="C919" i="11" s="1"/>
  <c r="B923" i="11"/>
  <c r="C923" i="11" s="1"/>
  <c r="B927" i="11"/>
  <c r="B931" i="11"/>
  <c r="C931" i="11" s="1"/>
  <c r="B935" i="11"/>
  <c r="C935" i="11" s="1"/>
  <c r="B939" i="11"/>
  <c r="C939" i="11" s="1"/>
  <c r="B943" i="11"/>
  <c r="C943" i="11" s="1"/>
  <c r="B947" i="11"/>
  <c r="B951" i="11"/>
  <c r="D951" i="11" s="1"/>
  <c r="B955" i="11"/>
  <c r="B959" i="11"/>
  <c r="C959" i="11" s="1"/>
  <c r="B963" i="11"/>
  <c r="B967" i="11"/>
  <c r="C967" i="11" s="1"/>
  <c r="B971" i="11"/>
  <c r="C971" i="11" s="1"/>
  <c r="B975" i="11"/>
  <c r="B979" i="11"/>
  <c r="B983" i="11"/>
  <c r="D983" i="11" s="1"/>
  <c r="B987" i="11"/>
  <c r="B991" i="11"/>
  <c r="B995" i="11"/>
  <c r="B999" i="11"/>
  <c r="B1003" i="11"/>
  <c r="B1007" i="11"/>
  <c r="B1011" i="11"/>
  <c r="B1015" i="11"/>
  <c r="C1015" i="11" s="1"/>
  <c r="B1019" i="11"/>
  <c r="C1019" i="11" s="1"/>
  <c r="B1023" i="11"/>
  <c r="B1027" i="11"/>
  <c r="D1027" i="11" s="1"/>
  <c r="B1031" i="11"/>
  <c r="C1031" i="11" s="1"/>
  <c r="B1035" i="11"/>
  <c r="C1035" i="11" s="1"/>
  <c r="B1039" i="11"/>
  <c r="B1043" i="11"/>
  <c r="B1047" i="11"/>
  <c r="C1047" i="11" s="1"/>
  <c r="B1051" i="11"/>
  <c r="C1051" i="11" s="1"/>
  <c r="B1055" i="11"/>
  <c r="B1059" i="11"/>
  <c r="B1063" i="11"/>
  <c r="C1063" i="11" s="1"/>
  <c r="B1067" i="11"/>
  <c r="C1067" i="11" s="1"/>
  <c r="B1071" i="11"/>
  <c r="B1075" i="11"/>
  <c r="C1075" i="11" s="1"/>
  <c r="B1079" i="11"/>
  <c r="B1083" i="11"/>
  <c r="B1087" i="11"/>
  <c r="C1087" i="11" s="1"/>
  <c r="B1091" i="11"/>
  <c r="D1091" i="11" s="1"/>
  <c r="B1095" i="11"/>
  <c r="B1099" i="11"/>
  <c r="C1099" i="11" s="1"/>
  <c r="B1103" i="11"/>
  <c r="B1107" i="11"/>
  <c r="C1107" i="11" s="1"/>
  <c r="B1111" i="11"/>
  <c r="B1115" i="11"/>
  <c r="B1119" i="11"/>
  <c r="B1123" i="11"/>
  <c r="C1123" i="11" s="1"/>
  <c r="B1127" i="11"/>
  <c r="C1127" i="11" s="1"/>
  <c r="B1131" i="11"/>
  <c r="C1131" i="11" s="1"/>
  <c r="B1135" i="11"/>
  <c r="C1135" i="11" s="1"/>
  <c r="B1139" i="11"/>
  <c r="C1139" i="11" s="1"/>
  <c r="B1143" i="11"/>
  <c r="B1147" i="11"/>
  <c r="C1147" i="11" s="1"/>
  <c r="B1151" i="11"/>
  <c r="B1155" i="11"/>
  <c r="C1155" i="11" s="1"/>
  <c r="B1159" i="11"/>
  <c r="C1159" i="11" s="1"/>
  <c r="B28" i="11"/>
  <c r="B48" i="11"/>
  <c r="B72" i="11"/>
  <c r="B92" i="11"/>
  <c r="B112" i="11"/>
  <c r="B136" i="11"/>
  <c r="B156" i="11"/>
  <c r="B176" i="11"/>
  <c r="C176" i="11" s="1"/>
  <c r="B200" i="11"/>
  <c r="B220" i="11"/>
  <c r="B240" i="11"/>
  <c r="B264" i="11"/>
  <c r="C264" i="11" s="1"/>
  <c r="B284" i="11"/>
  <c r="C284" i="11" s="1"/>
  <c r="B304" i="11"/>
  <c r="B328" i="11"/>
  <c r="C328" i="11" s="1"/>
  <c r="B348" i="11"/>
  <c r="B360" i="11"/>
  <c r="B368" i="11"/>
  <c r="D368" i="11" s="1"/>
  <c r="B375" i="11"/>
  <c r="C375" i="11" s="1"/>
  <c r="B382" i="11"/>
  <c r="B390" i="11"/>
  <c r="B396" i="11"/>
  <c r="B403" i="11"/>
  <c r="B411" i="11"/>
  <c r="B418" i="11"/>
  <c r="B424" i="11"/>
  <c r="C424" i="11" s="1"/>
  <c r="B432" i="11"/>
  <c r="D432" i="11" s="1"/>
  <c r="B439" i="11"/>
  <c r="B446" i="11"/>
  <c r="D446" i="11" s="1"/>
  <c r="B454" i="11"/>
  <c r="B460" i="11"/>
  <c r="B467" i="11"/>
  <c r="B475" i="11"/>
  <c r="B482" i="11"/>
  <c r="D482" i="11" s="1"/>
  <c r="B488" i="11"/>
  <c r="C488" i="11" s="1"/>
  <c r="B496" i="11"/>
  <c r="D496" i="11" s="1"/>
  <c r="B503" i="11"/>
  <c r="D503" i="11" s="1"/>
  <c r="B510" i="11"/>
  <c r="B518" i="11"/>
  <c r="D518" i="11" s="1"/>
  <c r="B524" i="11"/>
  <c r="B531" i="11"/>
  <c r="B539" i="11"/>
  <c r="B546" i="11"/>
  <c r="D546" i="11" s="1"/>
  <c r="B552" i="11"/>
  <c r="D552" i="11" s="1"/>
  <c r="B560" i="11"/>
  <c r="D560" i="11" s="1"/>
  <c r="B567" i="11"/>
  <c r="B574" i="11"/>
  <c r="B582" i="11"/>
  <c r="B588" i="11"/>
  <c r="B595" i="11"/>
  <c r="B603" i="11"/>
  <c r="B610" i="11"/>
  <c r="B616" i="11"/>
  <c r="D616" i="11" s="1"/>
  <c r="B624" i="11"/>
  <c r="B631" i="11"/>
  <c r="D631" i="11" s="1"/>
  <c r="B638" i="11"/>
  <c r="C638" i="11" s="1"/>
  <c r="B646" i="11"/>
  <c r="B652" i="11"/>
  <c r="C652" i="11" s="1"/>
  <c r="B659" i="11"/>
  <c r="C659" i="11" s="1"/>
  <c r="B667" i="11"/>
  <c r="B674" i="11"/>
  <c r="B680" i="11"/>
  <c r="B688" i="11"/>
  <c r="C688" i="11" s="1"/>
  <c r="B695" i="11"/>
  <c r="C695" i="11" s="1"/>
  <c r="B700" i="11"/>
  <c r="D700" i="11" s="1"/>
  <c r="B706" i="11"/>
  <c r="B711" i="11"/>
  <c r="D711" i="11" s="1"/>
  <c r="B716" i="11"/>
  <c r="B722" i="11"/>
  <c r="B727" i="11"/>
  <c r="D727" i="11" s="1"/>
  <c r="B732" i="11"/>
  <c r="D732" i="11" s="1"/>
  <c r="B738" i="11"/>
  <c r="B743" i="11"/>
  <c r="C743" i="11" s="1"/>
  <c r="B748" i="11"/>
  <c r="D748" i="11" s="1"/>
  <c r="B754" i="11"/>
  <c r="D754" i="11" s="1"/>
  <c r="B759" i="11"/>
  <c r="C759" i="11" s="1"/>
  <c r="B764" i="11"/>
  <c r="C764" i="11" s="1"/>
  <c r="B770" i="11"/>
  <c r="B775" i="11"/>
  <c r="C775" i="11" s="1"/>
  <c r="B780" i="11"/>
  <c r="C780" i="11" s="1"/>
  <c r="B786" i="11"/>
  <c r="C786" i="11" s="1"/>
  <c r="B791" i="11"/>
  <c r="B796" i="11"/>
  <c r="B802" i="11"/>
  <c r="B807" i="11"/>
  <c r="D807" i="11" s="1"/>
  <c r="B812" i="11"/>
  <c r="B818" i="11"/>
  <c r="D818" i="11" s="1"/>
  <c r="B823" i="11"/>
  <c r="D823" i="11" s="1"/>
  <c r="B828" i="11"/>
  <c r="B834" i="11"/>
  <c r="D834" i="11" s="1"/>
  <c r="B839" i="11"/>
  <c r="D839" i="11" s="1"/>
  <c r="B844" i="11"/>
  <c r="B850" i="11"/>
  <c r="B855" i="11"/>
  <c r="C855" i="11" s="1"/>
  <c r="B860" i="11"/>
  <c r="C860" i="11" s="1"/>
  <c r="B865" i="11"/>
  <c r="B869" i="11"/>
  <c r="B873" i="11"/>
  <c r="D873" i="11" s="1"/>
  <c r="B877" i="11"/>
  <c r="C877" i="11" s="1"/>
  <c r="B881" i="11"/>
  <c r="B885" i="11"/>
  <c r="B889" i="11"/>
  <c r="D889" i="11" s="1"/>
  <c r="B893" i="11"/>
  <c r="C893" i="11" s="1"/>
  <c r="B897" i="11"/>
  <c r="B901" i="11"/>
  <c r="D901" i="11" s="1"/>
  <c r="B905" i="11"/>
  <c r="D905" i="11" s="1"/>
  <c r="B909" i="11"/>
  <c r="C909" i="11" s="1"/>
  <c r="B913" i="11"/>
  <c r="B917" i="11"/>
  <c r="B921" i="11"/>
  <c r="C921" i="11" s="1"/>
  <c r="B925" i="11"/>
  <c r="B929" i="11"/>
  <c r="B933" i="11"/>
  <c r="B937" i="11"/>
  <c r="C937" i="11" s="1"/>
  <c r="B941" i="11"/>
  <c r="B945" i="11"/>
  <c r="B949" i="11"/>
  <c r="D949" i="11" s="1"/>
  <c r="B953" i="11"/>
  <c r="D953" i="11" s="1"/>
  <c r="B957" i="11"/>
  <c r="B961" i="11"/>
  <c r="B965" i="11"/>
  <c r="B969" i="11"/>
  <c r="D969" i="11" s="1"/>
  <c r="B973" i="11"/>
  <c r="C973" i="11" s="1"/>
  <c r="B977" i="11"/>
  <c r="B981" i="11"/>
  <c r="D981" i="11" s="1"/>
  <c r="B985" i="11"/>
  <c r="D985" i="11" s="1"/>
  <c r="B989" i="11"/>
  <c r="C989" i="11" s="1"/>
  <c r="B993" i="11"/>
  <c r="B997" i="11"/>
  <c r="C997" i="11" s="1"/>
  <c r="B1001" i="11"/>
  <c r="D1001" i="11" s="1"/>
  <c r="B1005" i="11"/>
  <c r="C1005" i="11" s="1"/>
  <c r="B1009" i="11"/>
  <c r="B1013" i="11"/>
  <c r="B1017" i="11"/>
  <c r="B1021" i="11"/>
  <c r="C1021" i="11" s="1"/>
  <c r="B1025" i="11"/>
  <c r="B1029" i="11"/>
  <c r="D1029" i="11" s="1"/>
  <c r="B1033" i="11"/>
  <c r="C1033" i="11" s="1"/>
  <c r="B1037" i="11"/>
  <c r="C1037" i="11" s="1"/>
  <c r="B1041" i="11"/>
  <c r="C1041" i="11" s="1"/>
  <c r="B1045" i="11"/>
  <c r="B1049" i="11"/>
  <c r="D1049" i="11" s="1"/>
  <c r="B1053" i="11"/>
  <c r="C1053" i="11" s="1"/>
  <c r="B1057" i="11"/>
  <c r="B1061" i="11"/>
  <c r="D1061" i="11" s="1"/>
  <c r="B1065" i="11"/>
  <c r="C1065" i="11" s="1"/>
  <c r="B1069" i="11"/>
  <c r="B1073" i="11"/>
  <c r="B1077" i="11"/>
  <c r="B1081" i="11"/>
  <c r="B1085" i="11"/>
  <c r="C1085" i="11" s="1"/>
  <c r="B1089" i="11"/>
  <c r="B1093" i="11"/>
  <c r="C1093" i="11" s="1"/>
  <c r="B1097" i="11"/>
  <c r="B1101" i="11"/>
  <c r="C1101" i="11" s="1"/>
  <c r="B1105" i="11"/>
  <c r="B1109" i="11"/>
  <c r="C1109" i="11" s="1"/>
  <c r="B1113" i="11"/>
  <c r="B1117" i="11"/>
  <c r="C1117" i="11" s="1"/>
  <c r="B1121" i="11"/>
  <c r="B1125" i="11"/>
  <c r="C1125" i="11" s="1"/>
  <c r="B1129" i="11"/>
  <c r="B1133" i="11"/>
  <c r="C1133" i="11" s="1"/>
  <c r="B1137" i="11"/>
  <c r="B1141" i="11"/>
  <c r="C1141" i="11" s="1"/>
  <c r="B1145" i="11"/>
  <c r="C1145" i="11" s="1"/>
  <c r="B1149" i="11"/>
  <c r="C1149" i="11" s="1"/>
  <c r="B1153" i="11"/>
  <c r="B1157" i="11"/>
  <c r="C1157" i="11" s="1"/>
  <c r="B1161" i="11"/>
  <c r="B1165" i="11"/>
  <c r="D1165" i="11" s="1"/>
  <c r="B1169" i="11"/>
  <c r="B1173" i="11"/>
  <c r="C1173" i="11" s="1"/>
  <c r="B1177" i="11"/>
  <c r="C1177" i="11" s="1"/>
  <c r="B1181" i="11"/>
  <c r="C1181" i="11" s="1"/>
  <c r="B1185" i="11"/>
  <c r="B1189" i="11"/>
  <c r="C1189" i="11" s="1"/>
  <c r="B1193" i="11"/>
  <c r="B1197" i="11"/>
  <c r="B1201" i="11"/>
  <c r="B1205" i="11"/>
  <c r="D1205" i="11" s="1"/>
  <c r="B1209" i="11"/>
  <c r="B1213" i="11"/>
  <c r="B1217" i="11"/>
  <c r="B1221" i="11"/>
  <c r="D1221" i="11" s="1"/>
  <c r="B1225" i="11"/>
  <c r="C1225" i="11" s="1"/>
  <c r="B1229" i="11"/>
  <c r="B1233" i="11"/>
  <c r="B1237" i="11"/>
  <c r="B1241" i="11"/>
  <c r="C1241" i="11" s="1"/>
  <c r="B1245" i="11"/>
  <c r="C1245" i="11" s="1"/>
  <c r="B1249" i="11"/>
  <c r="B1253" i="11"/>
  <c r="C1253" i="11" s="1"/>
  <c r="B1257" i="11"/>
  <c r="B1261" i="11"/>
  <c r="C1261" i="11" s="1"/>
  <c r="B1265" i="11"/>
  <c r="C1265" i="11" s="1"/>
  <c r="B1269" i="11"/>
  <c r="D1269" i="11" s="1"/>
  <c r="B1273" i="11"/>
  <c r="C1273" i="11" s="1"/>
  <c r="B1277" i="11"/>
  <c r="B1281" i="11"/>
  <c r="B1285" i="11"/>
  <c r="B1289" i="11"/>
  <c r="B1293" i="11"/>
  <c r="D1293" i="11" s="1"/>
  <c r="B1297" i="11"/>
  <c r="B1301" i="11"/>
  <c r="D1301" i="11" s="1"/>
  <c r="B1305" i="11"/>
  <c r="D1305" i="11" s="1"/>
  <c r="B1309" i="11"/>
  <c r="B1313" i="11"/>
  <c r="B1317" i="11"/>
  <c r="C1317" i="11" s="1"/>
  <c r="B1321" i="11"/>
  <c r="C1321" i="11" s="1"/>
  <c r="B1325" i="11"/>
  <c r="B1329" i="11"/>
  <c r="C1329" i="11" s="1"/>
  <c r="B1333" i="11"/>
  <c r="B1337" i="11"/>
  <c r="D1337" i="11" s="1"/>
  <c r="B1341" i="11"/>
  <c r="B1345" i="11"/>
  <c r="B1349" i="11"/>
  <c r="B1353" i="11"/>
  <c r="C1353" i="11" s="1"/>
  <c r="B1357" i="11"/>
  <c r="C1357" i="11" s="1"/>
  <c r="B1361" i="11"/>
  <c r="D1361" i="11" s="1"/>
  <c r="B1365" i="11"/>
  <c r="D1365" i="11" s="1"/>
  <c r="B1369" i="11"/>
  <c r="C1369" i="11" s="1"/>
  <c r="B1373" i="11"/>
  <c r="B1377" i="11"/>
  <c r="D1377" i="11" s="1"/>
  <c r="B1381" i="11"/>
  <c r="B1385" i="11"/>
  <c r="C1385" i="11" s="1"/>
  <c r="B1389" i="11"/>
  <c r="C1389" i="11" s="1"/>
  <c r="B1393" i="11"/>
  <c r="C1393" i="11" s="1"/>
  <c r="B1397" i="11"/>
  <c r="C1397" i="11" s="1"/>
  <c r="B1401" i="11"/>
  <c r="C1401" i="11" s="1"/>
  <c r="B1405" i="11"/>
  <c r="B1409" i="11"/>
  <c r="C1409" i="11" s="1"/>
  <c r="B1413" i="11"/>
  <c r="D1413" i="11" s="1"/>
  <c r="B1417" i="11"/>
  <c r="C1417" i="11" s="1"/>
  <c r="B1421" i="11"/>
  <c r="D1421" i="11" s="1"/>
  <c r="B1425" i="11"/>
  <c r="C1425" i="11" s="1"/>
  <c r="B1429" i="11"/>
  <c r="B1433" i="11"/>
  <c r="C1433" i="11" s="1"/>
  <c r="B1437" i="11"/>
  <c r="B1441" i="11"/>
  <c r="C1441" i="11" s="1"/>
  <c r="B1445" i="11"/>
  <c r="D1445" i="11" s="1"/>
  <c r="B1449" i="11"/>
  <c r="D1449" i="11" s="1"/>
  <c r="B1453" i="11"/>
  <c r="D1453" i="11" s="1"/>
  <c r="B1457" i="11"/>
  <c r="D1457" i="11" s="1"/>
  <c r="B1461" i="11"/>
  <c r="B1465" i="11"/>
  <c r="D1465" i="11" s="1"/>
  <c r="B1469" i="11"/>
  <c r="B1473" i="11"/>
  <c r="D1473" i="11" s="1"/>
  <c r="B1477" i="11"/>
  <c r="B1481" i="11"/>
  <c r="B1485" i="11"/>
  <c r="B1489" i="11"/>
  <c r="B1493" i="11"/>
  <c r="B1497" i="11"/>
  <c r="B1501" i="11"/>
  <c r="C1501" i="11" s="1"/>
  <c r="B1505" i="11"/>
  <c r="B1509" i="11"/>
  <c r="C1509" i="11" s="1"/>
  <c r="B1513" i="11"/>
  <c r="B1517" i="11"/>
  <c r="D1517" i="11" s="1"/>
  <c r="B1521" i="11"/>
  <c r="B1525" i="11"/>
  <c r="D1525" i="11" s="1"/>
  <c r="B1529" i="11"/>
  <c r="B1533" i="11"/>
  <c r="D1533" i="11" s="1"/>
  <c r="B1537" i="11"/>
  <c r="B1541" i="11"/>
  <c r="B1545" i="11"/>
  <c r="B1549" i="11"/>
  <c r="D1549" i="11" s="1"/>
  <c r="B1553" i="11"/>
  <c r="C1553" i="11" s="1"/>
  <c r="B1557" i="11"/>
  <c r="B1561" i="11"/>
  <c r="B1565" i="11"/>
  <c r="B1569" i="11"/>
  <c r="B1573" i="11"/>
  <c r="B1577" i="11"/>
  <c r="B1581" i="11"/>
  <c r="C1581" i="11" s="1"/>
  <c r="B1585" i="11"/>
  <c r="B1589" i="11"/>
  <c r="B1593" i="11"/>
  <c r="B1597" i="11"/>
  <c r="B1601" i="11"/>
  <c r="B1605" i="11"/>
  <c r="D1605" i="11" s="1"/>
  <c r="B1609" i="11"/>
  <c r="B1613" i="11"/>
  <c r="D1613" i="11" s="1"/>
  <c r="B1617" i="11"/>
  <c r="B1621" i="11"/>
  <c r="B1625" i="11"/>
  <c r="B1629" i="11"/>
  <c r="B1633" i="11"/>
  <c r="B1637" i="11"/>
  <c r="B1641" i="11"/>
  <c r="C1641" i="11" s="1"/>
  <c r="B1645" i="11"/>
  <c r="B1649" i="11"/>
  <c r="B24" i="11"/>
  <c r="B64" i="11"/>
  <c r="B108" i="11"/>
  <c r="B152" i="11"/>
  <c r="B192" i="11"/>
  <c r="D192" i="11" s="1"/>
  <c r="B236" i="11"/>
  <c r="C236" i="11" s="1"/>
  <c r="B280" i="11"/>
  <c r="C280" i="11" s="1"/>
  <c r="B320" i="11"/>
  <c r="C320" i="11" s="1"/>
  <c r="B358" i="11"/>
  <c r="B374" i="11"/>
  <c r="B387" i="11"/>
  <c r="B402" i="11"/>
  <c r="B416" i="11"/>
  <c r="B430" i="11"/>
  <c r="B444" i="11"/>
  <c r="D444" i="11" s="1"/>
  <c r="B459" i="11"/>
  <c r="C459" i="11" s="1"/>
  <c r="B472" i="11"/>
  <c r="C472" i="11" s="1"/>
  <c r="B487" i="11"/>
  <c r="B502" i="11"/>
  <c r="C502" i="11" s="1"/>
  <c r="B515" i="11"/>
  <c r="B530" i="11"/>
  <c r="C530" i="11" s="1"/>
  <c r="B544" i="11"/>
  <c r="D544" i="11" s="1"/>
  <c r="B558" i="11"/>
  <c r="D558" i="11" s="1"/>
  <c r="B572" i="11"/>
  <c r="B587" i="11"/>
  <c r="B600" i="11"/>
  <c r="B615" i="11"/>
  <c r="C615" i="11" s="1"/>
  <c r="B630" i="11"/>
  <c r="B643" i="11"/>
  <c r="B658" i="11"/>
  <c r="C658" i="11" s="1"/>
  <c r="B672" i="11"/>
  <c r="B686" i="11"/>
  <c r="B699" i="11"/>
  <c r="C699" i="11" s="1"/>
  <c r="B710" i="11"/>
  <c r="B720" i="11"/>
  <c r="C720" i="11" s="1"/>
  <c r="B731" i="11"/>
  <c r="C731" i="11" s="1"/>
  <c r="B742" i="11"/>
  <c r="B752" i="11"/>
  <c r="B763" i="11"/>
  <c r="C763" i="11" s="1"/>
  <c r="B774" i="11"/>
  <c r="B784" i="11"/>
  <c r="B795" i="11"/>
  <c r="C795" i="11" s="1"/>
  <c r="B806" i="11"/>
  <c r="C806" i="11" s="1"/>
  <c r="B816" i="11"/>
  <c r="D816" i="11" s="1"/>
  <c r="B827" i="11"/>
  <c r="C827" i="11" s="1"/>
  <c r="B838" i="11"/>
  <c r="B848" i="11"/>
  <c r="D848" i="11" s="1"/>
  <c r="B859" i="11"/>
  <c r="C859" i="11" s="1"/>
  <c r="B868" i="11"/>
  <c r="B876" i="11"/>
  <c r="C876" i="11" s="1"/>
  <c r="B884" i="11"/>
  <c r="B892" i="11"/>
  <c r="D892" i="11" s="1"/>
  <c r="B900" i="11"/>
  <c r="C900" i="11" s="1"/>
  <c r="B908" i="11"/>
  <c r="B916" i="11"/>
  <c r="B924" i="11"/>
  <c r="B932" i="11"/>
  <c r="B940" i="11"/>
  <c r="B948" i="11"/>
  <c r="C948" i="11" s="1"/>
  <c r="B956" i="11"/>
  <c r="B964" i="11"/>
  <c r="B972" i="11"/>
  <c r="B980" i="11"/>
  <c r="B988" i="11"/>
  <c r="B996" i="11"/>
  <c r="D996" i="11" s="1"/>
  <c r="B1004" i="11"/>
  <c r="B1012" i="11"/>
  <c r="B1020" i="11"/>
  <c r="B1028" i="11"/>
  <c r="B1036" i="11"/>
  <c r="B1044" i="11"/>
  <c r="B1052" i="11"/>
  <c r="B1060" i="11"/>
  <c r="C1060" i="11" s="1"/>
  <c r="B1068" i="11"/>
  <c r="B1076" i="11"/>
  <c r="D1076" i="11" s="1"/>
  <c r="B1084" i="11"/>
  <c r="D1084" i="11" s="1"/>
  <c r="B1092" i="11"/>
  <c r="B1100" i="11"/>
  <c r="C1100" i="11" s="1"/>
  <c r="B1108" i="11"/>
  <c r="C1108" i="11" s="1"/>
  <c r="B1116" i="11"/>
  <c r="B1124" i="11"/>
  <c r="B1132" i="11"/>
  <c r="C1132" i="11" s="1"/>
  <c r="B1140" i="11"/>
  <c r="C1140" i="11" s="1"/>
  <c r="B1148" i="11"/>
  <c r="B1156" i="11"/>
  <c r="B1163" i="11"/>
  <c r="C1163" i="11" s="1"/>
  <c r="B1168" i="11"/>
  <c r="D1168" i="11" s="1"/>
  <c r="B1174" i="11"/>
  <c r="B1179" i="11"/>
  <c r="B1184" i="11"/>
  <c r="C1184" i="11" s="1"/>
  <c r="B1190" i="11"/>
  <c r="D1190" i="11" s="1"/>
  <c r="B1195" i="11"/>
  <c r="C1195" i="11" s="1"/>
  <c r="B1200" i="11"/>
  <c r="C1200" i="11" s="1"/>
  <c r="B1206" i="11"/>
  <c r="B1211" i="11"/>
  <c r="D1211" i="11" s="1"/>
  <c r="B1216" i="11"/>
  <c r="B1222" i="11"/>
  <c r="C1222" i="11" s="1"/>
  <c r="B1227" i="11"/>
  <c r="D1227" i="11" s="1"/>
  <c r="B1232" i="11"/>
  <c r="D1232" i="11" s="1"/>
  <c r="B1238" i="11"/>
  <c r="B1243" i="11"/>
  <c r="B1248" i="11"/>
  <c r="C1248" i="11" s="1"/>
  <c r="B1254" i="11"/>
  <c r="B1259" i="11"/>
  <c r="D1259" i="11" s="1"/>
  <c r="B1264" i="11"/>
  <c r="C1264" i="11" s="1"/>
  <c r="B1270" i="11"/>
  <c r="C1270" i="11" s="1"/>
  <c r="B1275" i="11"/>
  <c r="D1275" i="11" s="1"/>
  <c r="B1280" i="11"/>
  <c r="D1280" i="11" s="1"/>
  <c r="B1286" i="11"/>
  <c r="C1286" i="11" s="1"/>
  <c r="B1291" i="11"/>
  <c r="C1291" i="11" s="1"/>
  <c r="B1296" i="11"/>
  <c r="B1302" i="11"/>
  <c r="B1307" i="11"/>
  <c r="B1312" i="11"/>
  <c r="B1318" i="11"/>
  <c r="B1323" i="11"/>
  <c r="C1323" i="11" s="1"/>
  <c r="B1328" i="11"/>
  <c r="D1328" i="11" s="1"/>
  <c r="B1334" i="11"/>
  <c r="B1339" i="11"/>
  <c r="C1339" i="11" s="1"/>
  <c r="B1344" i="11"/>
  <c r="C1344" i="11" s="1"/>
  <c r="B1350" i="11"/>
  <c r="B1355" i="11"/>
  <c r="C1355" i="11" s="1"/>
  <c r="B1360" i="11"/>
  <c r="B1366" i="11"/>
  <c r="B1371" i="11"/>
  <c r="B1376" i="11"/>
  <c r="B1382" i="11"/>
  <c r="B1387" i="11"/>
  <c r="D1387" i="11" s="1"/>
  <c r="B1392" i="11"/>
  <c r="B1398" i="11"/>
  <c r="B1403" i="11"/>
  <c r="C1403" i="11" s="1"/>
  <c r="B1408" i="11"/>
  <c r="B1414" i="11"/>
  <c r="B1419" i="11"/>
  <c r="C1419" i="11" s="1"/>
  <c r="B1424" i="11"/>
  <c r="B1430" i="11"/>
  <c r="B1435" i="11"/>
  <c r="C1435" i="11" s="1"/>
  <c r="B1440" i="11"/>
  <c r="B1446" i="11"/>
  <c r="B1451" i="11"/>
  <c r="C1451" i="11" s="1"/>
  <c r="B1456" i="11"/>
  <c r="B1462" i="11"/>
  <c r="B1467" i="11"/>
  <c r="B1472" i="11"/>
  <c r="B1478" i="11"/>
  <c r="B1483" i="11"/>
  <c r="B1488" i="11"/>
  <c r="B1494" i="11"/>
  <c r="B1499" i="11"/>
  <c r="D1499" i="11" s="1"/>
  <c r="B1504" i="11"/>
  <c r="B1510" i="11"/>
  <c r="C1510" i="11" s="1"/>
  <c r="B1515" i="11"/>
  <c r="B1520" i="11"/>
  <c r="B1526" i="11"/>
  <c r="B1531" i="11"/>
  <c r="B1536" i="11"/>
  <c r="B1542" i="11"/>
  <c r="B1547" i="11"/>
  <c r="B1552" i="11"/>
  <c r="B1558" i="11"/>
  <c r="B1563" i="11"/>
  <c r="C1563" i="11" s="1"/>
  <c r="B1568" i="11"/>
  <c r="B1574" i="11"/>
  <c r="D1574" i="11" s="1"/>
  <c r="B1579" i="11"/>
  <c r="B1584" i="11"/>
  <c r="B1590" i="11"/>
  <c r="B1595" i="11"/>
  <c r="C1595" i="11" s="1"/>
  <c r="B1600" i="11"/>
  <c r="B1606" i="11"/>
  <c r="B1611" i="11"/>
  <c r="B1616" i="11"/>
  <c r="C1616" i="11" s="1"/>
  <c r="B1622" i="11"/>
  <c r="B1627" i="11"/>
  <c r="D1627" i="11" s="1"/>
  <c r="B1632" i="11"/>
  <c r="B1638" i="11"/>
  <c r="C1638" i="11" s="1"/>
  <c r="B1643" i="11"/>
  <c r="B1648" i="11"/>
  <c r="C1648" i="11" s="1"/>
  <c r="B1653" i="11"/>
  <c r="C1653" i="11" s="1"/>
  <c r="B44" i="11"/>
  <c r="B88" i="11"/>
  <c r="B128" i="11"/>
  <c r="B172" i="11"/>
  <c r="B216" i="11"/>
  <c r="C216" i="11" s="1"/>
  <c r="B256" i="11"/>
  <c r="B300" i="11"/>
  <c r="B344" i="11"/>
  <c r="B366" i="11"/>
  <c r="B380" i="11"/>
  <c r="B395" i="11"/>
  <c r="B408" i="11"/>
  <c r="B423" i="11"/>
  <c r="D423" i="11" s="1"/>
  <c r="B438" i="11"/>
  <c r="D438" i="11" s="1"/>
  <c r="B451" i="11"/>
  <c r="B466" i="11"/>
  <c r="D466" i="11" s="1"/>
  <c r="B480" i="11"/>
  <c r="C480" i="11" s="1"/>
  <c r="B494" i="11"/>
  <c r="B508" i="11"/>
  <c r="B523" i="11"/>
  <c r="B536" i="11"/>
  <c r="C536" i="11" s="1"/>
  <c r="B551" i="11"/>
  <c r="B566" i="11"/>
  <c r="B579" i="11"/>
  <c r="B594" i="11"/>
  <c r="C594" i="11" s="1"/>
  <c r="B608" i="11"/>
  <c r="C608" i="11" s="1"/>
  <c r="B622" i="11"/>
  <c r="B636" i="11"/>
  <c r="B651" i="11"/>
  <c r="C651" i="11" s="1"/>
  <c r="B664" i="11"/>
  <c r="B679" i="11"/>
  <c r="D679" i="11" s="1"/>
  <c r="B694" i="11"/>
  <c r="B704" i="11"/>
  <c r="C704" i="11" s="1"/>
  <c r="B715" i="11"/>
  <c r="C715" i="11" s="1"/>
  <c r="B726" i="11"/>
  <c r="B736" i="11"/>
  <c r="B747" i="11"/>
  <c r="C747" i="11" s="1"/>
  <c r="B758" i="11"/>
  <c r="B768" i="11"/>
  <c r="B779" i="11"/>
  <c r="C779" i="11" s="1"/>
  <c r="B790" i="11"/>
  <c r="D790" i="11" s="1"/>
  <c r="B800" i="11"/>
  <c r="B811" i="11"/>
  <c r="C811" i="11" s="1"/>
  <c r="B822" i="11"/>
  <c r="B832" i="11"/>
  <c r="D832" i="11" s="1"/>
  <c r="B843" i="11"/>
  <c r="C843" i="11" s="1"/>
  <c r="B854" i="11"/>
  <c r="C854" i="11" s="1"/>
  <c r="B864" i="11"/>
  <c r="B872" i="11"/>
  <c r="D872" i="11" s="1"/>
  <c r="B880" i="11"/>
  <c r="B888" i="11"/>
  <c r="B896" i="11"/>
  <c r="B904" i="11"/>
  <c r="D904" i="11" s="1"/>
  <c r="B912" i="11"/>
  <c r="B920" i="11"/>
  <c r="B928" i="11"/>
  <c r="B936" i="11"/>
  <c r="D936" i="11" s="1"/>
  <c r="B944" i="11"/>
  <c r="B952" i="11"/>
  <c r="C952" i="11" s="1"/>
  <c r="B960" i="11"/>
  <c r="B968" i="11"/>
  <c r="D968" i="11" s="1"/>
  <c r="B976" i="11"/>
  <c r="B984" i="11"/>
  <c r="D984" i="11" s="1"/>
  <c r="B992" i="11"/>
  <c r="B1000" i="11"/>
  <c r="C1000" i="11" s="1"/>
  <c r="B1008" i="11"/>
  <c r="B1016" i="11"/>
  <c r="B1024" i="11"/>
  <c r="B1032" i="11"/>
  <c r="D1032" i="11" s="1"/>
  <c r="B1040" i="11"/>
  <c r="C1040" i="11" s="1"/>
  <c r="B1048" i="11"/>
  <c r="B1056" i="11"/>
  <c r="B1064" i="11"/>
  <c r="B1072" i="11"/>
  <c r="B1080" i="11"/>
  <c r="C1080" i="11" s="1"/>
  <c r="B1088" i="11"/>
  <c r="C1088" i="11" s="1"/>
  <c r="B1096" i="11"/>
  <c r="C1096" i="11" s="1"/>
  <c r="B1104" i="11"/>
  <c r="B1112" i="11"/>
  <c r="C1112" i="11" s="1"/>
  <c r="B1120" i="11"/>
  <c r="C1120" i="11" s="1"/>
  <c r="B1128" i="11"/>
  <c r="C1128" i="11" s="1"/>
  <c r="B1136" i="11"/>
  <c r="C1136" i="11" s="1"/>
  <c r="B1144" i="11"/>
  <c r="C1144" i="11" s="1"/>
  <c r="B1152" i="11"/>
  <c r="D1152" i="11" s="1"/>
  <c r="B1160" i="11"/>
  <c r="D1160" i="11" s="1"/>
  <c r="B1166" i="11"/>
  <c r="B1171" i="11"/>
  <c r="B1176" i="11"/>
  <c r="D1176" i="11" s="1"/>
  <c r="B1182" i="11"/>
  <c r="B1187" i="11"/>
  <c r="D1187" i="11" s="1"/>
  <c r="B1192" i="11"/>
  <c r="C1192" i="11" s="1"/>
  <c r="B1198" i="11"/>
  <c r="B1203" i="11"/>
  <c r="D1203" i="11" s="1"/>
  <c r="B1208" i="11"/>
  <c r="B1214" i="11"/>
  <c r="B1219" i="11"/>
  <c r="C1219" i="11" s="1"/>
  <c r="B1224" i="11"/>
  <c r="D1224" i="11" s="1"/>
  <c r="B1230" i="11"/>
  <c r="B1235" i="11"/>
  <c r="D1235" i="11" s="1"/>
  <c r="B1240" i="11"/>
  <c r="B1246" i="11"/>
  <c r="B1251" i="11"/>
  <c r="C1251" i="11" s="1"/>
  <c r="B1256" i="11"/>
  <c r="B1262" i="11"/>
  <c r="B1267" i="11"/>
  <c r="C1267" i="11" s="1"/>
  <c r="B1272" i="11"/>
  <c r="D1272" i="11" s="1"/>
  <c r="B1278" i="11"/>
  <c r="B1283" i="11"/>
  <c r="B1288" i="11"/>
  <c r="D1288" i="11" s="1"/>
  <c r="B1294" i="11"/>
  <c r="B1299" i="11"/>
  <c r="D1299" i="11" s="1"/>
  <c r="B1304" i="11"/>
  <c r="C1304" i="11" s="1"/>
  <c r="B1310" i="11"/>
  <c r="D1310" i="11" s="1"/>
  <c r="B1315" i="11"/>
  <c r="D1315" i="11" s="1"/>
  <c r="B1320" i="11"/>
  <c r="D1320" i="11" s="1"/>
  <c r="B1326" i="11"/>
  <c r="B1331" i="11"/>
  <c r="D1331" i="11" s="1"/>
  <c r="B1336" i="11"/>
  <c r="C1336" i="11" s="1"/>
  <c r="B1342" i="11"/>
  <c r="D1342" i="11" s="1"/>
  <c r="B1347" i="11"/>
  <c r="C1347" i="11" s="1"/>
  <c r="B1352" i="11"/>
  <c r="C1352" i="11" s="1"/>
  <c r="B1358" i="11"/>
  <c r="C1358" i="11" s="1"/>
  <c r="B1363" i="11"/>
  <c r="C1363" i="11" s="1"/>
  <c r="B1368" i="11"/>
  <c r="B1374" i="11"/>
  <c r="C1374" i="11" s="1"/>
  <c r="B1379" i="11"/>
  <c r="D1379" i="11" s="1"/>
  <c r="B1384" i="11"/>
  <c r="B1390" i="11"/>
  <c r="B1395" i="11"/>
  <c r="C1395" i="11" s="1"/>
  <c r="B1400" i="11"/>
  <c r="B1406" i="11"/>
  <c r="B1411" i="11"/>
  <c r="B1416" i="11"/>
  <c r="B1422" i="11"/>
  <c r="D1422" i="11" s="1"/>
  <c r="B1427" i="11"/>
  <c r="D1427" i="11" s="1"/>
  <c r="B1432" i="11"/>
  <c r="B1438" i="11"/>
  <c r="B1443" i="11"/>
  <c r="C1443" i="11" s="1"/>
  <c r="B1448" i="11"/>
  <c r="C1448" i="11" s="1"/>
  <c r="B1454" i="11"/>
  <c r="B1459" i="11"/>
  <c r="D1459" i="11" s="1"/>
  <c r="B1464" i="11"/>
  <c r="B1470" i="11"/>
  <c r="C1470" i="11" s="1"/>
  <c r="B1475" i="11"/>
  <c r="C1475" i="11" s="1"/>
  <c r="B1480" i="11"/>
  <c r="B1486" i="11"/>
  <c r="B1491" i="11"/>
  <c r="C1491" i="11" s="1"/>
  <c r="B1496" i="11"/>
  <c r="C1496" i="11" s="1"/>
  <c r="B1502" i="11"/>
  <c r="C1502" i="11" s="1"/>
  <c r="B1507" i="11"/>
  <c r="B1512" i="11"/>
  <c r="B1518" i="11"/>
  <c r="B1523" i="11"/>
  <c r="C1523" i="11" s="1"/>
  <c r="B1528" i="11"/>
  <c r="B1534" i="11"/>
  <c r="D1534" i="11" s="1"/>
  <c r="B1539" i="11"/>
  <c r="B1544" i="11"/>
  <c r="B1550" i="11"/>
  <c r="B1555" i="11"/>
  <c r="C1555" i="11" s="1"/>
  <c r="B1560" i="11"/>
  <c r="B1566" i="11"/>
  <c r="D1566" i="11" s="1"/>
  <c r="B1571" i="11"/>
  <c r="B1576" i="11"/>
  <c r="D1576" i="11" s="1"/>
  <c r="B1582" i="11"/>
  <c r="B1587" i="11"/>
  <c r="C1587" i="11" s="1"/>
  <c r="B1592" i="11"/>
  <c r="C1592" i="11" s="1"/>
  <c r="B1598" i="11"/>
  <c r="B1603" i="11"/>
  <c r="B1608" i="11"/>
  <c r="B1614" i="11"/>
  <c r="B1619" i="11"/>
  <c r="C1619" i="11" s="1"/>
  <c r="B1624" i="11"/>
  <c r="B1630" i="11"/>
  <c r="B1635" i="11"/>
  <c r="B1640" i="11"/>
  <c r="C1640" i="11" s="1"/>
  <c r="B1646" i="11"/>
  <c r="B1651" i="11"/>
  <c r="C1651" i="11" s="1"/>
  <c r="B1655" i="11"/>
  <c r="B1659" i="11"/>
  <c r="C1659" i="11" s="1"/>
  <c r="B1663" i="11"/>
  <c r="B1667" i="11"/>
  <c r="B1671" i="11"/>
  <c r="D1671" i="11" s="1"/>
  <c r="B1675" i="11"/>
  <c r="B1679" i="11"/>
  <c r="B1683" i="11"/>
  <c r="D1683" i="11" s="1"/>
  <c r="B1687" i="11"/>
  <c r="B1691" i="11"/>
  <c r="C1691" i="11" s="1"/>
  <c r="B1695" i="11"/>
  <c r="B1699" i="11"/>
  <c r="B1703" i="11"/>
  <c r="B1707" i="11"/>
  <c r="C1707" i="11" s="1"/>
  <c r="B1711" i="11"/>
  <c r="B1715" i="11"/>
  <c r="C1715" i="11" s="1"/>
  <c r="B1719" i="11"/>
  <c r="B1723" i="11"/>
  <c r="B1727" i="11"/>
  <c r="C1727" i="11" s="1"/>
  <c r="B1731" i="11"/>
  <c r="C1731" i="11" s="1"/>
  <c r="B1735" i="11"/>
  <c r="D1735" i="11" s="1"/>
  <c r="B1739" i="11"/>
  <c r="B1743" i="11"/>
  <c r="B1747" i="11"/>
  <c r="B1751" i="11"/>
  <c r="B1755" i="11"/>
  <c r="B1759" i="11"/>
  <c r="B1763" i="11"/>
  <c r="B1767" i="11"/>
  <c r="B1771" i="11"/>
  <c r="D1771" i="11" s="1"/>
  <c r="B1775" i="11"/>
  <c r="B1779" i="11"/>
  <c r="B1783" i="11"/>
  <c r="B1787" i="11"/>
  <c r="C1787" i="11" s="1"/>
  <c r="B1791" i="11"/>
  <c r="B1795" i="11"/>
  <c r="C1795" i="11" s="1"/>
  <c r="B1799" i="11"/>
  <c r="B1803" i="11"/>
  <c r="C1803" i="11" s="1"/>
  <c r="B1807" i="11"/>
  <c r="B1811" i="11"/>
  <c r="B1815" i="11"/>
  <c r="B1819" i="11"/>
  <c r="C1819" i="11" s="1"/>
  <c r="B1823" i="11"/>
  <c r="D1823" i="11" s="1"/>
  <c r="B1827" i="11"/>
  <c r="D1827" i="11" s="1"/>
  <c r="B1831" i="11"/>
  <c r="C1831" i="11" s="1"/>
  <c r="B1835" i="11"/>
  <c r="B1839" i="11"/>
  <c r="B1843" i="11"/>
  <c r="B1847" i="11"/>
  <c r="B1851" i="11"/>
  <c r="D1851" i="11" s="1"/>
  <c r="B1855" i="11"/>
  <c r="B1859" i="11"/>
  <c r="B1863" i="11"/>
  <c r="B1867" i="11"/>
  <c r="B1871" i="11"/>
  <c r="B1875" i="11"/>
  <c r="B1879" i="11"/>
  <c r="B1883" i="11"/>
  <c r="D1883" i="11" s="1"/>
  <c r="B1887" i="11"/>
  <c r="B1891" i="11"/>
  <c r="B1895" i="11"/>
  <c r="B1899" i="11"/>
  <c r="D1899" i="11" s="1"/>
  <c r="B1903" i="11"/>
  <c r="B1907" i="11"/>
  <c r="C1907" i="11" s="1"/>
  <c r="B1911" i="11"/>
  <c r="B1915" i="11"/>
  <c r="D1915" i="11" s="1"/>
  <c r="B1919" i="11"/>
  <c r="D1919" i="11" s="1"/>
  <c r="B1923" i="11"/>
  <c r="B1927" i="11"/>
  <c r="B1931" i="11"/>
  <c r="D1931" i="11" s="1"/>
  <c r="B1935" i="11"/>
  <c r="B1939" i="11"/>
  <c r="B1943" i="11"/>
  <c r="C1943" i="11" s="1"/>
  <c r="B1947" i="11"/>
  <c r="B1951" i="11"/>
  <c r="C1951" i="11" s="1"/>
  <c r="B1955" i="11"/>
  <c r="D1955" i="11" s="1"/>
  <c r="B1959" i="11"/>
  <c r="B1963" i="11"/>
  <c r="B1967" i="11"/>
  <c r="B1971" i="11"/>
  <c r="B1975" i="11"/>
  <c r="B1979" i="11"/>
  <c r="D1979" i="11" s="1"/>
  <c r="B1983" i="11"/>
  <c r="B1987" i="11"/>
  <c r="B1991" i="11"/>
  <c r="B1995" i="11"/>
  <c r="D1995" i="11" s="1"/>
  <c r="B1999" i="11"/>
  <c r="B2003" i="11"/>
  <c r="B2007" i="11"/>
  <c r="D2007" i="11" s="1"/>
  <c r="B2011" i="11"/>
  <c r="D2011" i="11" s="1"/>
  <c r="B2015" i="11"/>
  <c r="B2019" i="11"/>
  <c r="D2019" i="11" s="1"/>
  <c r="B2023" i="11"/>
  <c r="D2023" i="11" s="1"/>
  <c r="B2027" i="11"/>
  <c r="C2027" i="11" s="1"/>
  <c r="B2031" i="11"/>
  <c r="B2035" i="11"/>
  <c r="B2039" i="11"/>
  <c r="B2043" i="11"/>
  <c r="B2047" i="11"/>
  <c r="C2047" i="11" s="1"/>
  <c r="B2051" i="11"/>
  <c r="B2055" i="11"/>
  <c r="B2059" i="11"/>
  <c r="B2063" i="11"/>
  <c r="B2067" i="11"/>
  <c r="C2067" i="11" s="1"/>
  <c r="B2071" i="11"/>
  <c r="B2075" i="11"/>
  <c r="B2079" i="11"/>
  <c r="B2083" i="11"/>
  <c r="B2087" i="11"/>
  <c r="B2091" i="11"/>
  <c r="B2095" i="11"/>
  <c r="B2099" i="11"/>
  <c r="B2103" i="11"/>
  <c r="C2103" i="11" s="1"/>
  <c r="B2107" i="11"/>
  <c r="B2111" i="11"/>
  <c r="B2115" i="11"/>
  <c r="D2115" i="11" s="1"/>
  <c r="B2119" i="11"/>
  <c r="B2123" i="11"/>
  <c r="D2123" i="11" s="1"/>
  <c r="B2127" i="11"/>
  <c r="B2131" i="11"/>
  <c r="D2131" i="11" s="1"/>
  <c r="B2135" i="11"/>
  <c r="B2139" i="11"/>
  <c r="D2139" i="11" s="1"/>
  <c r="B2143" i="11"/>
  <c r="B2147" i="11"/>
  <c r="B2151" i="11"/>
  <c r="B2155" i="11"/>
  <c r="C2155" i="11" s="1"/>
  <c r="B2159" i="11"/>
  <c r="B2163" i="11"/>
  <c r="B2167" i="11"/>
  <c r="D2167" i="11" s="1"/>
  <c r="B2171" i="11"/>
  <c r="D2171" i="11" s="1"/>
  <c r="B2175" i="11"/>
  <c r="B2179" i="11"/>
  <c r="D2179" i="11" s="1"/>
  <c r="B2183" i="11"/>
  <c r="D2183" i="11" s="1"/>
  <c r="B2187" i="11"/>
  <c r="B2191" i="11"/>
  <c r="B2195" i="11"/>
  <c r="C2195" i="11" s="1"/>
  <c r="B2199" i="11"/>
  <c r="B2203" i="11"/>
  <c r="B2207" i="11"/>
  <c r="B2211" i="11"/>
  <c r="B2215" i="11"/>
  <c r="B2219" i="11"/>
  <c r="B2223" i="11"/>
  <c r="B2227" i="11"/>
  <c r="B2231" i="11"/>
  <c r="B2235" i="11"/>
  <c r="D2235" i="11" s="1"/>
  <c r="B2239" i="11"/>
  <c r="B2243" i="11"/>
  <c r="D2243" i="11" s="1"/>
  <c r="B2247" i="11"/>
  <c r="B2251" i="11"/>
  <c r="D2251" i="11" s="1"/>
  <c r="B2255" i="11"/>
  <c r="B2259" i="11"/>
  <c r="D2259" i="11" s="1"/>
  <c r="B2263" i="11"/>
  <c r="B2267" i="11"/>
  <c r="D2267" i="11" s="1"/>
  <c r="B2271" i="11"/>
  <c r="B2275" i="11"/>
  <c r="D2275" i="11" s="1"/>
  <c r="B2279" i="11"/>
  <c r="C2279" i="11" s="1"/>
  <c r="B2283" i="11"/>
  <c r="C2283" i="11" s="1"/>
  <c r="B2287" i="11"/>
  <c r="B2291" i="11"/>
  <c r="B2295" i="11"/>
  <c r="B2299" i="11"/>
  <c r="D2299" i="11" s="1"/>
  <c r="B2303" i="11"/>
  <c r="B2307" i="11"/>
  <c r="C2307" i="11" s="1"/>
  <c r="B32" i="11"/>
  <c r="B120" i="11"/>
  <c r="B204" i="11"/>
  <c r="B288" i="11"/>
  <c r="B363" i="11"/>
  <c r="B391" i="11"/>
  <c r="C391" i="11" s="1"/>
  <c r="B419" i="11"/>
  <c r="B448" i="11"/>
  <c r="D448" i="11" s="1"/>
  <c r="B476" i="11"/>
  <c r="C476" i="11" s="1"/>
  <c r="B504" i="11"/>
  <c r="C504" i="11" s="1"/>
  <c r="B534" i="11"/>
  <c r="B562" i="11"/>
  <c r="B590" i="11"/>
  <c r="B619" i="11"/>
  <c r="B647" i="11"/>
  <c r="B675" i="11"/>
  <c r="B702" i="11"/>
  <c r="B723" i="11"/>
  <c r="B744" i="11"/>
  <c r="B766" i="11"/>
  <c r="C766" i="11" s="1"/>
  <c r="B787" i="11"/>
  <c r="B808" i="11"/>
  <c r="C808" i="11" s="1"/>
  <c r="B830" i="11"/>
  <c r="C830" i="11" s="1"/>
  <c r="B851" i="11"/>
  <c r="C851" i="11" s="1"/>
  <c r="B870" i="11"/>
  <c r="B886" i="11"/>
  <c r="D886" i="11" s="1"/>
  <c r="B902" i="11"/>
  <c r="B918" i="11"/>
  <c r="B934" i="11"/>
  <c r="D934" i="11" s="1"/>
  <c r="B950" i="11"/>
  <c r="B966" i="11"/>
  <c r="B982" i="11"/>
  <c r="D982" i="11" s="1"/>
  <c r="B998" i="11"/>
  <c r="C998" i="11" s="1"/>
  <c r="B1014" i="11"/>
  <c r="B1030" i="11"/>
  <c r="C1030" i="11" s="1"/>
  <c r="B1046" i="11"/>
  <c r="B1062" i="11"/>
  <c r="B1078" i="11"/>
  <c r="B1094" i="11"/>
  <c r="B1110" i="11"/>
  <c r="D1110" i="11" s="1"/>
  <c r="B1126" i="11"/>
  <c r="B56" i="11"/>
  <c r="B140" i="11"/>
  <c r="B224" i="11"/>
  <c r="C224" i="11" s="1"/>
  <c r="B312" i="11"/>
  <c r="C312" i="11" s="1"/>
  <c r="B370" i="11"/>
  <c r="B398" i="11"/>
  <c r="D398" i="11" s="1"/>
  <c r="B427" i="11"/>
  <c r="D427" i="11" s="1"/>
  <c r="B455" i="11"/>
  <c r="B483" i="11"/>
  <c r="B512" i="11"/>
  <c r="C512" i="11" s="1"/>
  <c r="B540" i="11"/>
  <c r="D540" i="11" s="1"/>
  <c r="B568" i="11"/>
  <c r="B598" i="11"/>
  <c r="B626" i="11"/>
  <c r="B654" i="11"/>
  <c r="D654" i="11" s="1"/>
  <c r="B683" i="11"/>
  <c r="B707" i="11"/>
  <c r="C707" i="11" s="1"/>
  <c r="B728" i="11"/>
  <c r="B750" i="11"/>
  <c r="B771" i="11"/>
  <c r="C771" i="11" s="1"/>
  <c r="B792" i="11"/>
  <c r="C792" i="11" s="1"/>
  <c r="B814" i="11"/>
  <c r="B835" i="11"/>
  <c r="B856" i="11"/>
  <c r="B874" i="11"/>
  <c r="D874" i="11" s="1"/>
  <c r="B890" i="11"/>
  <c r="B906" i="11"/>
  <c r="D906" i="11" s="1"/>
  <c r="B922" i="11"/>
  <c r="B938" i="11"/>
  <c r="D938" i="11" s="1"/>
  <c r="B954" i="11"/>
  <c r="B970" i="11"/>
  <c r="C970" i="11" s="1"/>
  <c r="B986" i="11"/>
  <c r="B1002" i="11"/>
  <c r="D1002" i="11" s="1"/>
  <c r="B1018" i="11"/>
  <c r="B1034" i="11"/>
  <c r="B1050" i="11"/>
  <c r="D1050" i="11" s="1"/>
  <c r="B1066" i="11"/>
  <c r="B1082" i="11"/>
  <c r="B1098" i="11"/>
  <c r="B1114" i="11"/>
  <c r="D1114" i="11" s="1"/>
  <c r="B1130" i="11"/>
  <c r="B1146" i="11"/>
  <c r="B1162" i="11"/>
  <c r="B1172" i="11"/>
  <c r="B1183" i="11"/>
  <c r="C1183" i="11" s="1"/>
  <c r="B1194" i="11"/>
  <c r="B1204" i="11"/>
  <c r="D1204" i="11" s="1"/>
  <c r="B1215" i="11"/>
  <c r="D1215" i="11" s="1"/>
  <c r="B1226" i="11"/>
  <c r="B1236" i="11"/>
  <c r="C1236" i="11" s="1"/>
  <c r="B1247" i="11"/>
  <c r="C1247" i="11" s="1"/>
  <c r="B1258" i="11"/>
  <c r="B1268" i="11"/>
  <c r="C1268" i="11" s="1"/>
  <c r="B1279" i="11"/>
  <c r="C1279" i="11" s="1"/>
  <c r="B1290" i="11"/>
  <c r="B1300" i="11"/>
  <c r="D1300" i="11" s="1"/>
  <c r="B1311" i="11"/>
  <c r="C1311" i="11" s="1"/>
  <c r="B1322" i="11"/>
  <c r="D1322" i="11" s="1"/>
  <c r="B1332" i="11"/>
  <c r="C1332" i="11" s="1"/>
  <c r="B1343" i="11"/>
  <c r="D1343" i="11" s="1"/>
  <c r="B1354" i="11"/>
  <c r="B1364" i="11"/>
  <c r="B1375" i="11"/>
  <c r="C1375" i="11" s="1"/>
  <c r="B1386" i="11"/>
  <c r="B1396" i="11"/>
  <c r="B1407" i="11"/>
  <c r="B1418" i="11"/>
  <c r="B1428" i="11"/>
  <c r="B1439" i="11"/>
  <c r="B1450" i="11"/>
  <c r="C1450" i="11" s="1"/>
  <c r="B1460" i="11"/>
  <c r="B1471" i="11"/>
  <c r="B1482" i="11"/>
  <c r="D1482" i="11" s="1"/>
  <c r="B1492" i="11"/>
  <c r="B1503" i="11"/>
  <c r="D1503" i="11" s="1"/>
  <c r="B1514" i="11"/>
  <c r="B1524" i="11"/>
  <c r="D1524" i="11" s="1"/>
  <c r="B1535" i="11"/>
  <c r="B1546" i="11"/>
  <c r="D1546" i="11" s="1"/>
  <c r="B1556" i="11"/>
  <c r="B1567" i="11"/>
  <c r="B1578" i="11"/>
  <c r="B1588" i="11"/>
  <c r="B1599" i="11"/>
  <c r="B1610" i="11"/>
  <c r="D1610" i="11" s="1"/>
  <c r="B1620" i="11"/>
  <c r="B1631" i="11"/>
  <c r="B1642" i="11"/>
  <c r="C1642" i="11" s="1"/>
  <c r="B1652" i="11"/>
  <c r="C1652" i="11" s="1"/>
  <c r="B1658" i="11"/>
  <c r="B1664" i="11"/>
  <c r="D1664" i="11" s="1"/>
  <c r="B1669" i="11"/>
  <c r="B1674" i="11"/>
  <c r="C1674" i="11" s="1"/>
  <c r="B1680" i="11"/>
  <c r="D1680" i="11" s="1"/>
  <c r="B1685" i="11"/>
  <c r="C1685" i="11" s="1"/>
  <c r="B1690" i="11"/>
  <c r="B1696" i="11"/>
  <c r="C1696" i="11" s="1"/>
  <c r="B1701" i="11"/>
  <c r="B1706" i="11"/>
  <c r="C1706" i="11" s="1"/>
  <c r="B1712" i="11"/>
  <c r="B1717" i="11"/>
  <c r="B1722" i="11"/>
  <c r="B1728" i="11"/>
  <c r="C1728" i="11" s="1"/>
  <c r="B1733" i="11"/>
  <c r="B1738" i="11"/>
  <c r="D1738" i="11" s="1"/>
  <c r="B1744" i="11"/>
  <c r="B1749" i="11"/>
  <c r="D1749" i="11" s="1"/>
  <c r="B1754" i="11"/>
  <c r="D1754" i="11" s="1"/>
  <c r="B1760" i="11"/>
  <c r="D1760" i="11" s="1"/>
  <c r="B1765" i="11"/>
  <c r="D1765" i="11" s="1"/>
  <c r="B1770" i="11"/>
  <c r="B1776" i="11"/>
  <c r="B1781" i="11"/>
  <c r="B1786" i="11"/>
  <c r="C1786" i="11" s="1"/>
  <c r="B1792" i="11"/>
  <c r="B1797" i="11"/>
  <c r="B1802" i="11"/>
  <c r="B1808" i="11"/>
  <c r="B1813" i="11"/>
  <c r="B1818" i="11"/>
  <c r="C1818" i="11" s="1"/>
  <c r="B1824" i="11"/>
  <c r="C1824" i="11" s="1"/>
  <c r="B1829" i="11"/>
  <c r="D1829" i="11" s="1"/>
  <c r="B1834" i="11"/>
  <c r="B1840" i="11"/>
  <c r="B1845" i="11"/>
  <c r="B1850" i="11"/>
  <c r="B1856" i="11"/>
  <c r="C1856" i="11" s="1"/>
  <c r="B1861" i="11"/>
  <c r="C1861" i="11" s="1"/>
  <c r="B1866" i="11"/>
  <c r="C1866" i="11" s="1"/>
  <c r="B1872" i="11"/>
  <c r="D1872" i="11" s="1"/>
  <c r="B1877" i="11"/>
  <c r="B1882" i="11"/>
  <c r="D1882" i="11" s="1"/>
  <c r="B1888" i="11"/>
  <c r="B1893" i="11"/>
  <c r="B1898" i="11"/>
  <c r="B1904" i="11"/>
  <c r="C1904" i="11" s="1"/>
  <c r="B1909" i="11"/>
  <c r="B1914" i="11"/>
  <c r="B1920" i="11"/>
  <c r="C1920" i="11" s="1"/>
  <c r="B1925" i="11"/>
  <c r="B1930" i="11"/>
  <c r="C1930" i="11" s="1"/>
  <c r="B1936" i="11"/>
  <c r="B1941" i="11"/>
  <c r="B1946" i="11"/>
  <c r="C1946" i="11" s="1"/>
  <c r="B1952" i="11"/>
  <c r="C1952" i="11" s="1"/>
  <c r="B1957" i="11"/>
  <c r="B1962" i="11"/>
  <c r="C1962" i="11" s="1"/>
  <c r="B1968" i="11"/>
  <c r="B1973" i="11"/>
  <c r="D1973" i="11" s="1"/>
  <c r="B1978" i="11"/>
  <c r="C1978" i="11" s="1"/>
  <c r="B1984" i="11"/>
  <c r="C1984" i="11" s="1"/>
  <c r="B1989" i="11"/>
  <c r="C1989" i="11" s="1"/>
  <c r="B1994" i="11"/>
  <c r="B2000" i="11"/>
  <c r="B2005" i="11"/>
  <c r="D2005" i="11" s="1"/>
  <c r="B2010" i="11"/>
  <c r="C2010" i="11" s="1"/>
  <c r="B2016" i="11"/>
  <c r="B2021" i="11"/>
  <c r="D2021" i="11" s="1"/>
  <c r="B2026" i="11"/>
  <c r="D2026" i="11" s="1"/>
  <c r="B2032" i="11"/>
  <c r="C2032" i="11" s="1"/>
  <c r="B2037" i="11"/>
  <c r="B2042" i="11"/>
  <c r="B2048" i="11"/>
  <c r="B2053" i="11"/>
  <c r="D2053" i="11" s="1"/>
  <c r="B2058" i="11"/>
  <c r="D2058" i="11" s="1"/>
  <c r="B2064" i="11"/>
  <c r="D2064" i="11" s="1"/>
  <c r="B2069" i="11"/>
  <c r="D2069" i="11" s="1"/>
  <c r="B2074" i="11"/>
  <c r="B2080" i="11"/>
  <c r="C2080" i="11" s="1"/>
  <c r="B2085" i="11"/>
  <c r="B76" i="11"/>
  <c r="B248" i="11"/>
  <c r="B376" i="11"/>
  <c r="C376" i="11" s="1"/>
  <c r="B434" i="11"/>
  <c r="B491" i="11"/>
  <c r="D491" i="11" s="1"/>
  <c r="B547" i="11"/>
  <c r="B604" i="11"/>
  <c r="B662" i="11"/>
  <c r="B712" i="11"/>
  <c r="C712" i="11" s="1"/>
  <c r="B755" i="11"/>
  <c r="B798" i="11"/>
  <c r="D798" i="11" s="1"/>
  <c r="B840" i="11"/>
  <c r="B878" i="11"/>
  <c r="C878" i="11" s="1"/>
  <c r="B910" i="11"/>
  <c r="B942" i="11"/>
  <c r="C942" i="11" s="1"/>
  <c r="B974" i="11"/>
  <c r="B1006" i="11"/>
  <c r="B1038" i="11"/>
  <c r="B1070" i="11"/>
  <c r="B1102" i="11"/>
  <c r="B1134" i="11"/>
  <c r="B1154" i="11"/>
  <c r="B1170" i="11"/>
  <c r="B1186" i="11"/>
  <c r="B1199" i="11"/>
  <c r="C1199" i="11" s="1"/>
  <c r="B1212" i="11"/>
  <c r="C1212" i="11" s="1"/>
  <c r="B1228" i="11"/>
  <c r="C1228" i="11" s="1"/>
  <c r="B1242" i="11"/>
  <c r="B1255" i="11"/>
  <c r="B1271" i="11"/>
  <c r="D1271" i="11" s="1"/>
  <c r="B1284" i="11"/>
  <c r="C1284" i="11" s="1"/>
  <c r="B1298" i="11"/>
  <c r="B1314" i="11"/>
  <c r="C1314" i="11" s="1"/>
  <c r="B1327" i="11"/>
  <c r="B1340" i="11"/>
  <c r="D1340" i="11" s="1"/>
  <c r="B1356" i="11"/>
  <c r="B1370" i="11"/>
  <c r="D1370" i="11" s="1"/>
  <c r="B1383" i="11"/>
  <c r="B1399" i="11"/>
  <c r="D1399" i="11" s="1"/>
  <c r="B1412" i="11"/>
  <c r="B1426" i="11"/>
  <c r="B1442" i="11"/>
  <c r="B1455" i="11"/>
  <c r="B1468" i="11"/>
  <c r="B1484" i="11"/>
  <c r="B1498" i="11"/>
  <c r="B1511" i="11"/>
  <c r="B1527" i="11"/>
  <c r="B1540" i="11"/>
  <c r="C1540" i="11" s="1"/>
  <c r="B1554" i="11"/>
  <c r="C1554" i="11" s="1"/>
  <c r="B1570" i="11"/>
  <c r="B1583" i="11"/>
  <c r="C1583" i="11" s="1"/>
  <c r="B1596" i="11"/>
  <c r="D1596" i="11" s="1"/>
  <c r="B1612" i="11"/>
  <c r="C1612" i="11" s="1"/>
  <c r="B1626" i="11"/>
  <c r="C1626" i="11" s="1"/>
  <c r="B1639" i="11"/>
  <c r="B1654" i="11"/>
  <c r="B1661" i="11"/>
  <c r="B1668" i="11"/>
  <c r="C1668" i="11" s="1"/>
  <c r="B1676" i="11"/>
  <c r="D1676" i="11" s="1"/>
  <c r="B1682" i="11"/>
  <c r="B1689" i="11"/>
  <c r="C1689" i="11" s="1"/>
  <c r="B1697" i="11"/>
  <c r="C1697" i="11" s="1"/>
  <c r="B1704" i="11"/>
  <c r="B1710" i="11"/>
  <c r="B1718" i="11"/>
  <c r="D1718" i="11" s="1"/>
  <c r="B1725" i="11"/>
  <c r="C1725" i="11" s="1"/>
  <c r="B1732" i="11"/>
  <c r="B1740" i="11"/>
  <c r="D1740" i="11" s="1"/>
  <c r="B1746" i="11"/>
  <c r="C1746" i="11" s="1"/>
  <c r="B1753" i="11"/>
  <c r="C1753" i="11" s="1"/>
  <c r="B1761" i="11"/>
  <c r="B1768" i="11"/>
  <c r="B1774" i="11"/>
  <c r="C1774" i="11" s="1"/>
  <c r="B1782" i="11"/>
  <c r="C1782" i="11" s="1"/>
  <c r="B1789" i="11"/>
  <c r="D1789" i="11" s="1"/>
  <c r="B1796" i="11"/>
  <c r="B1804" i="11"/>
  <c r="C1804" i="11" s="1"/>
  <c r="B1810" i="11"/>
  <c r="D1810" i="11" s="1"/>
  <c r="B1817" i="11"/>
  <c r="C1817" i="11" s="1"/>
  <c r="B1825" i="11"/>
  <c r="D1825" i="11" s="1"/>
  <c r="B1832" i="11"/>
  <c r="B1838" i="11"/>
  <c r="B1846" i="11"/>
  <c r="C1846" i="11" s="1"/>
  <c r="B1853" i="11"/>
  <c r="D1853" i="11" s="1"/>
  <c r="B1860" i="11"/>
  <c r="B1868" i="11"/>
  <c r="D1868" i="11" s="1"/>
  <c r="B1874" i="11"/>
  <c r="B1881" i="11"/>
  <c r="C1881" i="11" s="1"/>
  <c r="B1889" i="11"/>
  <c r="D1889" i="11" s="1"/>
  <c r="B1896" i="11"/>
  <c r="B1902" i="11"/>
  <c r="B1910" i="11"/>
  <c r="C1910" i="11" s="1"/>
  <c r="B1917" i="11"/>
  <c r="B1924" i="11"/>
  <c r="C1924" i="11" s="1"/>
  <c r="B1932" i="11"/>
  <c r="C1932" i="11" s="1"/>
  <c r="B1938" i="11"/>
  <c r="C1938" i="11" s="1"/>
  <c r="B1945" i="11"/>
  <c r="B1953" i="11"/>
  <c r="B1960" i="11"/>
  <c r="D1960" i="11" s="1"/>
  <c r="B1966" i="11"/>
  <c r="C1966" i="11" s="1"/>
  <c r="B1974" i="11"/>
  <c r="B1981" i="11"/>
  <c r="C1981" i="11" s="1"/>
  <c r="B1988" i="11"/>
  <c r="B1996" i="11"/>
  <c r="D1996" i="11" s="1"/>
  <c r="B2002" i="11"/>
  <c r="B2009" i="11"/>
  <c r="B2017" i="11"/>
  <c r="B2024" i="11"/>
  <c r="B2030" i="11"/>
  <c r="D2030" i="11" s="1"/>
  <c r="B2038" i="11"/>
  <c r="B2045" i="11"/>
  <c r="C2045" i="11" s="1"/>
  <c r="B2052" i="11"/>
  <c r="D2052" i="11" s="1"/>
  <c r="B2060" i="11"/>
  <c r="C2060" i="11" s="1"/>
  <c r="B2066" i="11"/>
  <c r="B2073" i="11"/>
  <c r="B2081" i="11"/>
  <c r="D2081" i="11" s="1"/>
  <c r="B2088" i="11"/>
  <c r="B2093" i="11"/>
  <c r="D2093" i="11" s="1"/>
  <c r="B2098" i="11"/>
  <c r="B2104" i="11"/>
  <c r="D2104" i="11" s="1"/>
  <c r="B2109" i="11"/>
  <c r="D2109" i="11" s="1"/>
  <c r="B2114" i="11"/>
  <c r="C2114" i="11" s="1"/>
  <c r="B2120" i="11"/>
  <c r="B2125" i="11"/>
  <c r="D2125" i="11" s="1"/>
  <c r="B2130" i="11"/>
  <c r="B2136" i="11"/>
  <c r="D2136" i="11" s="1"/>
  <c r="B2141" i="11"/>
  <c r="B2146" i="11"/>
  <c r="C2146" i="11" s="1"/>
  <c r="B2152" i="11"/>
  <c r="C2152" i="11" s="1"/>
  <c r="B2157" i="11"/>
  <c r="C2157" i="11" s="1"/>
  <c r="B2162" i="11"/>
  <c r="B2168" i="11"/>
  <c r="D2168" i="11" s="1"/>
  <c r="B2173" i="11"/>
  <c r="B2178" i="11"/>
  <c r="C2178" i="11" s="1"/>
  <c r="B2184" i="11"/>
  <c r="B2189" i="11"/>
  <c r="D2189" i="11" s="1"/>
  <c r="B2194" i="11"/>
  <c r="B2200" i="11"/>
  <c r="B2205" i="11"/>
  <c r="B2210" i="11"/>
  <c r="D2210" i="11" s="1"/>
  <c r="B2216" i="11"/>
  <c r="C2216" i="11" s="1"/>
  <c r="B2221" i="11"/>
  <c r="C2221" i="11" s="1"/>
  <c r="B2226" i="11"/>
  <c r="B2232" i="11"/>
  <c r="D2232" i="11" s="1"/>
  <c r="B2237" i="11"/>
  <c r="D2237" i="11" s="1"/>
  <c r="B2242" i="11"/>
  <c r="B2248" i="11"/>
  <c r="B2253" i="11"/>
  <c r="D2253" i="11" s="1"/>
  <c r="B2258" i="11"/>
  <c r="B2264" i="11"/>
  <c r="D2264" i="11" s="1"/>
  <c r="B2269" i="11"/>
  <c r="D2269" i="11" s="1"/>
  <c r="B2274" i="11"/>
  <c r="B2280" i="11"/>
  <c r="C2280" i="11" s="1"/>
  <c r="B2285" i="11"/>
  <c r="D2285" i="11" s="1"/>
  <c r="B2290" i="11"/>
  <c r="B2296" i="11"/>
  <c r="D2296" i="11" s="1"/>
  <c r="B2301" i="11"/>
  <c r="B2306" i="11"/>
  <c r="B2311" i="11"/>
  <c r="B2315" i="11"/>
  <c r="B2319" i="11"/>
  <c r="B2323" i="11"/>
  <c r="B2327" i="11"/>
  <c r="B2331" i="11"/>
  <c r="B2335" i="11"/>
  <c r="B2339" i="11"/>
  <c r="B2343" i="11"/>
  <c r="B2347" i="11"/>
  <c r="D2347" i="11" s="1"/>
  <c r="B2351" i="11"/>
  <c r="B2355" i="11"/>
  <c r="D2355" i="11" s="1"/>
  <c r="B2359" i="11"/>
  <c r="C2359" i="11" s="1"/>
  <c r="B2363" i="11"/>
  <c r="C2363" i="11" s="1"/>
  <c r="B2367" i="11"/>
  <c r="B2371" i="11"/>
  <c r="D2371" i="11" s="1"/>
  <c r="B2375" i="11"/>
  <c r="C2375" i="11" s="1"/>
  <c r="B2379" i="11"/>
  <c r="D2379" i="11" s="1"/>
  <c r="B2383" i="11"/>
  <c r="B2387" i="11"/>
  <c r="B2391" i="11"/>
  <c r="C2391" i="11" s="1"/>
  <c r="B2395" i="11"/>
  <c r="D2395" i="11" s="1"/>
  <c r="B2399" i="11"/>
  <c r="B2403" i="11"/>
  <c r="C2403" i="11" s="1"/>
  <c r="B2407" i="11"/>
  <c r="B2411" i="11"/>
  <c r="D2411" i="11" s="1"/>
  <c r="B2415" i="11"/>
  <c r="B2419" i="11"/>
  <c r="D2419" i="11" s="1"/>
  <c r="B2423" i="11"/>
  <c r="B2427" i="11"/>
  <c r="D2427" i="11" s="1"/>
  <c r="B2431" i="11"/>
  <c r="B2435" i="11"/>
  <c r="B2439" i="11"/>
  <c r="D2439" i="11" s="1"/>
  <c r="B2443" i="11"/>
  <c r="D2443" i="11" s="1"/>
  <c r="B2447" i="11"/>
  <c r="B2451" i="11"/>
  <c r="C2451" i="11" s="1"/>
  <c r="B2455" i="11"/>
  <c r="B2459" i="11"/>
  <c r="B2463" i="11"/>
  <c r="B2467" i="11"/>
  <c r="D2467" i="11" s="1"/>
  <c r="B2471" i="11"/>
  <c r="D2471" i="11" s="1"/>
  <c r="B2475" i="11"/>
  <c r="C2475" i="11" s="1"/>
  <c r="B2479" i="11"/>
  <c r="B2483" i="11"/>
  <c r="C2483" i="11" s="1"/>
  <c r="B2487" i="11"/>
  <c r="B2491" i="11"/>
  <c r="B2495" i="11"/>
  <c r="B2499" i="11"/>
  <c r="B2503" i="11"/>
  <c r="B2507" i="11"/>
  <c r="B2511" i="11"/>
  <c r="D2511" i="11" s="1"/>
  <c r="B2515" i="11"/>
  <c r="C2515" i="11" s="1"/>
  <c r="B2519" i="11"/>
  <c r="B2523" i="11"/>
  <c r="D2523" i="11" s="1"/>
  <c r="B2527" i="11"/>
  <c r="B2531" i="11"/>
  <c r="B2535" i="11"/>
  <c r="B2539" i="11"/>
  <c r="B2543" i="11"/>
  <c r="B2547" i="11"/>
  <c r="C2547" i="11" s="1"/>
  <c r="B2551" i="11"/>
  <c r="D2551" i="11" s="1"/>
  <c r="B2555" i="11"/>
  <c r="D2555" i="11" s="1"/>
  <c r="B2559" i="11"/>
  <c r="B2563" i="11"/>
  <c r="B2567" i="11"/>
  <c r="D2567" i="11" s="1"/>
  <c r="B2571" i="11"/>
  <c r="B2575" i="11"/>
  <c r="D2575" i="11" s="1"/>
  <c r="B2579" i="11"/>
  <c r="B2583" i="11"/>
  <c r="D2583" i="11" s="1"/>
  <c r="B2587" i="11"/>
  <c r="B2591" i="11"/>
  <c r="C2591" i="11" s="1"/>
  <c r="B2595" i="11"/>
  <c r="B2599" i="11"/>
  <c r="B2603" i="11"/>
  <c r="D2603" i="11" s="1"/>
  <c r="B2607" i="11"/>
  <c r="B2611" i="11"/>
  <c r="C2611" i="11" s="1"/>
  <c r="B2615" i="11"/>
  <c r="D2615" i="11" s="1"/>
  <c r="B2619" i="11"/>
  <c r="D2619" i="11" s="1"/>
  <c r="B2623" i="11"/>
  <c r="B2627" i="11"/>
  <c r="B2631" i="11"/>
  <c r="D2631" i="11" s="1"/>
  <c r="B2635" i="11"/>
  <c r="B2639" i="11"/>
  <c r="B2643" i="11"/>
  <c r="B2647" i="11"/>
  <c r="D2647" i="11" s="1"/>
  <c r="B2651" i="11"/>
  <c r="D2651" i="11" s="1"/>
  <c r="B2655" i="11"/>
  <c r="C2655" i="11" s="1"/>
  <c r="B2659" i="11"/>
  <c r="C2659" i="11" s="1"/>
  <c r="B2663" i="11"/>
  <c r="C2663" i="11" s="1"/>
  <c r="B2667" i="11"/>
  <c r="B2671" i="11"/>
  <c r="B2675" i="11"/>
  <c r="D2675" i="11" s="1"/>
  <c r="B2679" i="11"/>
  <c r="C2679" i="11" s="1"/>
  <c r="B2683" i="11"/>
  <c r="B2687" i="11"/>
  <c r="B2691" i="11"/>
  <c r="B2695" i="11"/>
  <c r="B2699" i="11"/>
  <c r="B2703" i="11"/>
  <c r="B2707" i="11"/>
  <c r="B2711" i="11"/>
  <c r="C2711" i="11" s="1"/>
  <c r="B2715" i="11"/>
  <c r="B2719" i="11"/>
  <c r="B2723" i="11"/>
  <c r="C2723" i="11" s="1"/>
  <c r="B2727" i="11"/>
  <c r="B2731" i="11"/>
  <c r="D2731" i="11" s="1"/>
  <c r="B2735" i="11"/>
  <c r="C2735" i="11" s="1"/>
  <c r="B2739" i="11"/>
  <c r="B2743" i="11"/>
  <c r="B2747" i="11"/>
  <c r="C2747" i="11" s="1"/>
  <c r="B2751" i="11"/>
  <c r="B2755" i="11"/>
  <c r="B2759" i="11"/>
  <c r="B2763" i="11"/>
  <c r="B2767" i="11"/>
  <c r="B2771" i="11"/>
  <c r="C2771" i="11" s="1"/>
  <c r="B2775" i="11"/>
  <c r="B2779" i="11"/>
  <c r="B2783" i="11"/>
  <c r="B2787" i="11"/>
  <c r="D2787" i="11" s="1"/>
  <c r="B2791" i="11"/>
  <c r="B2795" i="11"/>
  <c r="D2795" i="11" s="1"/>
  <c r="B2799" i="11"/>
  <c r="B2803" i="11"/>
  <c r="B2807" i="11"/>
  <c r="B2811" i="11"/>
  <c r="C2811" i="11" s="1"/>
  <c r="B2815" i="11"/>
  <c r="B2819" i="11"/>
  <c r="C2819" i="11" s="1"/>
  <c r="B2823" i="11"/>
  <c r="D2823" i="11" s="1"/>
  <c r="B2827" i="11"/>
  <c r="D2827" i="11" s="1"/>
  <c r="B2831" i="11"/>
  <c r="C2831" i="11" s="1"/>
  <c r="B2835" i="11"/>
  <c r="D2835" i="11" s="1"/>
  <c r="B2839" i="11"/>
  <c r="D2839" i="11" s="1"/>
  <c r="B2843" i="11"/>
  <c r="B2847" i="11"/>
  <c r="B2851" i="11"/>
  <c r="D2851" i="11" s="1"/>
  <c r="B2855" i="11"/>
  <c r="D2855" i="11" s="1"/>
  <c r="B2859" i="11"/>
  <c r="C2859" i="11" s="1"/>
  <c r="B2863" i="11"/>
  <c r="C2863" i="11" s="1"/>
  <c r="B2867" i="11"/>
  <c r="D2867" i="11" s="1"/>
  <c r="B2871" i="11"/>
  <c r="C2871" i="11" s="1"/>
  <c r="B2875" i="11"/>
  <c r="B2879" i="11"/>
  <c r="C2879" i="11" s="1"/>
  <c r="B2883" i="11"/>
  <c r="C2883" i="11" s="1"/>
  <c r="B2887" i="11"/>
  <c r="B2891" i="11"/>
  <c r="D2891" i="11" s="1"/>
  <c r="B2895" i="11"/>
  <c r="B2899" i="11"/>
  <c r="B2903" i="11"/>
  <c r="D2903" i="11" s="1"/>
  <c r="B2907" i="11"/>
  <c r="D2907" i="11" s="1"/>
  <c r="B2911" i="11"/>
  <c r="B2915" i="11"/>
  <c r="D2915" i="11" s="1"/>
  <c r="B2919" i="11"/>
  <c r="B2923" i="11"/>
  <c r="B2927" i="11"/>
  <c r="B2931" i="11"/>
  <c r="D2931" i="11" s="1"/>
  <c r="B2935" i="11"/>
  <c r="B2939" i="11"/>
  <c r="B2943" i="11"/>
  <c r="B2947" i="11"/>
  <c r="B2951" i="11"/>
  <c r="C2951" i="11" s="1"/>
  <c r="B2955" i="11"/>
  <c r="D2955" i="11" s="1"/>
  <c r="B2959" i="11"/>
  <c r="B2963" i="11"/>
  <c r="D2963" i="11" s="1"/>
  <c r="B2967" i="11"/>
  <c r="B2971" i="11"/>
  <c r="C2971" i="11" s="1"/>
  <c r="B2975" i="11"/>
  <c r="B2979" i="11"/>
  <c r="B2983" i="11"/>
  <c r="B2987" i="11"/>
  <c r="D2987" i="11" s="1"/>
  <c r="B2991" i="11"/>
  <c r="B2995" i="11"/>
  <c r="D2995" i="11" s="1"/>
  <c r="B2999" i="11"/>
  <c r="D2999" i="11" s="1"/>
  <c r="B3003" i="11"/>
  <c r="B3007" i="11"/>
  <c r="B3011" i="11"/>
  <c r="B3015" i="11"/>
  <c r="C3015" i="11" s="1"/>
  <c r="B3019" i="11"/>
  <c r="B3023" i="11"/>
  <c r="C3023" i="11" s="1"/>
  <c r="B3027" i="11"/>
  <c r="C3027" i="11" s="1"/>
  <c r="B3031" i="11"/>
  <c r="B3035" i="11"/>
  <c r="C3035" i="11" s="1"/>
  <c r="B160" i="11"/>
  <c r="B332" i="11"/>
  <c r="C332" i="11" s="1"/>
  <c r="B406" i="11"/>
  <c r="B462" i="11"/>
  <c r="B519" i="11"/>
  <c r="D519" i="11" s="1"/>
  <c r="B576" i="11"/>
  <c r="B632" i="11"/>
  <c r="B690" i="11"/>
  <c r="D690" i="11" s="1"/>
  <c r="B734" i="11"/>
  <c r="B776" i="11"/>
  <c r="C776" i="11" s="1"/>
  <c r="B819" i="11"/>
  <c r="B862" i="11"/>
  <c r="B894" i="11"/>
  <c r="B926" i="11"/>
  <c r="C926" i="11" s="1"/>
  <c r="B958" i="11"/>
  <c r="B990" i="11"/>
  <c r="C990" i="11" s="1"/>
  <c r="B1022" i="11"/>
  <c r="C1022" i="11" s="1"/>
  <c r="B1054" i="11"/>
  <c r="B1086" i="11"/>
  <c r="B1118" i="11"/>
  <c r="B1142" i="11"/>
  <c r="B1164" i="11"/>
  <c r="D1164" i="11" s="1"/>
  <c r="B1178" i="11"/>
  <c r="B1191" i="11"/>
  <c r="B1207" i="11"/>
  <c r="B1220" i="11"/>
  <c r="C1220" i="11" s="1"/>
  <c r="B1234" i="11"/>
  <c r="B1250" i="11"/>
  <c r="B1263" i="11"/>
  <c r="D1263" i="11" s="1"/>
  <c r="B1276" i="11"/>
  <c r="B1292" i="11"/>
  <c r="B1306" i="11"/>
  <c r="B1319" i="11"/>
  <c r="D1319" i="11" s="1"/>
  <c r="B1335" i="11"/>
  <c r="B1348" i="11"/>
  <c r="B1362" i="11"/>
  <c r="D1362" i="11" s="1"/>
  <c r="B1378" i="11"/>
  <c r="B1391" i="11"/>
  <c r="B1404" i="11"/>
  <c r="B1420" i="11"/>
  <c r="B1434" i="11"/>
  <c r="B1447" i="11"/>
  <c r="C1447" i="11" s="1"/>
  <c r="B1463" i="11"/>
  <c r="C1463" i="11" s="1"/>
  <c r="B1476" i="11"/>
  <c r="B1490" i="11"/>
  <c r="B1506" i="11"/>
  <c r="B1519" i="11"/>
  <c r="B1532" i="11"/>
  <c r="C1532" i="11" s="1"/>
  <c r="B1548" i="11"/>
  <c r="B1562" i="11"/>
  <c r="B1575" i="11"/>
  <c r="B1591" i="11"/>
  <c r="B1604" i="11"/>
  <c r="B1618" i="11"/>
  <c r="B1634" i="11"/>
  <c r="B1647" i="11"/>
  <c r="B1657" i="11"/>
  <c r="C1657" i="11" s="1"/>
  <c r="B1665" i="11"/>
  <c r="B1672" i="11"/>
  <c r="C1672" i="11" s="1"/>
  <c r="B1678" i="11"/>
  <c r="B1686" i="11"/>
  <c r="B1693" i="11"/>
  <c r="B1700" i="11"/>
  <c r="B1708" i="11"/>
  <c r="B1714" i="11"/>
  <c r="B1721" i="11"/>
  <c r="B1729" i="11"/>
  <c r="B1736" i="11"/>
  <c r="B1742" i="11"/>
  <c r="B1750" i="11"/>
  <c r="D1750" i="11" s="1"/>
  <c r="B1757" i="11"/>
  <c r="B1764" i="11"/>
  <c r="D1764" i="11" s="1"/>
  <c r="B1772" i="11"/>
  <c r="B1778" i="11"/>
  <c r="C1778" i="11" s="1"/>
  <c r="B1785" i="11"/>
  <c r="B1793" i="11"/>
  <c r="B1800" i="11"/>
  <c r="B1806" i="11"/>
  <c r="B1814" i="11"/>
  <c r="B1821" i="11"/>
  <c r="B1828" i="11"/>
  <c r="B1836" i="11"/>
  <c r="C1836" i="11" s="1"/>
  <c r="B1842" i="11"/>
  <c r="B1849" i="11"/>
  <c r="D1849" i="11" s="1"/>
  <c r="B1857" i="11"/>
  <c r="B1864" i="11"/>
  <c r="B1870" i="11"/>
  <c r="B1878" i="11"/>
  <c r="D1878" i="11" s="1"/>
  <c r="B1885" i="11"/>
  <c r="B1892" i="11"/>
  <c r="B1900" i="11"/>
  <c r="B1906" i="11"/>
  <c r="B1913" i="11"/>
  <c r="D1913" i="11" s="1"/>
  <c r="B1921" i="11"/>
  <c r="B1928" i="11"/>
  <c r="D1928" i="11" s="1"/>
  <c r="B1934" i="11"/>
  <c r="C1934" i="11" s="1"/>
  <c r="B1942" i="11"/>
  <c r="B1949" i="11"/>
  <c r="B1956" i="11"/>
  <c r="C1956" i="11" s="1"/>
  <c r="B1964" i="11"/>
  <c r="C1964" i="11" s="1"/>
  <c r="B1970" i="11"/>
  <c r="B1977" i="11"/>
  <c r="D1977" i="11" s="1"/>
  <c r="B1985" i="11"/>
  <c r="B1992" i="11"/>
  <c r="D1992" i="11" s="1"/>
  <c r="B1998" i="11"/>
  <c r="D1998" i="11" s="1"/>
  <c r="B2006" i="11"/>
  <c r="D2006" i="11" s="1"/>
  <c r="B2013" i="11"/>
  <c r="B2020" i="11"/>
  <c r="D2020" i="11" s="1"/>
  <c r="B2028" i="11"/>
  <c r="D2028" i="11" s="1"/>
  <c r="B2034" i="11"/>
  <c r="B2041" i="11"/>
  <c r="B2049" i="11"/>
  <c r="C2049" i="11" s="1"/>
  <c r="B2056" i="11"/>
  <c r="C2056" i="11" s="1"/>
  <c r="B2062" i="11"/>
  <c r="B2070" i="11"/>
  <c r="D2070" i="11" s="1"/>
  <c r="B2077" i="11"/>
  <c r="D2077" i="11" s="1"/>
  <c r="B2084" i="11"/>
  <c r="D2084" i="11" s="1"/>
  <c r="B2090" i="11"/>
  <c r="D2090" i="11" s="1"/>
  <c r="B2096" i="11"/>
  <c r="B2101" i="11"/>
  <c r="D2101" i="11" s="1"/>
  <c r="B2106" i="11"/>
  <c r="B2112" i="11"/>
  <c r="B2117" i="11"/>
  <c r="B2122" i="11"/>
  <c r="B2128" i="11"/>
  <c r="D2128" i="11" s="1"/>
  <c r="B2133" i="11"/>
  <c r="B2138" i="11"/>
  <c r="D2138" i="11" s="1"/>
  <c r="B2144" i="11"/>
  <c r="C2144" i="11" s="1"/>
  <c r="B2149" i="11"/>
  <c r="D2149" i="11" s="1"/>
  <c r="B2154" i="11"/>
  <c r="D2154" i="11" s="1"/>
  <c r="B2160" i="11"/>
  <c r="B2165" i="11"/>
  <c r="D2165" i="11" s="1"/>
  <c r="B2170" i="11"/>
  <c r="B2176" i="11"/>
  <c r="B2181" i="11"/>
  <c r="B2186" i="11"/>
  <c r="C2186" i="11" s="1"/>
  <c r="B2192" i="11"/>
  <c r="C2192" i="11" s="1"/>
  <c r="B2197" i="11"/>
  <c r="B2202" i="11"/>
  <c r="B2208" i="11"/>
  <c r="C2208" i="11" s="1"/>
  <c r="B2213" i="11"/>
  <c r="B2218" i="11"/>
  <c r="C2218" i="11" s="1"/>
  <c r="B2224" i="11"/>
  <c r="B2229" i="11"/>
  <c r="D2229" i="11" s="1"/>
  <c r="B2234" i="11"/>
  <c r="B2240" i="11"/>
  <c r="C2240" i="11" s="1"/>
  <c r="B2245" i="11"/>
  <c r="B2250" i="11"/>
  <c r="C2250" i="11" s="1"/>
  <c r="B2256" i="11"/>
  <c r="C2256" i="11" s="1"/>
  <c r="B2261" i="11"/>
  <c r="B2266" i="11"/>
  <c r="B2272" i="11"/>
  <c r="C2272" i="11" s="1"/>
  <c r="B2277" i="11"/>
  <c r="B2282" i="11"/>
  <c r="B2288" i="11"/>
  <c r="C2288" i="11" s="1"/>
  <c r="B2293" i="11"/>
  <c r="C2293" i="11" s="1"/>
  <c r="B2298" i="11"/>
  <c r="D2298" i="11" s="1"/>
  <c r="B2304" i="11"/>
  <c r="B2309" i="11"/>
  <c r="B2313" i="11"/>
  <c r="D2313" i="11" s="1"/>
  <c r="B2317" i="11"/>
  <c r="B2321" i="11"/>
  <c r="B2325" i="11"/>
  <c r="D2325" i="11" s="1"/>
  <c r="B2329" i="11"/>
  <c r="C2329" i="11" s="1"/>
  <c r="B2333" i="11"/>
  <c r="B2337" i="11"/>
  <c r="D2337" i="11" s="1"/>
  <c r="B2341" i="11"/>
  <c r="B2345" i="11"/>
  <c r="C2345" i="11" s="1"/>
  <c r="B2349" i="11"/>
  <c r="D2349" i="11" s="1"/>
  <c r="B2353" i="11"/>
  <c r="C2353" i="11" s="1"/>
  <c r="B2357" i="11"/>
  <c r="B2361" i="11"/>
  <c r="B2365" i="11"/>
  <c r="B2369" i="11"/>
  <c r="B2373" i="11"/>
  <c r="B2377" i="11"/>
  <c r="C2377" i="11" s="1"/>
  <c r="B2381" i="11"/>
  <c r="B2385" i="11"/>
  <c r="B2389" i="11"/>
  <c r="B2393" i="11"/>
  <c r="B2397" i="11"/>
  <c r="B2401" i="11"/>
  <c r="C2401" i="11" s="1"/>
  <c r="B2405" i="11"/>
  <c r="B2409" i="11"/>
  <c r="B2413" i="11"/>
  <c r="B2417" i="11"/>
  <c r="C2417" i="11" s="1"/>
  <c r="B2421" i="11"/>
  <c r="B2425" i="11"/>
  <c r="D2425" i="11" s="1"/>
  <c r="B2429" i="11"/>
  <c r="B2433" i="11"/>
  <c r="B2437" i="11"/>
  <c r="B2441" i="11"/>
  <c r="C2441" i="11" s="1"/>
  <c r="B2445" i="11"/>
  <c r="B2449" i="11"/>
  <c r="B2453" i="11"/>
  <c r="B2457" i="11"/>
  <c r="D2457" i="11" s="1"/>
  <c r="B2461" i="11"/>
  <c r="B2465" i="11"/>
  <c r="B2469" i="11"/>
  <c r="B2473" i="11"/>
  <c r="B2477" i="11"/>
  <c r="B2481" i="11"/>
  <c r="B2485" i="11"/>
  <c r="B2489" i="11"/>
  <c r="B2493" i="11"/>
  <c r="B2497" i="11"/>
  <c r="C2497" i="11" s="1"/>
  <c r="B2501" i="11"/>
  <c r="B2505" i="11"/>
  <c r="B2509" i="11"/>
  <c r="B2513" i="11"/>
  <c r="C2513" i="11" s="1"/>
  <c r="B2517" i="11"/>
  <c r="B2521" i="11"/>
  <c r="B2525" i="11"/>
  <c r="C2525" i="11" s="1"/>
  <c r="B2529" i="11"/>
  <c r="D2529" i="11" s="1"/>
  <c r="B2533" i="11"/>
  <c r="B2537" i="11"/>
  <c r="C2537" i="11" s="1"/>
  <c r="B2541" i="11"/>
  <c r="B2545" i="11"/>
  <c r="B2549" i="11"/>
  <c r="B2553" i="11"/>
  <c r="C2553" i="11" s="1"/>
  <c r="B2557" i="11"/>
  <c r="B2561" i="11"/>
  <c r="D2561" i="11" s="1"/>
  <c r="B2565" i="11"/>
  <c r="B2569" i="11"/>
  <c r="D2569" i="11" s="1"/>
  <c r="B2573" i="11"/>
  <c r="B2577" i="11"/>
  <c r="C2577" i="11" s="1"/>
  <c r="B2581" i="11"/>
  <c r="B2585" i="11"/>
  <c r="D2585" i="11" s="1"/>
  <c r="B2589" i="11"/>
  <c r="D2589" i="11" s="1"/>
  <c r="B2593" i="11"/>
  <c r="B2597" i="11"/>
  <c r="B2601" i="11"/>
  <c r="D2601" i="11" s="1"/>
  <c r="B2605" i="11"/>
  <c r="B2609" i="11"/>
  <c r="B2613" i="11"/>
  <c r="C2613" i="11" s="1"/>
  <c r="B2617" i="11"/>
  <c r="B2621" i="11"/>
  <c r="B2625" i="11"/>
  <c r="D2625" i="11" s="1"/>
  <c r="B2629" i="11"/>
  <c r="B2633" i="11"/>
  <c r="B2637" i="11"/>
  <c r="B2641" i="11"/>
  <c r="C2641" i="11" s="1"/>
  <c r="B2645" i="11"/>
  <c r="B2649" i="11"/>
  <c r="B2653" i="11"/>
  <c r="B2657" i="11"/>
  <c r="D2657" i="11" s="1"/>
  <c r="B2661" i="11"/>
  <c r="B2665" i="11"/>
  <c r="D2665" i="11" s="1"/>
  <c r="B2669" i="11"/>
  <c r="B2673" i="11"/>
  <c r="C2673" i="11" s="1"/>
  <c r="B2677" i="11"/>
  <c r="B2681" i="11"/>
  <c r="D2681" i="11" s="1"/>
  <c r="B2685" i="11"/>
  <c r="B2689" i="11"/>
  <c r="B2693" i="11"/>
  <c r="B2697" i="11"/>
  <c r="C2697" i="11" s="1"/>
  <c r="B2701" i="11"/>
  <c r="B2705" i="11"/>
  <c r="B2709" i="11"/>
  <c r="B2713" i="11"/>
  <c r="C2713" i="11" s="1"/>
  <c r="B2717" i="11"/>
  <c r="B2721" i="11"/>
  <c r="B2725" i="11"/>
  <c r="B2729" i="11"/>
  <c r="D2729" i="11" s="1"/>
  <c r="B2733" i="11"/>
  <c r="B2737" i="11"/>
  <c r="C2737" i="11" s="1"/>
  <c r="B2741" i="11"/>
  <c r="B2745" i="11"/>
  <c r="D2745" i="11" s="1"/>
  <c r="B2749" i="11"/>
  <c r="B2753" i="11"/>
  <c r="D2753" i="11" s="1"/>
  <c r="B2757" i="11"/>
  <c r="B2761" i="11"/>
  <c r="D2761" i="11" s="1"/>
  <c r="B2765" i="11"/>
  <c r="D2765" i="11" s="1"/>
  <c r="B2769" i="11"/>
  <c r="B2773" i="11"/>
  <c r="B2777" i="11"/>
  <c r="C2777" i="11" s="1"/>
  <c r="B2781" i="11"/>
  <c r="C2781" i="11" s="1"/>
  <c r="B2785" i="11"/>
  <c r="C2785" i="11" s="1"/>
  <c r="B2789" i="11"/>
  <c r="B2793" i="11"/>
  <c r="D2793" i="11" s="1"/>
  <c r="B2797" i="11"/>
  <c r="B2801" i="11"/>
  <c r="D2801" i="11" s="1"/>
  <c r="B2805" i="11"/>
  <c r="B2809" i="11"/>
  <c r="B2813" i="11"/>
  <c r="B2817" i="11"/>
  <c r="C2817" i="11" s="1"/>
  <c r="B2821" i="11"/>
  <c r="B2825" i="11"/>
  <c r="C2825" i="11" s="1"/>
  <c r="B2829" i="11"/>
  <c r="B2833" i="11"/>
  <c r="C2833" i="11" s="1"/>
  <c r="B2837" i="11"/>
  <c r="B2841" i="11"/>
  <c r="C2841" i="11" s="1"/>
  <c r="B2845" i="11"/>
  <c r="B2849" i="11"/>
  <c r="D2849" i="11" s="1"/>
  <c r="B2853" i="11"/>
  <c r="B2857" i="11"/>
  <c r="C2857" i="11" s="1"/>
  <c r="B2861" i="11"/>
  <c r="B2865" i="11"/>
  <c r="C2865" i="11" s="1"/>
  <c r="B2869" i="11"/>
  <c r="B2873" i="11"/>
  <c r="C2873" i="11" s="1"/>
  <c r="B2877" i="11"/>
  <c r="B2881" i="11"/>
  <c r="D2881" i="11" s="1"/>
  <c r="B2885" i="11"/>
  <c r="B2889" i="11"/>
  <c r="B2893" i="11"/>
  <c r="B2897" i="11"/>
  <c r="C2897" i="11" s="1"/>
  <c r="B2901" i="11"/>
  <c r="B2905" i="11"/>
  <c r="C2905" i="11" s="1"/>
  <c r="B2909" i="11"/>
  <c r="B2913" i="11"/>
  <c r="B2917" i="11"/>
  <c r="D2917" i="11" s="1"/>
  <c r="B2921" i="11"/>
  <c r="B2925" i="11"/>
  <c r="B2929" i="11"/>
  <c r="B2933" i="11"/>
  <c r="B2937" i="11"/>
  <c r="D2937" i="11" s="1"/>
  <c r="B2941" i="11"/>
  <c r="B2945" i="11"/>
  <c r="B2949" i="11"/>
  <c r="B2953" i="11"/>
  <c r="C2953" i="11" s="1"/>
  <c r="B2957" i="11"/>
  <c r="D2957" i="11" s="1"/>
  <c r="B2961" i="11"/>
  <c r="C2961" i="11" s="1"/>
  <c r="B2965" i="11"/>
  <c r="B2969" i="11"/>
  <c r="B2973" i="11"/>
  <c r="B2977" i="11"/>
  <c r="B2981" i="11"/>
  <c r="B2985" i="11"/>
  <c r="D2985" i="11" s="1"/>
  <c r="B2989" i="11"/>
  <c r="B2993" i="11"/>
  <c r="C2993" i="11" s="1"/>
  <c r="B2997" i="11"/>
  <c r="B3001" i="11"/>
  <c r="B3005" i="11"/>
  <c r="B3009" i="11"/>
  <c r="C3009" i="11" s="1"/>
  <c r="B3013" i="11"/>
  <c r="B3017" i="11"/>
  <c r="B3021" i="11"/>
  <c r="B3025" i="11"/>
  <c r="D3025" i="11" s="1"/>
  <c r="B3029" i="11"/>
  <c r="B3033" i="11"/>
  <c r="B3037" i="11"/>
  <c r="B3041" i="11"/>
  <c r="B3045" i="11"/>
  <c r="C3045" i="11" s="1"/>
  <c r="B3049" i="11"/>
  <c r="B3053" i="11"/>
  <c r="B3057" i="11"/>
  <c r="B3061" i="11"/>
  <c r="B3065" i="11"/>
  <c r="B3069" i="11"/>
  <c r="B3073" i="11"/>
  <c r="B3077" i="11"/>
  <c r="D3077" i="11" s="1"/>
  <c r="B3081" i="11"/>
  <c r="D3081" i="11" s="1"/>
  <c r="B3085" i="11"/>
  <c r="B3089" i="11"/>
  <c r="C3089" i="11" s="1"/>
  <c r="B3093" i="11"/>
  <c r="B3097" i="11"/>
  <c r="C3097" i="11" s="1"/>
  <c r="B3101" i="11"/>
  <c r="B3105" i="11"/>
  <c r="C3105" i="11" s="1"/>
  <c r="B3109" i="11"/>
  <c r="D3109" i="11" s="1"/>
  <c r="B3113" i="11"/>
  <c r="C3113" i="11" s="1"/>
  <c r="B3117" i="11"/>
  <c r="B3121" i="11"/>
  <c r="B3125" i="11"/>
  <c r="B3129" i="11"/>
  <c r="C3129" i="11" s="1"/>
  <c r="B3133" i="11"/>
  <c r="B3137" i="11"/>
  <c r="B3141" i="11"/>
  <c r="D3141" i="11" s="1"/>
  <c r="B3145" i="11"/>
  <c r="C3145" i="11" s="1"/>
  <c r="B3149" i="11"/>
  <c r="B3153" i="11"/>
  <c r="B3157" i="11"/>
  <c r="B3161" i="11"/>
  <c r="C3161" i="11" s="1"/>
  <c r="B3165" i="11"/>
  <c r="B3169" i="11"/>
  <c r="C3169" i="11" s="1"/>
  <c r="B3173" i="11"/>
  <c r="B3177" i="11"/>
  <c r="C3177" i="11" s="1"/>
  <c r="B3181" i="11"/>
  <c r="B3185" i="11"/>
  <c r="B3189" i="11"/>
  <c r="B3193" i="11"/>
  <c r="C3193" i="11" s="1"/>
  <c r="B3197" i="11"/>
  <c r="B3201" i="11"/>
  <c r="C3201" i="11" s="1"/>
  <c r="B3205" i="11"/>
  <c r="D3205" i="11" s="1"/>
  <c r="B3209" i="11"/>
  <c r="C3209" i="11" s="1"/>
  <c r="B3213" i="11"/>
  <c r="B3217" i="11"/>
  <c r="B3221" i="11"/>
  <c r="B3225" i="11"/>
  <c r="C3225" i="11" s="1"/>
  <c r="B3229" i="11"/>
  <c r="C3229" i="11" s="1"/>
  <c r="B3233" i="11"/>
  <c r="B3237" i="11"/>
  <c r="B3241" i="11"/>
  <c r="C3241" i="11" s="1"/>
  <c r="B3245" i="11"/>
  <c r="B3249" i="11"/>
  <c r="B3253" i="11"/>
  <c r="B3257" i="11"/>
  <c r="C3257" i="11" s="1"/>
  <c r="B3261" i="11"/>
  <c r="B3265" i="11"/>
  <c r="C3265" i="11" s="1"/>
  <c r="B3269" i="11"/>
  <c r="D3269" i="11" s="1"/>
  <c r="B3273" i="11"/>
  <c r="C3273" i="11" s="1"/>
  <c r="B3277" i="11"/>
  <c r="B3281" i="11"/>
  <c r="C3281" i="11" s="1"/>
  <c r="B3285" i="11"/>
  <c r="B3289" i="11"/>
  <c r="C3289" i="11" s="1"/>
  <c r="B3293" i="11"/>
  <c r="B3297" i="11"/>
  <c r="B3301" i="11"/>
  <c r="B3305" i="11"/>
  <c r="C3305" i="11" s="1"/>
  <c r="B3309" i="11"/>
  <c r="B3313" i="11"/>
  <c r="B3317" i="11"/>
  <c r="B3321" i="11"/>
  <c r="C3321" i="11" s="1"/>
  <c r="B3325" i="11"/>
  <c r="B3329" i="11"/>
  <c r="B3333" i="11"/>
  <c r="D3333" i="11" s="1"/>
  <c r="B3337" i="11"/>
  <c r="C3337" i="11" s="1"/>
  <c r="B3341" i="11"/>
  <c r="B3345" i="11"/>
  <c r="C3345" i="11" s="1"/>
  <c r="B3349" i="11"/>
  <c r="B3353" i="11"/>
  <c r="C3353" i="11" s="1"/>
  <c r="B3357" i="11"/>
  <c r="C3357" i="11" s="1"/>
  <c r="B3361" i="11"/>
  <c r="C3361" i="11" s="1"/>
  <c r="B3365" i="11"/>
  <c r="B3369" i="11"/>
  <c r="C3369" i="11" s="1"/>
  <c r="B3373" i="11"/>
  <c r="B3377" i="11"/>
  <c r="B3381" i="11"/>
  <c r="B3385" i="11"/>
  <c r="C3385" i="11" s="1"/>
  <c r="B3389" i="11"/>
  <c r="B3393" i="11"/>
  <c r="B3397" i="11"/>
  <c r="D3397" i="11" s="1"/>
  <c r="B3401" i="11"/>
  <c r="C3401" i="11" s="1"/>
  <c r="B3405" i="11"/>
  <c r="B3409" i="11"/>
  <c r="B3413" i="11"/>
  <c r="B3417" i="11"/>
  <c r="C3417" i="11" s="1"/>
  <c r="B3421" i="11"/>
  <c r="B3425" i="11"/>
  <c r="C3425" i="11" s="1"/>
  <c r="B3429" i="11"/>
  <c r="B3433" i="11"/>
  <c r="C3433" i="11" s="1"/>
  <c r="B3437" i="11"/>
  <c r="B3441" i="11"/>
  <c r="B3445" i="11"/>
  <c r="B3449" i="11"/>
  <c r="C3449" i="11" s="1"/>
  <c r="B3453" i="11"/>
  <c r="C3453" i="11" s="1"/>
  <c r="B3457" i="11"/>
  <c r="C3457" i="11" s="1"/>
  <c r="B3461" i="11"/>
  <c r="B3465" i="11"/>
  <c r="C3465" i="11" s="1"/>
  <c r="B3469" i="11"/>
  <c r="B3473" i="11"/>
  <c r="B3477" i="11"/>
  <c r="B3481" i="11"/>
  <c r="C3481" i="11" s="1"/>
  <c r="B3485" i="11"/>
  <c r="C3485" i="11" s="1"/>
  <c r="B3489" i="11"/>
  <c r="B3493" i="11"/>
  <c r="B3497" i="11"/>
  <c r="C3497" i="11" s="1"/>
  <c r="B3501" i="11"/>
  <c r="B3505" i="11"/>
  <c r="B3509" i="11"/>
  <c r="B3513" i="11"/>
  <c r="C3513" i="11" s="1"/>
  <c r="B3517" i="11"/>
  <c r="B3521" i="11"/>
  <c r="C3521" i="11" s="1"/>
  <c r="B3525" i="11"/>
  <c r="D3525" i="11" s="1"/>
  <c r="B3529" i="11"/>
  <c r="C3529" i="11" s="1"/>
  <c r="B3533" i="11"/>
  <c r="B3537" i="11"/>
  <c r="C3537" i="11" s="1"/>
  <c r="B3541" i="11"/>
  <c r="B3545" i="11"/>
  <c r="C3545" i="11" s="1"/>
  <c r="B3549" i="11"/>
  <c r="B3553" i="11"/>
  <c r="B3557" i="11"/>
  <c r="B3561" i="11"/>
  <c r="C3561" i="11" s="1"/>
  <c r="B3565" i="11"/>
  <c r="B3569" i="11"/>
  <c r="B3573" i="11"/>
  <c r="B3577" i="11"/>
  <c r="C3577" i="11" s="1"/>
  <c r="B3581" i="11"/>
  <c r="B3585" i="11"/>
  <c r="B3589" i="11"/>
  <c r="D3589" i="11" s="1"/>
  <c r="B3593" i="11"/>
  <c r="C3593" i="11" s="1"/>
  <c r="B3597" i="11"/>
  <c r="B3601" i="11"/>
  <c r="C3601" i="11" s="1"/>
  <c r="B3605" i="11"/>
  <c r="B3609" i="11"/>
  <c r="C3609" i="11" s="1"/>
  <c r="B3613" i="11"/>
  <c r="C3613" i="11" s="1"/>
  <c r="B3617" i="11"/>
  <c r="C3617" i="11" s="1"/>
  <c r="B3621" i="11"/>
  <c r="B3625" i="11"/>
  <c r="C3625" i="11" s="1"/>
  <c r="B3629" i="11"/>
  <c r="B3633" i="11"/>
  <c r="B3637" i="11"/>
  <c r="B3641" i="11"/>
  <c r="C3641" i="11" s="1"/>
  <c r="B3645" i="11"/>
  <c r="B3649" i="11"/>
  <c r="B3653" i="11"/>
  <c r="B3657" i="11"/>
  <c r="C3657" i="11" s="1"/>
  <c r="B3661" i="11"/>
  <c r="B3665" i="11"/>
  <c r="B3669" i="11"/>
  <c r="C3669" i="11" s="1"/>
  <c r="B96" i="11"/>
  <c r="B384" i="11"/>
  <c r="B498" i="11"/>
  <c r="D498" i="11" s="1"/>
  <c r="B611" i="11"/>
  <c r="C611" i="11" s="1"/>
  <c r="B718" i="11"/>
  <c r="C718" i="11" s="1"/>
  <c r="B803" i="11"/>
  <c r="B882" i="11"/>
  <c r="D882" i="11" s="1"/>
  <c r="B946" i="11"/>
  <c r="B1010" i="11"/>
  <c r="C1010" i="11" s="1"/>
  <c r="B1074" i="11"/>
  <c r="C1074" i="11" s="1"/>
  <c r="B1138" i="11"/>
  <c r="B1175" i="11"/>
  <c r="C1175" i="11" s="1"/>
  <c r="B1202" i="11"/>
  <c r="D1202" i="11" s="1"/>
  <c r="B1231" i="11"/>
  <c r="B1260" i="11"/>
  <c r="D1260" i="11" s="1"/>
  <c r="B1287" i="11"/>
  <c r="D1287" i="11" s="1"/>
  <c r="B1316" i="11"/>
  <c r="C1316" i="11" s="1"/>
  <c r="B1346" i="11"/>
  <c r="B1372" i="11"/>
  <c r="B1402" i="11"/>
  <c r="B1431" i="11"/>
  <c r="D1431" i="11" s="1"/>
  <c r="B1458" i="11"/>
  <c r="B1487" i="11"/>
  <c r="C1487" i="11" s="1"/>
  <c r="B1516" i="11"/>
  <c r="B1543" i="11"/>
  <c r="C1543" i="11" s="1"/>
  <c r="B1572" i="11"/>
  <c r="B1602" i="11"/>
  <c r="B1628" i="11"/>
  <c r="B1656" i="11"/>
  <c r="C1656" i="11" s="1"/>
  <c r="B1670" i="11"/>
  <c r="B1684" i="11"/>
  <c r="B1698" i="11"/>
  <c r="B1713" i="11"/>
  <c r="B1726" i="11"/>
  <c r="C1726" i="11" s="1"/>
  <c r="B1741" i="11"/>
  <c r="B1756" i="11"/>
  <c r="B1769" i="11"/>
  <c r="C1769" i="11" s="1"/>
  <c r="B1784" i="11"/>
  <c r="D1784" i="11" s="1"/>
  <c r="B1798" i="11"/>
  <c r="C1798" i="11" s="1"/>
  <c r="B1812" i="11"/>
  <c r="B1826" i="11"/>
  <c r="B1841" i="11"/>
  <c r="B1854" i="11"/>
  <c r="B1869" i="11"/>
  <c r="B1884" i="11"/>
  <c r="B1897" i="11"/>
  <c r="B1912" i="11"/>
  <c r="B1926" i="11"/>
  <c r="B1940" i="11"/>
  <c r="C1940" i="11" s="1"/>
  <c r="B1954" i="11"/>
  <c r="D1954" i="11" s="1"/>
  <c r="B1969" i="11"/>
  <c r="B1982" i="11"/>
  <c r="B1997" i="11"/>
  <c r="D1997" i="11" s="1"/>
  <c r="B2012" i="11"/>
  <c r="B2025" i="11"/>
  <c r="B2040" i="11"/>
  <c r="B2054" i="11"/>
  <c r="C2054" i="11" s="1"/>
  <c r="B2068" i="11"/>
  <c r="C2068" i="11" s="1"/>
  <c r="B2082" i="11"/>
  <c r="B2094" i="11"/>
  <c r="B2105" i="11"/>
  <c r="C2105" i="11" s="1"/>
  <c r="B2116" i="11"/>
  <c r="C2116" i="11" s="1"/>
  <c r="B2126" i="11"/>
  <c r="B2137" i="11"/>
  <c r="C2137" i="11" s="1"/>
  <c r="B2148" i="11"/>
  <c r="C2148" i="11" s="1"/>
  <c r="B2158" i="11"/>
  <c r="C2158" i="11" s="1"/>
  <c r="B2169" i="11"/>
  <c r="B2180" i="11"/>
  <c r="D2180" i="11" s="1"/>
  <c r="B2190" i="11"/>
  <c r="D2190" i="11" s="1"/>
  <c r="B2201" i="11"/>
  <c r="B2212" i="11"/>
  <c r="B2222" i="11"/>
  <c r="B2233" i="11"/>
  <c r="D2233" i="11" s="1"/>
  <c r="B2244" i="11"/>
  <c r="D2244" i="11" s="1"/>
  <c r="B2254" i="11"/>
  <c r="B2265" i="11"/>
  <c r="B2276" i="11"/>
  <c r="B2286" i="11"/>
  <c r="D2286" i="11" s="1"/>
  <c r="B2297" i="11"/>
  <c r="C2297" i="11" s="1"/>
  <c r="B2308" i="11"/>
  <c r="D2308" i="11" s="1"/>
  <c r="B2316" i="11"/>
  <c r="C2316" i="11" s="1"/>
  <c r="B2324" i="11"/>
  <c r="C2324" i="11" s="1"/>
  <c r="B2332" i="11"/>
  <c r="C2332" i="11" s="1"/>
  <c r="B2340" i="11"/>
  <c r="C2340" i="11" s="1"/>
  <c r="B2348" i="11"/>
  <c r="D2348" i="11" s="1"/>
  <c r="B2356" i="11"/>
  <c r="C2356" i="11" s="1"/>
  <c r="B2364" i="11"/>
  <c r="B2372" i="11"/>
  <c r="D2372" i="11" s="1"/>
  <c r="B2380" i="11"/>
  <c r="B2388" i="11"/>
  <c r="D2388" i="11" s="1"/>
  <c r="B2396" i="11"/>
  <c r="C2396" i="11" s="1"/>
  <c r="B2404" i="11"/>
  <c r="D2404" i="11" s="1"/>
  <c r="B2412" i="11"/>
  <c r="C2412" i="11" s="1"/>
  <c r="B2420" i="11"/>
  <c r="C2420" i="11" s="1"/>
  <c r="B2428" i="11"/>
  <c r="B2436" i="11"/>
  <c r="C2436" i="11" s="1"/>
  <c r="B2444" i="11"/>
  <c r="D2444" i="11" s="1"/>
  <c r="B2452" i="11"/>
  <c r="D2452" i="11" s="1"/>
  <c r="B2460" i="11"/>
  <c r="D2460" i="11" s="1"/>
  <c r="B2468" i="11"/>
  <c r="C2468" i="11" s="1"/>
  <c r="B2476" i="11"/>
  <c r="D2476" i="11" s="1"/>
  <c r="B2484" i="11"/>
  <c r="D2484" i="11" s="1"/>
  <c r="B2492" i="11"/>
  <c r="B2500" i="11"/>
  <c r="D2500" i="11" s="1"/>
  <c r="B2508" i="11"/>
  <c r="D2508" i="11" s="1"/>
  <c r="B2516" i="11"/>
  <c r="D2516" i="11" s="1"/>
  <c r="B2524" i="11"/>
  <c r="C2524" i="11" s="1"/>
  <c r="B2532" i="11"/>
  <c r="D2532" i="11" s="1"/>
  <c r="B2540" i="11"/>
  <c r="D2540" i="11" s="1"/>
  <c r="B2548" i="11"/>
  <c r="C2548" i="11" s="1"/>
  <c r="B2556" i="11"/>
  <c r="B2564" i="11"/>
  <c r="C2564" i="11" s="1"/>
  <c r="B2572" i="11"/>
  <c r="C2572" i="11" s="1"/>
  <c r="B2580" i="11"/>
  <c r="C2580" i="11" s="1"/>
  <c r="B2588" i="11"/>
  <c r="C2588" i="11" s="1"/>
  <c r="B2596" i="11"/>
  <c r="B2604" i="11"/>
  <c r="D2604" i="11" s="1"/>
  <c r="B2612" i="11"/>
  <c r="D2612" i="11" s="1"/>
  <c r="B2620" i="11"/>
  <c r="C2620" i="11" s="1"/>
  <c r="B2628" i="11"/>
  <c r="D2628" i="11" s="1"/>
  <c r="B2636" i="11"/>
  <c r="D2636" i="11" s="1"/>
  <c r="B2644" i="11"/>
  <c r="D2644" i="11" s="1"/>
  <c r="B2652" i="11"/>
  <c r="C2652" i="11" s="1"/>
  <c r="B2660" i="11"/>
  <c r="D2660" i="11" s="1"/>
  <c r="B2668" i="11"/>
  <c r="D2668" i="11" s="1"/>
  <c r="B2676" i="11"/>
  <c r="C2676" i="11" s="1"/>
  <c r="B2684" i="11"/>
  <c r="B2692" i="11"/>
  <c r="D2692" i="11" s="1"/>
  <c r="B2700" i="11"/>
  <c r="D2700" i="11" s="1"/>
  <c r="B2708" i="11"/>
  <c r="C2708" i="11" s="1"/>
  <c r="B2716" i="11"/>
  <c r="C2716" i="11" s="1"/>
  <c r="B2724" i="11"/>
  <c r="C2724" i="11" s="1"/>
  <c r="B2732" i="11"/>
  <c r="C2732" i="11" s="1"/>
  <c r="B2740" i="11"/>
  <c r="C2740" i="11" s="1"/>
  <c r="B2748" i="11"/>
  <c r="B2756" i="11"/>
  <c r="C2756" i="11" s="1"/>
  <c r="B2764" i="11"/>
  <c r="D2764" i="11" s="1"/>
  <c r="B2772" i="11"/>
  <c r="B2780" i="11"/>
  <c r="B2788" i="11"/>
  <c r="B2796" i="11"/>
  <c r="C2796" i="11" s="1"/>
  <c r="B2804" i="11"/>
  <c r="B2812" i="11"/>
  <c r="C2812" i="11" s="1"/>
  <c r="B2820" i="11"/>
  <c r="B2828" i="11"/>
  <c r="B2836" i="11"/>
  <c r="B2844" i="11"/>
  <c r="D2844" i="11" s="1"/>
  <c r="B2852" i="11"/>
  <c r="B2860" i="11"/>
  <c r="B2868" i="11"/>
  <c r="B2876" i="11"/>
  <c r="C2876" i="11" s="1"/>
  <c r="B2884" i="11"/>
  <c r="B2892" i="11"/>
  <c r="D2892" i="11" s="1"/>
  <c r="B2900" i="11"/>
  <c r="B2908" i="11"/>
  <c r="D2908" i="11" s="1"/>
  <c r="B2916" i="11"/>
  <c r="B2924" i="11"/>
  <c r="B2932" i="11"/>
  <c r="B2940" i="11"/>
  <c r="B2948" i="11"/>
  <c r="B2956" i="11"/>
  <c r="C2956" i="11" s="1"/>
  <c r="B2964" i="11"/>
  <c r="B2972" i="11"/>
  <c r="D2972" i="11" s="1"/>
  <c r="B2980" i="11"/>
  <c r="B2988" i="11"/>
  <c r="B2996" i="11"/>
  <c r="B3004" i="11"/>
  <c r="B3012" i="11"/>
  <c r="B3020" i="11"/>
  <c r="B3028" i="11"/>
  <c r="B3036" i="11"/>
  <c r="C3036" i="11" s="1"/>
  <c r="B3042" i="11"/>
  <c r="C3042" i="11" s="1"/>
  <c r="B3047" i="11"/>
  <c r="D3047" i="11" s="1"/>
  <c r="B3052" i="11"/>
  <c r="B3058" i="11"/>
  <c r="D3058" i="11" s="1"/>
  <c r="B3063" i="11"/>
  <c r="B3068" i="11"/>
  <c r="B3074" i="11"/>
  <c r="B3079" i="11"/>
  <c r="B3084" i="11"/>
  <c r="C3084" i="11" s="1"/>
  <c r="B3090" i="11"/>
  <c r="D3090" i="11" s="1"/>
  <c r="B3095" i="11"/>
  <c r="B3100" i="11"/>
  <c r="D3100" i="11" s="1"/>
  <c r="B3106" i="11"/>
  <c r="B3111" i="11"/>
  <c r="D3111" i="11" s="1"/>
  <c r="B3116" i="11"/>
  <c r="D3116" i="11" s="1"/>
  <c r="B3122" i="11"/>
  <c r="B3127" i="11"/>
  <c r="B3132" i="11"/>
  <c r="D3132" i="11" s="1"/>
  <c r="B3138" i="11"/>
  <c r="D3138" i="11" s="1"/>
  <c r="B3143" i="11"/>
  <c r="C3143" i="11" s="1"/>
  <c r="B3148" i="11"/>
  <c r="B3154" i="11"/>
  <c r="D3154" i="11" s="1"/>
  <c r="B3159" i="11"/>
  <c r="B3164" i="11"/>
  <c r="D3164" i="11" s="1"/>
  <c r="B3170" i="11"/>
  <c r="C3170" i="11" s="1"/>
  <c r="B3175" i="11"/>
  <c r="B3180" i="11"/>
  <c r="D3180" i="11" s="1"/>
  <c r="B3186" i="11"/>
  <c r="D3186" i="11" s="1"/>
  <c r="B3191" i="11"/>
  <c r="D3191" i="11" s="1"/>
  <c r="B3196" i="11"/>
  <c r="B3202" i="11"/>
  <c r="C3202" i="11" s="1"/>
  <c r="B3207" i="11"/>
  <c r="C3207" i="11" s="1"/>
  <c r="B3212" i="11"/>
  <c r="B3218" i="11"/>
  <c r="D3218" i="11" s="1"/>
  <c r="B3223" i="11"/>
  <c r="D3223" i="11" s="1"/>
  <c r="B3228" i="11"/>
  <c r="D3228" i="11" s="1"/>
  <c r="B3234" i="11"/>
  <c r="D3234" i="11" s="1"/>
  <c r="B3239" i="11"/>
  <c r="B3244" i="11"/>
  <c r="B3250" i="11"/>
  <c r="B3255" i="11"/>
  <c r="B3260" i="11"/>
  <c r="D3260" i="11" s="1"/>
  <c r="B3266" i="11"/>
  <c r="D3266" i="11" s="1"/>
  <c r="B3271" i="11"/>
  <c r="C3271" i="11" s="1"/>
  <c r="B3276" i="11"/>
  <c r="B3282" i="11"/>
  <c r="D3282" i="11" s="1"/>
  <c r="B3287" i="11"/>
  <c r="B3292" i="11"/>
  <c r="B3298" i="11"/>
  <c r="C3298" i="11" s="1"/>
  <c r="B3303" i="11"/>
  <c r="B3308" i="11"/>
  <c r="B3314" i="11"/>
  <c r="D3314" i="11" s="1"/>
  <c r="B3319" i="11"/>
  <c r="B3324" i="11"/>
  <c r="B3330" i="11"/>
  <c r="C3330" i="11" s="1"/>
  <c r="B3335" i="11"/>
  <c r="C3335" i="11" s="1"/>
  <c r="B3340" i="11"/>
  <c r="B3346" i="11"/>
  <c r="D3346" i="11" s="1"/>
  <c r="B3351" i="11"/>
  <c r="B3356" i="11"/>
  <c r="B3362" i="11"/>
  <c r="D3362" i="11" s="1"/>
  <c r="B3367" i="11"/>
  <c r="C3367" i="11" s="1"/>
  <c r="B3372" i="11"/>
  <c r="B3378" i="11"/>
  <c r="B3383" i="11"/>
  <c r="B3388" i="11"/>
  <c r="D3388" i="11" s="1"/>
  <c r="B3394" i="11"/>
  <c r="D3394" i="11" s="1"/>
  <c r="B3399" i="11"/>
  <c r="B3404" i="11"/>
  <c r="B3410" i="11"/>
  <c r="D3410" i="11" s="1"/>
  <c r="B3415" i="11"/>
  <c r="B3420" i="11"/>
  <c r="B3426" i="11"/>
  <c r="C3426" i="11" s="1"/>
  <c r="B3431" i="11"/>
  <c r="B3436" i="11"/>
  <c r="C3436" i="11" s="1"/>
  <c r="B3442" i="11"/>
  <c r="D3442" i="11" s="1"/>
  <c r="B3447" i="11"/>
  <c r="B3452" i="11"/>
  <c r="B3458" i="11"/>
  <c r="C3458" i="11" s="1"/>
  <c r="B3463" i="11"/>
  <c r="D3463" i="11" s="1"/>
  <c r="B3468" i="11"/>
  <c r="C3468" i="11" s="1"/>
  <c r="B3474" i="11"/>
  <c r="D3474" i="11" s="1"/>
  <c r="B3479" i="11"/>
  <c r="B3484" i="11"/>
  <c r="D3484" i="11" s="1"/>
  <c r="B3490" i="11"/>
  <c r="D3490" i="11" s="1"/>
  <c r="B3495" i="11"/>
  <c r="B3500" i="11"/>
  <c r="B3506" i="11"/>
  <c r="B3511" i="11"/>
  <c r="B3516" i="11"/>
  <c r="B3522" i="11"/>
  <c r="D3522" i="11" s="1"/>
  <c r="B3527" i="11"/>
  <c r="B3532" i="11"/>
  <c r="C3532" i="11" s="1"/>
  <c r="B3538" i="11"/>
  <c r="D3538" i="11" s="1"/>
  <c r="B3543" i="11"/>
  <c r="B3548" i="11"/>
  <c r="D3548" i="11" s="1"/>
  <c r="B3554" i="11"/>
  <c r="C3554" i="11" s="1"/>
  <c r="B3559" i="11"/>
  <c r="B3564" i="11"/>
  <c r="B3570" i="11"/>
  <c r="D3570" i="11" s="1"/>
  <c r="B3575" i="11"/>
  <c r="B3580" i="11"/>
  <c r="B3586" i="11"/>
  <c r="C3586" i="11" s="1"/>
  <c r="B3591" i="11"/>
  <c r="D3591" i="11" s="1"/>
  <c r="B3596" i="11"/>
  <c r="B3602" i="11"/>
  <c r="D3602" i="11" s="1"/>
  <c r="B3607" i="11"/>
  <c r="C3607" i="11" s="1"/>
  <c r="B3612" i="11"/>
  <c r="B3618" i="11"/>
  <c r="D3618" i="11" s="1"/>
  <c r="B3623" i="11"/>
  <c r="D3623" i="11" s="1"/>
  <c r="B3628" i="11"/>
  <c r="D3628" i="11" s="1"/>
  <c r="B3634" i="11"/>
  <c r="B3639" i="11"/>
  <c r="B3644" i="11"/>
  <c r="D3644" i="11" s="1"/>
  <c r="B3650" i="11"/>
  <c r="D3650" i="11" s="1"/>
  <c r="B3655" i="11"/>
  <c r="B3660" i="11"/>
  <c r="B3666" i="11"/>
  <c r="D3666" i="11" s="1"/>
  <c r="B3671" i="11"/>
  <c r="B3675" i="11"/>
  <c r="C3675" i="11" s="1"/>
  <c r="B3679" i="11"/>
  <c r="B3683" i="11"/>
  <c r="B3687" i="11"/>
  <c r="B3691" i="11"/>
  <c r="B3695" i="11"/>
  <c r="B3699" i="11"/>
  <c r="C3699" i="11" s="1"/>
  <c r="B3703" i="11"/>
  <c r="B3707" i="11"/>
  <c r="B3711" i="11"/>
  <c r="B3715" i="11"/>
  <c r="C3715" i="11" s="1"/>
  <c r="B3719" i="11"/>
  <c r="B3723" i="11"/>
  <c r="C3723" i="11" s="1"/>
  <c r="B3727" i="11"/>
  <c r="B3731" i="11"/>
  <c r="B3735" i="11"/>
  <c r="B3739" i="11"/>
  <c r="C3739" i="11" s="1"/>
  <c r="B3743" i="11"/>
  <c r="B3747" i="11"/>
  <c r="C3747" i="11" s="1"/>
  <c r="B3751" i="11"/>
  <c r="B3755" i="11"/>
  <c r="B3759" i="11"/>
  <c r="B3763" i="11"/>
  <c r="C3763" i="11" s="1"/>
  <c r="B3767" i="11"/>
  <c r="B3771" i="11"/>
  <c r="D3771" i="11" s="1"/>
  <c r="B3775" i="11"/>
  <c r="B3779" i="11"/>
  <c r="B3783" i="11"/>
  <c r="B3787" i="11"/>
  <c r="B3791" i="11"/>
  <c r="B3795" i="11"/>
  <c r="C3795" i="11" s="1"/>
  <c r="B3799" i="11"/>
  <c r="B3803" i="11"/>
  <c r="D3803" i="11" s="1"/>
  <c r="B3807" i="11"/>
  <c r="B3811" i="11"/>
  <c r="C3811" i="11" s="1"/>
  <c r="B3815" i="11"/>
  <c r="B3819" i="11"/>
  <c r="C3819" i="11" s="1"/>
  <c r="B3823" i="11"/>
  <c r="C3823" i="11" s="1"/>
  <c r="B3827" i="11"/>
  <c r="B3831" i="11"/>
  <c r="B3835" i="11"/>
  <c r="C3835" i="11" s="1"/>
  <c r="B3839" i="11"/>
  <c r="B3843" i="11"/>
  <c r="C3843" i="11" s="1"/>
  <c r="B3847" i="11"/>
  <c r="B3851" i="11"/>
  <c r="C3851" i="11" s="1"/>
  <c r="B3855" i="11"/>
  <c r="B3859" i="11"/>
  <c r="B3863" i="11"/>
  <c r="B3867" i="11"/>
  <c r="B3871" i="11"/>
  <c r="B3875" i="11"/>
  <c r="B3879" i="11"/>
  <c r="B3883" i="11"/>
  <c r="B3887" i="11"/>
  <c r="C3887" i="11" s="1"/>
  <c r="B3891" i="11"/>
  <c r="C3891" i="11" s="1"/>
  <c r="B3895" i="11"/>
  <c r="B3899" i="11"/>
  <c r="D3899" i="11" s="1"/>
  <c r="B3903" i="11"/>
  <c r="B3907" i="11"/>
  <c r="C3907" i="11" s="1"/>
  <c r="B3911" i="11"/>
  <c r="C3911" i="11" s="1"/>
  <c r="B3915" i="11"/>
  <c r="C3915" i="11" s="1"/>
  <c r="B3919" i="11"/>
  <c r="B3923" i="11"/>
  <c r="C3923" i="11" s="1"/>
  <c r="B3927" i="11"/>
  <c r="B3931" i="11"/>
  <c r="D3931" i="11" s="1"/>
  <c r="B3935" i="11"/>
  <c r="B3939" i="11"/>
  <c r="C3939" i="11" s="1"/>
  <c r="B3943" i="11"/>
  <c r="B3947" i="11"/>
  <c r="B3951" i="11"/>
  <c r="B3955" i="11"/>
  <c r="C3955" i="11" s="1"/>
  <c r="B3959" i="11"/>
  <c r="B3963" i="11"/>
  <c r="C3963" i="11" s="1"/>
  <c r="B3967" i="11"/>
  <c r="B3971" i="11"/>
  <c r="C3971" i="11" s="1"/>
  <c r="B3975" i="11"/>
  <c r="B3979" i="11"/>
  <c r="D3979" i="11" s="1"/>
  <c r="B3983" i="11"/>
  <c r="D3983" i="11" s="1"/>
  <c r="B3987" i="11"/>
  <c r="C3987" i="11" s="1"/>
  <c r="B3991" i="11"/>
  <c r="B3995" i="11"/>
  <c r="B3999" i="11"/>
  <c r="B4003" i="11"/>
  <c r="B4007" i="11"/>
  <c r="B4011" i="11"/>
  <c r="C4011" i="11" s="1"/>
  <c r="B4015" i="11"/>
  <c r="B4019" i="11"/>
  <c r="C4019" i="11" s="1"/>
  <c r="B4023" i="11"/>
  <c r="C4023" i="11" s="1"/>
  <c r="B4027" i="11"/>
  <c r="D4027" i="11" s="1"/>
  <c r="B4031" i="11"/>
  <c r="B4035" i="11"/>
  <c r="B4039" i="11"/>
  <c r="B4043" i="11"/>
  <c r="C4043" i="11" s="1"/>
  <c r="B4047" i="11"/>
  <c r="B4051" i="11"/>
  <c r="C4051" i="11" s="1"/>
  <c r="B4055" i="11"/>
  <c r="C4055" i="11" s="1"/>
  <c r="B4059" i="11"/>
  <c r="D4059" i="11" s="1"/>
  <c r="B4063" i="11"/>
  <c r="B4067" i="11"/>
  <c r="C4067" i="11" s="1"/>
  <c r="B4071" i="11"/>
  <c r="B4075" i="11"/>
  <c r="B4079" i="11"/>
  <c r="C4079" i="11" s="1"/>
  <c r="B4083" i="11"/>
  <c r="B4087" i="11"/>
  <c r="D4087" i="11" s="1"/>
  <c r="B4091" i="11"/>
  <c r="C4091" i="11" s="1"/>
  <c r="B4095" i="11"/>
  <c r="B4099" i="11"/>
  <c r="C4099" i="11" s="1"/>
  <c r="B4103" i="11"/>
  <c r="B4107" i="11"/>
  <c r="B4111" i="11"/>
  <c r="B4115" i="11"/>
  <c r="B4119" i="11"/>
  <c r="D4119" i="11" s="1"/>
  <c r="B4123" i="11"/>
  <c r="B4127" i="11"/>
  <c r="B4131" i="11"/>
  <c r="C4131" i="11" s="1"/>
  <c r="B4135" i="11"/>
  <c r="D4135" i="11" s="1"/>
  <c r="B4139" i="11"/>
  <c r="D4139" i="11" s="1"/>
  <c r="B4143" i="11"/>
  <c r="B4147" i="11"/>
  <c r="B4151" i="11"/>
  <c r="B4155" i="11"/>
  <c r="B4159" i="11"/>
  <c r="B4163" i="11"/>
  <c r="B4167" i="11"/>
  <c r="B4171" i="11"/>
  <c r="C4171" i="11" s="1"/>
  <c r="B4175" i="11"/>
  <c r="B4179" i="11"/>
  <c r="D4179" i="11" s="1"/>
  <c r="B4183" i="11"/>
  <c r="B4187" i="11"/>
  <c r="D4187" i="11" s="1"/>
  <c r="B4191" i="11"/>
  <c r="B4195" i="11"/>
  <c r="C4195" i="11" s="1"/>
  <c r="B4199" i="11"/>
  <c r="B4203" i="11"/>
  <c r="D4203" i="11" s="1"/>
  <c r="B4207" i="11"/>
  <c r="B4211" i="11"/>
  <c r="C4211" i="11" s="1"/>
  <c r="B4215" i="11"/>
  <c r="B4219" i="11"/>
  <c r="B4223" i="11"/>
  <c r="B4227" i="11"/>
  <c r="D4227" i="11" s="1"/>
  <c r="B4231" i="11"/>
  <c r="B4235" i="11"/>
  <c r="D4235" i="11" s="1"/>
  <c r="B4239" i="11"/>
  <c r="B4243" i="11"/>
  <c r="C4243" i="11" s="1"/>
  <c r="B4247" i="11"/>
  <c r="B4251" i="11"/>
  <c r="B4255" i="11"/>
  <c r="B4259" i="11"/>
  <c r="C4259" i="11" s="1"/>
  <c r="B4263" i="11"/>
  <c r="D4263" i="11" s="1"/>
  <c r="B4267" i="11"/>
  <c r="B4271" i="11"/>
  <c r="C4271" i="11" s="1"/>
  <c r="B4275" i="11"/>
  <c r="B4279" i="11"/>
  <c r="D4279" i="11" s="1"/>
  <c r="B4283" i="11"/>
  <c r="D4283" i="11" s="1"/>
  <c r="B4287" i="11"/>
  <c r="B4291" i="11"/>
  <c r="D4291" i="11" s="1"/>
  <c r="B4295" i="11"/>
  <c r="B4299" i="11"/>
  <c r="C4299" i="11" s="1"/>
  <c r="B4303" i="11"/>
  <c r="B4307" i="11"/>
  <c r="B4311" i="11"/>
  <c r="B4315" i="11"/>
  <c r="D4315" i="11" s="1"/>
  <c r="B4319" i="11"/>
  <c r="B4323" i="11"/>
  <c r="C4323" i="11" s="1"/>
  <c r="B4327" i="11"/>
  <c r="B4331" i="11"/>
  <c r="D4331" i="11" s="1"/>
  <c r="B4335" i="11"/>
  <c r="B4339" i="11"/>
  <c r="C4339" i="11" s="1"/>
  <c r="B4343" i="11"/>
  <c r="B4347" i="11"/>
  <c r="B4351" i="11"/>
  <c r="B4355" i="11"/>
  <c r="D4355" i="11" s="1"/>
  <c r="B4359" i="11"/>
  <c r="B4363" i="11"/>
  <c r="B4367" i="11"/>
  <c r="B4371" i="11"/>
  <c r="D4371" i="11" s="1"/>
  <c r="B4375" i="11"/>
  <c r="D4375" i="11" s="1"/>
  <c r="B4379" i="11"/>
  <c r="C4379" i="11" s="1"/>
  <c r="B4383" i="11"/>
  <c r="B4387" i="11"/>
  <c r="B4391" i="11"/>
  <c r="B4395" i="11"/>
  <c r="D4395" i="11" s="1"/>
  <c r="B4399" i="11"/>
  <c r="B4403" i="11"/>
  <c r="B4407" i="11"/>
  <c r="B4411" i="11"/>
  <c r="C4411" i="11" s="1"/>
  <c r="B4415" i="11"/>
  <c r="B4419" i="11"/>
  <c r="C4419" i="11" s="1"/>
  <c r="B4423" i="11"/>
  <c r="B4427" i="11"/>
  <c r="B4431" i="11"/>
  <c r="B4435" i="11"/>
  <c r="D4435" i="11" s="1"/>
  <c r="B4439" i="11"/>
  <c r="B4443" i="11"/>
  <c r="C4443" i="11" s="1"/>
  <c r="B4447" i="11"/>
  <c r="B4451" i="11"/>
  <c r="B4455" i="11"/>
  <c r="B4459" i="11"/>
  <c r="C4459" i="11" s="1"/>
  <c r="B4463" i="11"/>
  <c r="C4463" i="11" s="1"/>
  <c r="B4467" i="11"/>
  <c r="D4467" i="11" s="1"/>
  <c r="B4471" i="11"/>
  <c r="B4475" i="11"/>
  <c r="C4475" i="11" s="1"/>
  <c r="B4479" i="11"/>
  <c r="D4479" i="11" s="1"/>
  <c r="B4483" i="11"/>
  <c r="D4483" i="11" s="1"/>
  <c r="B4487" i="11"/>
  <c r="B4491" i="11"/>
  <c r="C4491" i="11" s="1"/>
  <c r="B4495" i="11"/>
  <c r="D4495" i="11" s="1"/>
  <c r="B4499" i="11"/>
  <c r="B4503" i="11"/>
  <c r="B4507" i="11"/>
  <c r="B4511" i="11"/>
  <c r="B4515" i="11"/>
  <c r="C4515" i="11" s="1"/>
  <c r="B4519" i="11"/>
  <c r="B4523" i="11"/>
  <c r="B4527" i="11"/>
  <c r="B4531" i="11"/>
  <c r="C4531" i="11" s="1"/>
  <c r="B4535" i="11"/>
  <c r="D4535" i="11" s="1"/>
  <c r="B4539" i="11"/>
  <c r="B4543" i="11"/>
  <c r="B4547" i="11"/>
  <c r="B4551" i="11"/>
  <c r="B4555" i="11"/>
  <c r="D4555" i="11" s="1"/>
  <c r="B4559" i="11"/>
  <c r="B4563" i="11"/>
  <c r="B4567" i="11"/>
  <c r="B4571" i="11"/>
  <c r="D4571" i="11" s="1"/>
  <c r="B4575" i="11"/>
  <c r="B4579" i="11"/>
  <c r="D4579" i="11" s="1"/>
  <c r="B4583" i="11"/>
  <c r="C4583" i="11" s="1"/>
  <c r="B4587" i="11"/>
  <c r="C4587" i="11" s="1"/>
  <c r="B4591" i="11"/>
  <c r="B4595" i="11"/>
  <c r="C4595" i="11" s="1"/>
  <c r="B4599" i="11"/>
  <c r="B4603" i="11"/>
  <c r="C4603" i="11" s="1"/>
  <c r="B4607" i="11"/>
  <c r="B4611" i="11"/>
  <c r="C4611" i="11" s="1"/>
  <c r="B4615" i="11"/>
  <c r="C4615" i="11" s="1"/>
  <c r="B4619" i="11"/>
  <c r="D4619" i="11" s="1"/>
  <c r="B4623" i="11"/>
  <c r="B4627" i="11"/>
  <c r="B4631" i="11"/>
  <c r="B4635" i="11"/>
  <c r="B4639" i="11"/>
  <c r="B4643" i="11"/>
  <c r="C4643" i="11" s="1"/>
  <c r="B4647" i="11"/>
  <c r="B4651" i="11"/>
  <c r="C4651" i="11" s="1"/>
  <c r="B4655" i="11"/>
  <c r="B4659" i="11"/>
  <c r="B4663" i="11"/>
  <c r="B4667" i="11"/>
  <c r="C4667" i="11" s="1"/>
  <c r="B4671" i="11"/>
  <c r="C4671" i="11" s="1"/>
  <c r="B4675" i="11"/>
  <c r="B4679" i="11"/>
  <c r="B4683" i="11"/>
  <c r="D4683" i="11" s="1"/>
  <c r="B4687" i="11"/>
  <c r="B4691" i="11"/>
  <c r="D4691" i="11" s="1"/>
  <c r="B4695" i="11"/>
  <c r="B4699" i="11"/>
  <c r="D4699" i="11" s="1"/>
  <c r="B4703" i="11"/>
  <c r="B4707" i="11"/>
  <c r="B4711" i="11"/>
  <c r="C4711" i="11" s="1"/>
  <c r="B4715" i="11"/>
  <c r="D4715" i="11" s="1"/>
  <c r="B4719" i="11"/>
  <c r="B4723" i="11"/>
  <c r="D4723" i="11" s="1"/>
  <c r="B4727" i="11"/>
  <c r="B4731" i="11"/>
  <c r="B4735" i="11"/>
  <c r="D4735" i="11" s="1"/>
  <c r="B4739" i="11"/>
  <c r="B4743" i="11"/>
  <c r="B4747" i="11"/>
  <c r="D4747" i="11" s="1"/>
  <c r="B4751" i="11"/>
  <c r="B4755" i="11"/>
  <c r="C4755" i="11" s="1"/>
  <c r="B4759" i="11"/>
  <c r="B4763" i="11"/>
  <c r="B4767" i="11"/>
  <c r="B4771" i="11"/>
  <c r="C4771" i="11" s="1"/>
  <c r="B4775" i="11"/>
  <c r="B4779" i="11"/>
  <c r="C4779" i="11" s="1"/>
  <c r="B4783" i="11"/>
  <c r="B4787" i="11"/>
  <c r="B4791" i="11"/>
  <c r="B4795" i="11"/>
  <c r="B4799" i="11"/>
  <c r="B4803" i="11"/>
  <c r="B4807" i="11"/>
  <c r="B4811" i="11"/>
  <c r="D4811" i="11" s="1"/>
  <c r="B4815" i="11"/>
  <c r="B4819" i="11"/>
  <c r="B4823" i="11"/>
  <c r="D4823" i="11" s="1"/>
  <c r="B4827" i="11"/>
  <c r="C4827" i="11" s="1"/>
  <c r="B4831" i="11"/>
  <c r="B4835" i="11"/>
  <c r="C4835" i="11" s="1"/>
  <c r="B4839" i="11"/>
  <c r="D4839" i="11" s="1"/>
  <c r="B4843" i="11"/>
  <c r="D4843" i="11" s="1"/>
  <c r="B4847" i="11"/>
  <c r="B4851" i="11"/>
  <c r="B4855" i="11"/>
  <c r="B4859" i="11"/>
  <c r="B4863" i="11"/>
  <c r="B4867" i="11"/>
  <c r="C4867" i="11" s="1"/>
  <c r="B4871" i="11"/>
  <c r="B4875" i="11"/>
  <c r="D4875" i="11" s="1"/>
  <c r="B4879" i="11"/>
  <c r="B4883" i="11"/>
  <c r="B4887" i="11"/>
  <c r="B4891" i="11"/>
  <c r="B4895" i="11"/>
  <c r="B4899" i="11"/>
  <c r="B4903" i="11"/>
  <c r="B4907" i="11"/>
  <c r="C4907" i="11" s="1"/>
  <c r="B4911" i="11"/>
  <c r="B4915" i="11"/>
  <c r="B4919" i="11"/>
  <c r="B4923" i="11"/>
  <c r="B4927" i="11"/>
  <c r="B4931" i="11"/>
  <c r="C4931" i="11" s="1"/>
  <c r="B4935" i="11"/>
  <c r="B4939" i="11"/>
  <c r="B4943" i="11"/>
  <c r="B4947" i="11"/>
  <c r="B4951" i="11"/>
  <c r="B4955" i="11"/>
  <c r="C4955" i="11" s="1"/>
  <c r="B4959" i="11"/>
  <c r="B4963" i="11"/>
  <c r="C4963" i="11" s="1"/>
  <c r="B4967" i="11"/>
  <c r="C4967" i="11" s="1"/>
  <c r="B4971" i="11"/>
  <c r="B4975" i="11"/>
  <c r="B4979" i="11"/>
  <c r="D4979" i="11" s="1"/>
  <c r="B4983" i="11"/>
  <c r="B4987" i="11"/>
  <c r="C4987" i="11" s="1"/>
  <c r="B4991" i="11"/>
  <c r="D4991" i="11" s="1"/>
  <c r="B4995" i="11"/>
  <c r="D4995" i="11" s="1"/>
  <c r="B4999" i="11"/>
  <c r="B5003" i="11"/>
  <c r="B5007" i="11"/>
  <c r="B5011" i="11"/>
  <c r="C5011" i="11" s="1"/>
  <c r="B5015" i="11"/>
  <c r="B5019" i="11"/>
  <c r="C5019" i="11" s="1"/>
  <c r="B5023" i="11"/>
  <c r="C5023" i="11" s="1"/>
  <c r="B5027" i="11"/>
  <c r="D5027" i="11" s="1"/>
  <c r="B5031" i="11"/>
  <c r="B5035" i="11"/>
  <c r="B5039" i="11"/>
  <c r="B5043" i="11"/>
  <c r="C5043" i="11" s="1"/>
  <c r="B5047" i="11"/>
  <c r="B5051" i="11"/>
  <c r="C5051" i="11" s="1"/>
  <c r="B5055" i="11"/>
  <c r="C5055" i="11" s="1"/>
  <c r="B5059" i="11"/>
  <c r="B5063" i="11"/>
  <c r="B5067" i="11"/>
  <c r="B5071" i="11"/>
  <c r="B5075" i="11"/>
  <c r="D5075" i="11" s="1"/>
  <c r="B5079" i="11"/>
  <c r="B5083" i="11"/>
  <c r="C5083" i="11" s="1"/>
  <c r="B5087" i="11"/>
  <c r="B5091" i="11"/>
  <c r="B5095" i="11"/>
  <c r="C5095" i="11" s="1"/>
  <c r="B5099" i="11"/>
  <c r="C5099" i="11" s="1"/>
  <c r="B5103" i="11"/>
  <c r="B5107" i="11"/>
  <c r="C5107" i="11" s="1"/>
  <c r="B5111" i="11"/>
  <c r="B5115" i="11"/>
  <c r="D5115" i="11" s="1"/>
  <c r="B5119" i="11"/>
  <c r="B268" i="11"/>
  <c r="D268" i="11" s="1"/>
  <c r="B440" i="11"/>
  <c r="D440" i="11" s="1"/>
  <c r="B555" i="11"/>
  <c r="C555" i="11" s="1"/>
  <c r="B668" i="11"/>
  <c r="D668" i="11" s="1"/>
  <c r="B760" i="11"/>
  <c r="B846" i="11"/>
  <c r="D846" i="11" s="1"/>
  <c r="B914" i="11"/>
  <c r="B978" i="11"/>
  <c r="B1042" i="11"/>
  <c r="B1106" i="11"/>
  <c r="B1158" i="11"/>
  <c r="B1188" i="11"/>
  <c r="D1188" i="11" s="1"/>
  <c r="B1218" i="11"/>
  <c r="B1244" i="11"/>
  <c r="B1274" i="11"/>
  <c r="B1303" i="11"/>
  <c r="C1303" i="11" s="1"/>
  <c r="B1330" i="11"/>
  <c r="B1359" i="11"/>
  <c r="D1359" i="11" s="1"/>
  <c r="B1388" i="11"/>
  <c r="D1388" i="11" s="1"/>
  <c r="B1415" i="11"/>
  <c r="B1444" i="11"/>
  <c r="B1474" i="11"/>
  <c r="B1500" i="11"/>
  <c r="B1530" i="11"/>
  <c r="C1530" i="11" s="1"/>
  <c r="B1559" i="11"/>
  <c r="D1559" i="11" s="1"/>
  <c r="B1586" i="11"/>
  <c r="D1586" i="11" s="1"/>
  <c r="B1615" i="11"/>
  <c r="D1615" i="11" s="1"/>
  <c r="B1644" i="11"/>
  <c r="B1662" i="11"/>
  <c r="B1677" i="11"/>
  <c r="B1692" i="11"/>
  <c r="D1692" i="11" s="1"/>
  <c r="B1705" i="11"/>
  <c r="B1720" i="11"/>
  <c r="B1734" i="11"/>
  <c r="B1748" i="11"/>
  <c r="B1762" i="11"/>
  <c r="B1777" i="11"/>
  <c r="B1790" i="11"/>
  <c r="B1805" i="11"/>
  <c r="B1820" i="11"/>
  <c r="B1833" i="11"/>
  <c r="D1833" i="11" s="1"/>
  <c r="B1848" i="11"/>
  <c r="B1862" i="11"/>
  <c r="D1862" i="11" s="1"/>
  <c r="B1876" i="11"/>
  <c r="B1890" i="11"/>
  <c r="D1890" i="11" s="1"/>
  <c r="B1905" i="11"/>
  <c r="B1918" i="11"/>
  <c r="B1933" i="11"/>
  <c r="D1933" i="11" s="1"/>
  <c r="B1948" i="11"/>
  <c r="C1948" i="11" s="1"/>
  <c r="B1961" i="11"/>
  <c r="B1976" i="11"/>
  <c r="B1990" i="11"/>
  <c r="B2004" i="11"/>
  <c r="C2004" i="11" s="1"/>
  <c r="B2018" i="11"/>
  <c r="B2033" i="11"/>
  <c r="B2046" i="11"/>
  <c r="B2061" i="11"/>
  <c r="B2076" i="11"/>
  <c r="C2076" i="11" s="1"/>
  <c r="B2089" i="11"/>
  <c r="B2100" i="11"/>
  <c r="C2100" i="11" s="1"/>
  <c r="B2110" i="11"/>
  <c r="D2110" i="11" s="1"/>
  <c r="B2121" i="11"/>
  <c r="C2121" i="11" s="1"/>
  <c r="B2132" i="11"/>
  <c r="B2142" i="11"/>
  <c r="D2142" i="11" s="1"/>
  <c r="B2153" i="11"/>
  <c r="B2164" i="11"/>
  <c r="D2164" i="11" s="1"/>
  <c r="B2174" i="11"/>
  <c r="D2174" i="11" s="1"/>
  <c r="B2185" i="11"/>
  <c r="D2185" i="11" s="1"/>
  <c r="B2196" i="11"/>
  <c r="C2196" i="11" s="1"/>
  <c r="B2206" i="11"/>
  <c r="B2217" i="11"/>
  <c r="D2217" i="11" s="1"/>
  <c r="B2228" i="11"/>
  <c r="C2228" i="11" s="1"/>
  <c r="B2238" i="11"/>
  <c r="D2238" i="11" s="1"/>
  <c r="B2249" i="11"/>
  <c r="B2260" i="11"/>
  <c r="B2270" i="11"/>
  <c r="B2281" i="11"/>
  <c r="B2292" i="11"/>
  <c r="D2292" i="11" s="1"/>
  <c r="B2302" i="11"/>
  <c r="D2302" i="11" s="1"/>
  <c r="B2312" i="11"/>
  <c r="B2320" i="11"/>
  <c r="D2320" i="11" s="1"/>
  <c r="B2328" i="11"/>
  <c r="B2336" i="11"/>
  <c r="C2336" i="11" s="1"/>
  <c r="B2344" i="11"/>
  <c r="B2352" i="11"/>
  <c r="C2352" i="11" s="1"/>
  <c r="B2360" i="11"/>
  <c r="D2360" i="11" s="1"/>
  <c r="B2368" i="11"/>
  <c r="B2376" i="11"/>
  <c r="D2376" i="11" s="1"/>
  <c r="B2384" i="11"/>
  <c r="D2384" i="11" s="1"/>
  <c r="B2392" i="11"/>
  <c r="B2400" i="11"/>
  <c r="D2400" i="11" s="1"/>
  <c r="B2408" i="11"/>
  <c r="D2408" i="11" s="1"/>
  <c r="B2416" i="11"/>
  <c r="B2424" i="11"/>
  <c r="C2424" i="11" s="1"/>
  <c r="B2432" i="11"/>
  <c r="B2440" i="11"/>
  <c r="D2440" i="11" s="1"/>
  <c r="B2448" i="11"/>
  <c r="D2448" i="11" s="1"/>
  <c r="B2456" i="11"/>
  <c r="B2464" i="11"/>
  <c r="C2464" i="11" s="1"/>
  <c r="B2472" i="11"/>
  <c r="B2480" i="11"/>
  <c r="C2480" i="11" s="1"/>
  <c r="B2488" i="11"/>
  <c r="B2496" i="11"/>
  <c r="B2504" i="11"/>
  <c r="B2512" i="11"/>
  <c r="B2520" i="11"/>
  <c r="B2528" i="11"/>
  <c r="B2536" i="11"/>
  <c r="B2544" i="11"/>
  <c r="C2544" i="11" s="1"/>
  <c r="B2552" i="11"/>
  <c r="B2560" i="11"/>
  <c r="C2560" i="11" s="1"/>
  <c r="B2568" i="11"/>
  <c r="B2576" i="11"/>
  <c r="C2576" i="11" s="1"/>
  <c r="B2584" i="11"/>
  <c r="B2592" i="11"/>
  <c r="B2600" i="11"/>
  <c r="B2608" i="11"/>
  <c r="B2616" i="11"/>
  <c r="B2624" i="11"/>
  <c r="C2624" i="11" s="1"/>
  <c r="B2632" i="11"/>
  <c r="B2640" i="11"/>
  <c r="B2648" i="11"/>
  <c r="B2656" i="11"/>
  <c r="D2656" i="11" s="1"/>
  <c r="B2664" i="11"/>
  <c r="B2672" i="11"/>
  <c r="D2672" i="11" s="1"/>
  <c r="B2680" i="11"/>
  <c r="D2680" i="11" s="1"/>
  <c r="B2688" i="11"/>
  <c r="B2696" i="11"/>
  <c r="B2704" i="11"/>
  <c r="D2704" i="11" s="1"/>
  <c r="B2712" i="11"/>
  <c r="B2720" i="11"/>
  <c r="B2728" i="11"/>
  <c r="D2728" i="11" s="1"/>
  <c r="B2736" i="11"/>
  <c r="D2736" i="11" s="1"/>
  <c r="B2744" i="11"/>
  <c r="B2752" i="11"/>
  <c r="C2752" i="11" s="1"/>
  <c r="B2760" i="11"/>
  <c r="C2760" i="11" s="1"/>
  <c r="B2768" i="11"/>
  <c r="D2768" i="11" s="1"/>
  <c r="B2776" i="11"/>
  <c r="B2784" i="11"/>
  <c r="D2784" i="11" s="1"/>
  <c r="B2792" i="11"/>
  <c r="B2800" i="11"/>
  <c r="B2808" i="11"/>
  <c r="B2816" i="11"/>
  <c r="D2816" i="11" s="1"/>
  <c r="B2824" i="11"/>
  <c r="C2824" i="11" s="1"/>
  <c r="B2832" i="11"/>
  <c r="B2840" i="11"/>
  <c r="C2840" i="11" s="1"/>
  <c r="B2848" i="11"/>
  <c r="B2856" i="11"/>
  <c r="B2864" i="11"/>
  <c r="B2872" i="11"/>
  <c r="B2880" i="11"/>
  <c r="D2880" i="11" s="1"/>
  <c r="B2888" i="11"/>
  <c r="B2896" i="11"/>
  <c r="C2896" i="11" s="1"/>
  <c r="B2904" i="11"/>
  <c r="B2912" i="11"/>
  <c r="D2912" i="11" s="1"/>
  <c r="B2920" i="11"/>
  <c r="D2920" i="11" s="1"/>
  <c r="B2928" i="11"/>
  <c r="B2936" i="11"/>
  <c r="B2944" i="11"/>
  <c r="D2944" i="11" s="1"/>
  <c r="B2952" i="11"/>
  <c r="B2960" i="11"/>
  <c r="D2960" i="11" s="1"/>
  <c r="B2968" i="11"/>
  <c r="B2976" i="11"/>
  <c r="B2984" i="11"/>
  <c r="D2984" i="11" s="1"/>
  <c r="B2992" i="11"/>
  <c r="B3000" i="11"/>
  <c r="C3000" i="11" s="1"/>
  <c r="B3008" i="11"/>
  <c r="D3008" i="11" s="1"/>
  <c r="B3016" i="11"/>
  <c r="B3024" i="11"/>
  <c r="D3024" i="11" s="1"/>
  <c r="B3032" i="11"/>
  <c r="B3039" i="11"/>
  <c r="B3044" i="11"/>
  <c r="D3044" i="11" s="1"/>
  <c r="B3050" i="11"/>
  <c r="D3050" i="11" s="1"/>
  <c r="B3055" i="11"/>
  <c r="D3055" i="11" s="1"/>
  <c r="B3060" i="11"/>
  <c r="D3060" i="11" s="1"/>
  <c r="B3066" i="11"/>
  <c r="B3071" i="11"/>
  <c r="B3076" i="11"/>
  <c r="B3082" i="11"/>
  <c r="C3082" i="11" s="1"/>
  <c r="B3087" i="11"/>
  <c r="B3092" i="11"/>
  <c r="B3098" i="11"/>
  <c r="D3098" i="11" s="1"/>
  <c r="B3103" i="11"/>
  <c r="B3108" i="11"/>
  <c r="B3114" i="11"/>
  <c r="D3114" i="11" s="1"/>
  <c r="B3119" i="11"/>
  <c r="C3119" i="11" s="1"/>
  <c r="B3124" i="11"/>
  <c r="D3124" i="11" s="1"/>
  <c r="B3130" i="11"/>
  <c r="D3130" i="11" s="1"/>
  <c r="B3135" i="11"/>
  <c r="C3135" i="11" s="1"/>
  <c r="B3140" i="11"/>
  <c r="B3146" i="11"/>
  <c r="B3151" i="11"/>
  <c r="B3156" i="11"/>
  <c r="D3156" i="11" s="1"/>
  <c r="B3162" i="11"/>
  <c r="C3162" i="11" s="1"/>
  <c r="B3167" i="11"/>
  <c r="B3172" i="11"/>
  <c r="B3178" i="11"/>
  <c r="D3178" i="11" s="1"/>
  <c r="B3183" i="11"/>
  <c r="B3188" i="11"/>
  <c r="D3188" i="11" s="1"/>
  <c r="B3194" i="11"/>
  <c r="C3194" i="11" s="1"/>
  <c r="B3199" i="11"/>
  <c r="C3199" i="11" s="1"/>
  <c r="B3204" i="11"/>
  <c r="B3210" i="11"/>
  <c r="D3210" i="11" s="1"/>
  <c r="B3215" i="11"/>
  <c r="B3220" i="11"/>
  <c r="D3220" i="11" s="1"/>
  <c r="B3226" i="11"/>
  <c r="D3226" i="11" s="1"/>
  <c r="B3231" i="11"/>
  <c r="B3236" i="11"/>
  <c r="C3236" i="11" s="1"/>
  <c r="B3242" i="11"/>
  <c r="D3242" i="11" s="1"/>
  <c r="B3247" i="11"/>
  <c r="B3252" i="11"/>
  <c r="D3252" i="11" s="1"/>
  <c r="B3258" i="11"/>
  <c r="D3258" i="11" s="1"/>
  <c r="B3263" i="11"/>
  <c r="C3263" i="11" s="1"/>
  <c r="B3268" i="11"/>
  <c r="B3274" i="11"/>
  <c r="B3279" i="11"/>
  <c r="B3284" i="11"/>
  <c r="D3284" i="11" s="1"/>
  <c r="B3290" i="11"/>
  <c r="C3290" i="11" s="1"/>
  <c r="B3295" i="11"/>
  <c r="C3295" i="11" s="1"/>
  <c r="B3300" i="11"/>
  <c r="C3300" i="11" s="1"/>
  <c r="B3306" i="11"/>
  <c r="D3306" i="11" s="1"/>
  <c r="B3311" i="11"/>
  <c r="B3316" i="11"/>
  <c r="D3316" i="11" s="1"/>
  <c r="B3322" i="11"/>
  <c r="C3322" i="11" s="1"/>
  <c r="B3327" i="11"/>
  <c r="C3327" i="11" s="1"/>
  <c r="B3332" i="11"/>
  <c r="C3332" i="11" s="1"/>
  <c r="B3338" i="11"/>
  <c r="B3343" i="11"/>
  <c r="C3343" i="11" s="1"/>
  <c r="B3348" i="11"/>
  <c r="D3348" i="11" s="1"/>
  <c r="B3354" i="11"/>
  <c r="D3354" i="11" s="1"/>
  <c r="B3359" i="11"/>
  <c r="B3364" i="11"/>
  <c r="B3370" i="11"/>
  <c r="D3370" i="11" s="1"/>
  <c r="B3375" i="11"/>
  <c r="C3375" i="11" s="1"/>
  <c r="B3380" i="11"/>
  <c r="D3380" i="11" s="1"/>
  <c r="B3386" i="11"/>
  <c r="D3386" i="11" s="1"/>
  <c r="B3391" i="11"/>
  <c r="C3391" i="11" s="1"/>
  <c r="B3396" i="11"/>
  <c r="C3396" i="11" s="1"/>
  <c r="B3402" i="11"/>
  <c r="D3402" i="11" s="1"/>
  <c r="B3407" i="11"/>
  <c r="B3412" i="11"/>
  <c r="D3412" i="11" s="1"/>
  <c r="B3418" i="11"/>
  <c r="C3418" i="11" s="1"/>
  <c r="B3423" i="11"/>
  <c r="C3423" i="11" s="1"/>
  <c r="B3428" i="11"/>
  <c r="B3434" i="11"/>
  <c r="D3434" i="11" s="1"/>
  <c r="B3439" i="11"/>
  <c r="B3444" i="11"/>
  <c r="D3444" i="11" s="1"/>
  <c r="B3450" i="11"/>
  <c r="C3450" i="11" s="1"/>
  <c r="B3455" i="11"/>
  <c r="C3455" i="11" s="1"/>
  <c r="B3460" i="11"/>
  <c r="B3466" i="11"/>
  <c r="B3471" i="11"/>
  <c r="B3476" i="11"/>
  <c r="D3476" i="11" s="1"/>
  <c r="B3482" i="11"/>
  <c r="D3482" i="11" s="1"/>
  <c r="B3487" i="11"/>
  <c r="D3487" i="11" s="1"/>
  <c r="B3492" i="11"/>
  <c r="D3492" i="11" s="1"/>
  <c r="B3498" i="11"/>
  <c r="D3498" i="11" s="1"/>
  <c r="B3503" i="11"/>
  <c r="B3508" i="11"/>
  <c r="D3508" i="11" s="1"/>
  <c r="B3514" i="11"/>
  <c r="D3514" i="11" s="1"/>
  <c r="B3519" i="11"/>
  <c r="B3524" i="11"/>
  <c r="B3530" i="11"/>
  <c r="D3530" i="11" s="1"/>
  <c r="B3535" i="11"/>
  <c r="B3540" i="11"/>
  <c r="D3540" i="11" s="1"/>
  <c r="B3546" i="11"/>
  <c r="C3546" i="11" s="1"/>
  <c r="B3551" i="11"/>
  <c r="B3556" i="11"/>
  <c r="D3556" i="11" s="1"/>
  <c r="B3562" i="11"/>
  <c r="D3562" i="11" s="1"/>
  <c r="B3567" i="11"/>
  <c r="B3572" i="11"/>
  <c r="D3572" i="11" s="1"/>
  <c r="B3578" i="11"/>
  <c r="C3578" i="11" s="1"/>
  <c r="B3583" i="11"/>
  <c r="C3583" i="11" s="1"/>
  <c r="B3588" i="11"/>
  <c r="D3588" i="11" s="1"/>
  <c r="B3594" i="11"/>
  <c r="B3599" i="11"/>
  <c r="B3604" i="11"/>
  <c r="D3604" i="11" s="1"/>
  <c r="B3610" i="11"/>
  <c r="D3610" i="11" s="1"/>
  <c r="B3615" i="11"/>
  <c r="B3620" i="11"/>
  <c r="B3626" i="11"/>
  <c r="D3626" i="11" s="1"/>
  <c r="B3631" i="11"/>
  <c r="B3636" i="11"/>
  <c r="D3636" i="11" s="1"/>
  <c r="B3642" i="11"/>
  <c r="D3642" i="11" s="1"/>
  <c r="B3647" i="11"/>
  <c r="C3647" i="11" s="1"/>
  <c r="B3652" i="11"/>
  <c r="B3658" i="11"/>
  <c r="D3658" i="11" s="1"/>
  <c r="B3663" i="11"/>
  <c r="B3668" i="11"/>
  <c r="D3668" i="11" s="1"/>
  <c r="B3673" i="11"/>
  <c r="B3677" i="11"/>
  <c r="B3681" i="11"/>
  <c r="C3681" i="11" s="1"/>
  <c r="B3685" i="11"/>
  <c r="C3685" i="11" s="1"/>
  <c r="B3689" i="11"/>
  <c r="B3693" i="11"/>
  <c r="D3693" i="11" s="1"/>
  <c r="B3697" i="11"/>
  <c r="C3697" i="11" s="1"/>
  <c r="B3701" i="11"/>
  <c r="B3705" i="11"/>
  <c r="B3709" i="11"/>
  <c r="D3709" i="11" s="1"/>
  <c r="B3713" i="11"/>
  <c r="B3717" i="11"/>
  <c r="C3717" i="11" s="1"/>
  <c r="B3721" i="11"/>
  <c r="B3725" i="11"/>
  <c r="D3725" i="11" s="1"/>
  <c r="B3729" i="11"/>
  <c r="C3729" i="11" s="1"/>
  <c r="B3733" i="11"/>
  <c r="B3737" i="11"/>
  <c r="B3741" i="11"/>
  <c r="B3745" i="11"/>
  <c r="C3745" i="11" s="1"/>
  <c r="B3749" i="11"/>
  <c r="C3749" i="11" s="1"/>
  <c r="B3753" i="11"/>
  <c r="B3757" i="11"/>
  <c r="D3757" i="11" s="1"/>
  <c r="B3761" i="11"/>
  <c r="C3761" i="11" s="1"/>
  <c r="B3765" i="11"/>
  <c r="C3765" i="11" s="1"/>
  <c r="B3769" i="11"/>
  <c r="B3773" i="11"/>
  <c r="D3773" i="11" s="1"/>
  <c r="B3777" i="11"/>
  <c r="C3777" i="11" s="1"/>
  <c r="B3781" i="11"/>
  <c r="D3781" i="11" s="1"/>
  <c r="B3785" i="11"/>
  <c r="B3789" i="11"/>
  <c r="D3789" i="11" s="1"/>
  <c r="B3793" i="11"/>
  <c r="C3793" i="11" s="1"/>
  <c r="B3797" i="11"/>
  <c r="C3797" i="11" s="1"/>
  <c r="B3801" i="11"/>
  <c r="B3805" i="11"/>
  <c r="D3805" i="11" s="1"/>
  <c r="B3809" i="11"/>
  <c r="C3809" i="11" s="1"/>
  <c r="B3813" i="11"/>
  <c r="D3813" i="11" s="1"/>
  <c r="B3817" i="11"/>
  <c r="B3821" i="11"/>
  <c r="B3825" i="11"/>
  <c r="C3825" i="11" s="1"/>
  <c r="B3829" i="11"/>
  <c r="B3833" i="11"/>
  <c r="B3837" i="11"/>
  <c r="B3841" i="11"/>
  <c r="B3845" i="11"/>
  <c r="D3845" i="11" s="1"/>
  <c r="B3849" i="11"/>
  <c r="B3853" i="11"/>
  <c r="D3853" i="11" s="1"/>
  <c r="B3857" i="11"/>
  <c r="C3857" i="11" s="1"/>
  <c r="B3861" i="11"/>
  <c r="C3861" i="11" s="1"/>
  <c r="B3865" i="11"/>
  <c r="B3869" i="11"/>
  <c r="D3869" i="11" s="1"/>
  <c r="B3873" i="11"/>
  <c r="C3873" i="11" s="1"/>
  <c r="B3877" i="11"/>
  <c r="D3877" i="11" s="1"/>
  <c r="B3881" i="11"/>
  <c r="B3885" i="11"/>
  <c r="B3889" i="11"/>
  <c r="C3889" i="11" s="1"/>
  <c r="B3893" i="11"/>
  <c r="B3897" i="11"/>
  <c r="B3901" i="11"/>
  <c r="D3901" i="11" s="1"/>
  <c r="B3905" i="11"/>
  <c r="C3905" i="11" s="1"/>
  <c r="B3909" i="11"/>
  <c r="D3909" i="11" s="1"/>
  <c r="B3913" i="11"/>
  <c r="B3917" i="11"/>
  <c r="D3917" i="11" s="1"/>
  <c r="B3921" i="11"/>
  <c r="C3921" i="11" s="1"/>
  <c r="B3925" i="11"/>
  <c r="C3925" i="11" s="1"/>
  <c r="B3929" i="11"/>
  <c r="B3933" i="11"/>
  <c r="D3933" i="11" s="1"/>
  <c r="B3937" i="11"/>
  <c r="C3937" i="11" s="1"/>
  <c r="B3941" i="11"/>
  <c r="D3941" i="11" s="1"/>
  <c r="B3945" i="11"/>
  <c r="B3949" i="11"/>
  <c r="B3953" i="11"/>
  <c r="C3953" i="11" s="1"/>
  <c r="B3957" i="11"/>
  <c r="B3961" i="11"/>
  <c r="B3965" i="11"/>
  <c r="B3969" i="11"/>
  <c r="B3973" i="11"/>
  <c r="B3977" i="11"/>
  <c r="B3981" i="11"/>
  <c r="D3981" i="11" s="1"/>
  <c r="B3985" i="11"/>
  <c r="C3985" i="11" s="1"/>
  <c r="B3989" i="11"/>
  <c r="C3989" i="11" s="1"/>
  <c r="B3993" i="11"/>
  <c r="B3997" i="11"/>
  <c r="D3997" i="11" s="1"/>
  <c r="B4001" i="11"/>
  <c r="C4001" i="11" s="1"/>
  <c r="B4005" i="11"/>
  <c r="D4005" i="11" s="1"/>
  <c r="B4009" i="11"/>
  <c r="B4013" i="11"/>
  <c r="D4013" i="11" s="1"/>
  <c r="B4017" i="11"/>
  <c r="C4017" i="11" s="1"/>
  <c r="B4021" i="11"/>
  <c r="B4025" i="11"/>
  <c r="B4029" i="11"/>
  <c r="D4029" i="11" s="1"/>
  <c r="B4033" i="11"/>
  <c r="B4037" i="11"/>
  <c r="D4037" i="11" s="1"/>
  <c r="B4041" i="11"/>
  <c r="B4045" i="11"/>
  <c r="D4045" i="11" s="1"/>
  <c r="B4049" i="11"/>
  <c r="C4049" i="11" s="1"/>
  <c r="B4053" i="11"/>
  <c r="C4053" i="11" s="1"/>
  <c r="B4057" i="11"/>
  <c r="B4061" i="11"/>
  <c r="D4061" i="11" s="1"/>
  <c r="B4065" i="11"/>
  <c r="C4065" i="11" s="1"/>
  <c r="B4069" i="11"/>
  <c r="D4069" i="11" s="1"/>
  <c r="B4073" i="11"/>
  <c r="B4077" i="11"/>
  <c r="D4077" i="11" s="1"/>
  <c r="B4081" i="11"/>
  <c r="C4081" i="11" s="1"/>
  <c r="B4085" i="11"/>
  <c r="B4089" i="11"/>
  <c r="B4093" i="11"/>
  <c r="B4097" i="11"/>
  <c r="B4101" i="11"/>
  <c r="B4105" i="11"/>
  <c r="B4109" i="11"/>
  <c r="D4109" i="11" s="1"/>
  <c r="B4113" i="11"/>
  <c r="C4113" i="11" s="1"/>
  <c r="B4117" i="11"/>
  <c r="B4121" i="11"/>
  <c r="B4125" i="11"/>
  <c r="B4129" i="11"/>
  <c r="C4129" i="11" s="1"/>
  <c r="B4133" i="11"/>
  <c r="B4137" i="11"/>
  <c r="B4141" i="11"/>
  <c r="B4145" i="11"/>
  <c r="C4145" i="11" s="1"/>
  <c r="B4149" i="11"/>
  <c r="D4149" i="11" s="1"/>
  <c r="B4153" i="11"/>
  <c r="B4157" i="11"/>
  <c r="D4157" i="11" s="1"/>
  <c r="B4161" i="11"/>
  <c r="C4161" i="11" s="1"/>
  <c r="B4165" i="11"/>
  <c r="D4165" i="11" s="1"/>
  <c r="B4169" i="11"/>
  <c r="B4173" i="11"/>
  <c r="D4173" i="11" s="1"/>
  <c r="B4177" i="11"/>
  <c r="C4177" i="11" s="1"/>
  <c r="B4181" i="11"/>
  <c r="B4185" i="11"/>
  <c r="B4189" i="11"/>
  <c r="B4193" i="11"/>
  <c r="C4193" i="11" s="1"/>
  <c r="B4197" i="11"/>
  <c r="D4197" i="11" s="1"/>
  <c r="B4201" i="11"/>
  <c r="B4205" i="11"/>
  <c r="D4205" i="11" s="1"/>
  <c r="B4209" i="11"/>
  <c r="C4209" i="11" s="1"/>
  <c r="B4213" i="11"/>
  <c r="D4213" i="11" s="1"/>
  <c r="B4217" i="11"/>
  <c r="B4221" i="11"/>
  <c r="D4221" i="11" s="1"/>
  <c r="B4225" i="11"/>
  <c r="B4229" i="11"/>
  <c r="D4229" i="11" s="1"/>
  <c r="B4233" i="11"/>
  <c r="B4237" i="11"/>
  <c r="D4237" i="11" s="1"/>
  <c r="B4241" i="11"/>
  <c r="C4241" i="11" s="1"/>
  <c r="B4245" i="11"/>
  <c r="D4245" i="11" s="1"/>
  <c r="B4249" i="11"/>
  <c r="B4253" i="11"/>
  <c r="D4253" i="11" s="1"/>
  <c r="B4257" i="11"/>
  <c r="C4257" i="11" s="1"/>
  <c r="B4261" i="11"/>
  <c r="D4261" i="11" s="1"/>
  <c r="B4265" i="11"/>
  <c r="B4269" i="11"/>
  <c r="B4273" i="11"/>
  <c r="C4273" i="11" s="1"/>
  <c r="B4277" i="11"/>
  <c r="D4277" i="11" s="1"/>
  <c r="B4281" i="11"/>
  <c r="B4285" i="11"/>
  <c r="D4285" i="11" s="1"/>
  <c r="B4289" i="11"/>
  <c r="C4289" i="11" s="1"/>
  <c r="B4293" i="11"/>
  <c r="D4293" i="11" s="1"/>
  <c r="B4297" i="11"/>
  <c r="B4301" i="11"/>
  <c r="D4301" i="11" s="1"/>
  <c r="B4305" i="11"/>
  <c r="C4305" i="11" s="1"/>
  <c r="B4309" i="11"/>
  <c r="B4313" i="11"/>
  <c r="B4317" i="11"/>
  <c r="B4321" i="11"/>
  <c r="C4321" i="11" s="1"/>
  <c r="B4325" i="11"/>
  <c r="B4329" i="11"/>
  <c r="B4333" i="11"/>
  <c r="B4337" i="11"/>
  <c r="C4337" i="11" s="1"/>
  <c r="B4341" i="11"/>
  <c r="D4341" i="11" s="1"/>
  <c r="B4345" i="11"/>
  <c r="B4349" i="11"/>
  <c r="D4349" i="11" s="1"/>
  <c r="B4353" i="11"/>
  <c r="B4357" i="11"/>
  <c r="B4361" i="11"/>
  <c r="B4365" i="11"/>
  <c r="D4365" i="11" s="1"/>
  <c r="B4369" i="11"/>
  <c r="D4369" i="11" s="1"/>
  <c r="B4373" i="11"/>
  <c r="B4377" i="11"/>
  <c r="B4381" i="11"/>
  <c r="C4381" i="11" s="1"/>
  <c r="B4385" i="11"/>
  <c r="C4385" i="11" s="1"/>
  <c r="B4389" i="11"/>
  <c r="D4389" i="11" s="1"/>
  <c r="B4393" i="11"/>
  <c r="B4397" i="11"/>
  <c r="B4401" i="11"/>
  <c r="B4405" i="11"/>
  <c r="C4405" i="11" s="1"/>
  <c r="B4409" i="11"/>
  <c r="B4413" i="11"/>
  <c r="D4413" i="11" s="1"/>
  <c r="B4417" i="11"/>
  <c r="B4421" i="11"/>
  <c r="B4425" i="11"/>
  <c r="B4429" i="11"/>
  <c r="C4429" i="11" s="1"/>
  <c r="B4433" i="11"/>
  <c r="D4433" i="11" s="1"/>
  <c r="B4437" i="11"/>
  <c r="B4441" i="11"/>
  <c r="B4445" i="11"/>
  <c r="B4449" i="11"/>
  <c r="B4453" i="11"/>
  <c r="D4453" i="11" s="1"/>
  <c r="B4457" i="11"/>
  <c r="B4461" i="11"/>
  <c r="B4465" i="11"/>
  <c r="B4469" i="11"/>
  <c r="D4469" i="11" s="1"/>
  <c r="B4473" i="11"/>
  <c r="B4477" i="11"/>
  <c r="B4481" i="11"/>
  <c r="B4485" i="11"/>
  <c r="B4489" i="11"/>
  <c r="B4493" i="11"/>
  <c r="B4497" i="11"/>
  <c r="D4497" i="11" s="1"/>
  <c r="B4501" i="11"/>
  <c r="B4505" i="11"/>
  <c r="B4509" i="11"/>
  <c r="D4509" i="11" s="1"/>
  <c r="B4513" i="11"/>
  <c r="B4517" i="11"/>
  <c r="B4521" i="11"/>
  <c r="B4525" i="11"/>
  <c r="C4525" i="11" s="1"/>
  <c r="B4529" i="11"/>
  <c r="B4533" i="11"/>
  <c r="D4533" i="11" s="1"/>
  <c r="B4537" i="11"/>
  <c r="B4541" i="11"/>
  <c r="D4541" i="11" s="1"/>
  <c r="B4545" i="11"/>
  <c r="D4545" i="11" s="1"/>
  <c r="B4549" i="11"/>
  <c r="C4549" i="11" s="1"/>
  <c r="B4553" i="11"/>
  <c r="B4557" i="11"/>
  <c r="C4557" i="11" s="1"/>
  <c r="B4561" i="11"/>
  <c r="C4561" i="11" s="1"/>
  <c r="B4565" i="11"/>
  <c r="B4569" i="11"/>
  <c r="B4573" i="11"/>
  <c r="B4577" i="11"/>
  <c r="B4581" i="11"/>
  <c r="C4581" i="11" s="1"/>
  <c r="B4585" i="11"/>
  <c r="C4585" i="11" s="1"/>
  <c r="B4589" i="11"/>
  <c r="B4593" i="11"/>
  <c r="D4593" i="11" s="1"/>
  <c r="B4597" i="11"/>
  <c r="C4597" i="11" s="1"/>
  <c r="B4601" i="11"/>
  <c r="C4601" i="11" s="1"/>
  <c r="B4605" i="11"/>
  <c r="C4605" i="11" s="1"/>
  <c r="B4609" i="11"/>
  <c r="D4609" i="11" s="1"/>
  <c r="B4613" i="11"/>
  <c r="C4613" i="11" s="1"/>
  <c r="B4617" i="11"/>
  <c r="C4617" i="11" s="1"/>
  <c r="B4621" i="11"/>
  <c r="C4621" i="11" s="1"/>
  <c r="B4625" i="11"/>
  <c r="D4625" i="11" s="1"/>
  <c r="B4629" i="11"/>
  <c r="C4629" i="11" s="1"/>
  <c r="B4633" i="11"/>
  <c r="C4633" i="11" s="1"/>
  <c r="B4637" i="11"/>
  <c r="B4641" i="11"/>
  <c r="B4645" i="11"/>
  <c r="C4645" i="11" s="1"/>
  <c r="B4649" i="11"/>
  <c r="B4653" i="11"/>
  <c r="B4657" i="11"/>
  <c r="C4657" i="11" s="1"/>
  <c r="B4661" i="11"/>
  <c r="C4661" i="11" s="1"/>
  <c r="B4665" i="11"/>
  <c r="D4665" i="11" s="1"/>
  <c r="B4669" i="11"/>
  <c r="C4669" i="11" s="1"/>
  <c r="B4673" i="11"/>
  <c r="B4677" i="11"/>
  <c r="C4677" i="11" s="1"/>
  <c r="B4681" i="11"/>
  <c r="B4685" i="11"/>
  <c r="C4685" i="11" s="1"/>
  <c r="B4689" i="11"/>
  <c r="C4689" i="11" s="1"/>
  <c r="B4693" i="11"/>
  <c r="B4697" i="11"/>
  <c r="B4701" i="11"/>
  <c r="B4705" i="11"/>
  <c r="C4705" i="11" s="1"/>
  <c r="B4709" i="11"/>
  <c r="C4709" i="11" s="1"/>
  <c r="B4713" i="11"/>
  <c r="C4713" i="11" s="1"/>
  <c r="B4717" i="11"/>
  <c r="B4721" i="11"/>
  <c r="D4721" i="11" s="1"/>
  <c r="B4725" i="11"/>
  <c r="C4725" i="11" s="1"/>
  <c r="B4729" i="11"/>
  <c r="C4729" i="11" s="1"/>
  <c r="B4733" i="11"/>
  <c r="C4733" i="11" s="1"/>
  <c r="B4737" i="11"/>
  <c r="B4741" i="11"/>
  <c r="C4741" i="11" s="1"/>
  <c r="B4745" i="11"/>
  <c r="C4745" i="11" s="1"/>
  <c r="B4749" i="11"/>
  <c r="B4753" i="11"/>
  <c r="D4753" i="11" s="1"/>
  <c r="B4757" i="11"/>
  <c r="C4757" i="11" s="1"/>
  <c r="B4761" i="11"/>
  <c r="B4765" i="11"/>
  <c r="C4765" i="11" s="1"/>
  <c r="B4769" i="11"/>
  <c r="B4773" i="11"/>
  <c r="C4773" i="11" s="1"/>
  <c r="B4777" i="11"/>
  <c r="D4777" i="11" s="1"/>
  <c r="B4781" i="11"/>
  <c r="B4785" i="11"/>
  <c r="C4785" i="11" s="1"/>
  <c r="B4789" i="11"/>
  <c r="C4789" i="11" s="1"/>
  <c r="B4793" i="11"/>
  <c r="B4797" i="11"/>
  <c r="B4801" i="11"/>
  <c r="C4801" i="11" s="1"/>
  <c r="B4805" i="11"/>
  <c r="C4805" i="11" s="1"/>
  <c r="B4809" i="11"/>
  <c r="B4813" i="11"/>
  <c r="B4817" i="11"/>
  <c r="C4817" i="11" s="1"/>
  <c r="B4821" i="11"/>
  <c r="C4821" i="11" s="1"/>
  <c r="B4825" i="11"/>
  <c r="B4829" i="11"/>
  <c r="C4829" i="11" s="1"/>
  <c r="B4833" i="11"/>
  <c r="B4837" i="11"/>
  <c r="C4837" i="11" s="1"/>
  <c r="B4841" i="11"/>
  <c r="C4841" i="11" s="1"/>
  <c r="B4845" i="11"/>
  <c r="C4845" i="11" s="1"/>
  <c r="B4849" i="11"/>
  <c r="D4849" i="11" s="1"/>
  <c r="B4853" i="11"/>
  <c r="C4853" i="11" s="1"/>
  <c r="B4857" i="11"/>
  <c r="D4857" i="11" s="1"/>
  <c r="B4861" i="11"/>
  <c r="B4865" i="11"/>
  <c r="B4869" i="11"/>
  <c r="C4869" i="11" s="1"/>
  <c r="B4873" i="11"/>
  <c r="C4873" i="11" s="1"/>
  <c r="B4877" i="11"/>
  <c r="B4881" i="11"/>
  <c r="D4881" i="11" s="1"/>
  <c r="B4885" i="11"/>
  <c r="C4885" i="11" s="1"/>
  <c r="B4889" i="11"/>
  <c r="B4893" i="11"/>
  <c r="B4897" i="11"/>
  <c r="B4901" i="11"/>
  <c r="C4901" i="11" s="1"/>
  <c r="B4905" i="11"/>
  <c r="D4905" i="11" s="1"/>
  <c r="B4909" i="11"/>
  <c r="C4909" i="11" s="1"/>
  <c r="B4913" i="11"/>
  <c r="C4913" i="11" s="1"/>
  <c r="B4917" i="11"/>
  <c r="B4921" i="11"/>
  <c r="C4921" i="11" s="1"/>
  <c r="B4925" i="11"/>
  <c r="C4925" i="11" s="1"/>
  <c r="B4929" i="11"/>
  <c r="B4933" i="11"/>
  <c r="C4933" i="11" s="1"/>
  <c r="B4937" i="11"/>
  <c r="C4937" i="11" s="1"/>
  <c r="B4941" i="11"/>
  <c r="B4945" i="11"/>
  <c r="C4945" i="11" s="1"/>
  <c r="B4949" i="11"/>
  <c r="C4949" i="11" s="1"/>
  <c r="B4953" i="11"/>
  <c r="C4953" i="11" s="1"/>
  <c r="B4957" i="11"/>
  <c r="B4961" i="11"/>
  <c r="D4961" i="11" s="1"/>
  <c r="B4965" i="11"/>
  <c r="C4965" i="11" s="1"/>
  <c r="B4969" i="11"/>
  <c r="D4969" i="11" s="1"/>
  <c r="B4973" i="11"/>
  <c r="C4973" i="11" s="1"/>
  <c r="B4977" i="11"/>
  <c r="D4977" i="11" s="1"/>
  <c r="B4981" i="11"/>
  <c r="C4981" i="11" s="1"/>
  <c r="B4985" i="11"/>
  <c r="C4985" i="11" s="1"/>
  <c r="B4989" i="11"/>
  <c r="B4993" i="11"/>
  <c r="B4997" i="11"/>
  <c r="C4997" i="11" s="1"/>
  <c r="B5001" i="11"/>
  <c r="B5005" i="11"/>
  <c r="C5005" i="11" s="1"/>
  <c r="B5009" i="11"/>
  <c r="D5009" i="11" s="1"/>
  <c r="B5013" i="11"/>
  <c r="C5013" i="11" s="1"/>
  <c r="B5017" i="11"/>
  <c r="B5021" i="11"/>
  <c r="B5025" i="11"/>
  <c r="C5025" i="11" s="1"/>
  <c r="B5029" i="11"/>
  <c r="C5029" i="11" s="1"/>
  <c r="B5033" i="11"/>
  <c r="B5037" i="11"/>
  <c r="B5041" i="11"/>
  <c r="C5041" i="11" s="1"/>
  <c r="B5045" i="11"/>
  <c r="C5045" i="11" s="1"/>
  <c r="B5049" i="11"/>
  <c r="B5053" i="11"/>
  <c r="B5057" i="11"/>
  <c r="C5057" i="11" s="1"/>
  <c r="B5061" i="11"/>
  <c r="C5061" i="11" s="1"/>
  <c r="B5065" i="11"/>
  <c r="C5065" i="11" s="1"/>
  <c r="B5069" i="11"/>
  <c r="C5069" i="11" s="1"/>
  <c r="B5073" i="11"/>
  <c r="C5073" i="11" s="1"/>
  <c r="B5077" i="11"/>
  <c r="C5077" i="11" s="1"/>
  <c r="B5081" i="11"/>
  <c r="B5085" i="11"/>
  <c r="C5085" i="11" s="1"/>
  <c r="B5089" i="11"/>
  <c r="B5093" i="11"/>
  <c r="C5093" i="11" s="1"/>
  <c r="B5097" i="11"/>
  <c r="D5097" i="11" s="1"/>
  <c r="B5101" i="11"/>
  <c r="B5105" i="11"/>
  <c r="D5105" i="11" s="1"/>
  <c r="B5109" i="11"/>
  <c r="B5113" i="11"/>
  <c r="D5113" i="11" s="1"/>
  <c r="B5117" i="11"/>
  <c r="B5121" i="11"/>
  <c r="C5121" i="11" s="1"/>
  <c r="B5125" i="11"/>
  <c r="C5125" i="11" s="1"/>
  <c r="B5129" i="11"/>
  <c r="D5129" i="11" s="1"/>
  <c r="B5133" i="11"/>
  <c r="B5137" i="11"/>
  <c r="C5137" i="11" s="1"/>
  <c r="B5141" i="11"/>
  <c r="C5141" i="11" s="1"/>
  <c r="B5145" i="11"/>
  <c r="B5149" i="11"/>
  <c r="C5149" i="11" s="1"/>
  <c r="B5153" i="11"/>
  <c r="B5157" i="11"/>
  <c r="C5157" i="11" s="1"/>
  <c r="B5161" i="11"/>
  <c r="B5165" i="11"/>
  <c r="C5165" i="11" s="1"/>
  <c r="B5169" i="11"/>
  <c r="D5169" i="11" s="1"/>
  <c r="B5173" i="11"/>
  <c r="C5173" i="11" s="1"/>
  <c r="B5177" i="11"/>
  <c r="D5177" i="11" s="1"/>
  <c r="B5181" i="11"/>
  <c r="B5185" i="11"/>
  <c r="B5189" i="11"/>
  <c r="C5189" i="11" s="1"/>
  <c r="B5193" i="11"/>
  <c r="C5193" i="11" s="1"/>
  <c r="B5197" i="11"/>
  <c r="B5201" i="11"/>
  <c r="D5201" i="11" s="1"/>
  <c r="B5205" i="11"/>
  <c r="C5205" i="11" s="1"/>
  <c r="B5209" i="11"/>
  <c r="B5213" i="11"/>
  <c r="B5217" i="11"/>
  <c r="B5221" i="11"/>
  <c r="C5221" i="11" s="1"/>
  <c r="B5225" i="11"/>
  <c r="B5229" i="11"/>
  <c r="B5233" i="11"/>
  <c r="D5233" i="11" s="1"/>
  <c r="B5237" i="11"/>
  <c r="C5237" i="11" s="1"/>
  <c r="B5241" i="11"/>
  <c r="C5241" i="11" s="1"/>
  <c r="B184" i="11"/>
  <c r="B526" i="11"/>
  <c r="B739" i="11"/>
  <c r="C739" i="11" s="1"/>
  <c r="B898" i="11"/>
  <c r="B1026" i="11"/>
  <c r="B1150" i="11"/>
  <c r="B1210" i="11"/>
  <c r="B1266" i="11"/>
  <c r="B1324" i="11"/>
  <c r="D1324" i="11" s="1"/>
  <c r="B1380" i="11"/>
  <c r="B1436" i="11"/>
  <c r="D1436" i="11" s="1"/>
  <c r="B1495" i="11"/>
  <c r="B1551" i="11"/>
  <c r="B1607" i="11"/>
  <c r="B1660" i="11"/>
  <c r="C1660" i="11" s="1"/>
  <c r="B1688" i="11"/>
  <c r="B1716" i="11"/>
  <c r="B1745" i="11"/>
  <c r="B1773" i="11"/>
  <c r="B1801" i="11"/>
  <c r="C1801" i="11" s="1"/>
  <c r="B1830" i="11"/>
  <c r="B1858" i="11"/>
  <c r="B1886" i="11"/>
  <c r="B1916" i="11"/>
  <c r="B1944" i="11"/>
  <c r="B1972" i="11"/>
  <c r="D1972" i="11" s="1"/>
  <c r="B2001" i="11"/>
  <c r="C2001" i="11" s="1"/>
  <c r="B2029" i="11"/>
  <c r="B2057" i="11"/>
  <c r="D2057" i="11" s="1"/>
  <c r="B2086" i="11"/>
  <c r="D2086" i="11" s="1"/>
  <c r="B2108" i="11"/>
  <c r="D2108" i="11" s="1"/>
  <c r="B2129" i="11"/>
  <c r="B2150" i="11"/>
  <c r="B2172" i="11"/>
  <c r="D2172" i="11" s="1"/>
  <c r="B2193" i="11"/>
  <c r="D2193" i="11" s="1"/>
  <c r="B2214" i="11"/>
  <c r="C2214" i="11" s="1"/>
  <c r="B2236" i="11"/>
  <c r="B2257" i="11"/>
  <c r="B2278" i="11"/>
  <c r="B2300" i="11"/>
  <c r="D2300" i="11" s="1"/>
  <c r="B2318" i="11"/>
  <c r="C2318" i="11" s="1"/>
  <c r="B2334" i="11"/>
  <c r="B2350" i="11"/>
  <c r="D2350" i="11" s="1"/>
  <c r="B2366" i="11"/>
  <c r="B2382" i="11"/>
  <c r="B2398" i="11"/>
  <c r="B2414" i="11"/>
  <c r="C2414" i="11" s="1"/>
  <c r="B2430" i="11"/>
  <c r="B2446" i="11"/>
  <c r="B2462" i="11"/>
  <c r="D2462" i="11" s="1"/>
  <c r="B2478" i="11"/>
  <c r="C2478" i="11" s="1"/>
  <c r="B2494" i="11"/>
  <c r="D2494" i="11" s="1"/>
  <c r="B2510" i="11"/>
  <c r="B2526" i="11"/>
  <c r="D2526" i="11" s="1"/>
  <c r="B2542" i="11"/>
  <c r="D2542" i="11" s="1"/>
  <c r="B2558" i="11"/>
  <c r="B2574" i="11"/>
  <c r="B2590" i="11"/>
  <c r="B2606" i="11"/>
  <c r="B2622" i="11"/>
  <c r="B2638" i="11"/>
  <c r="B2654" i="11"/>
  <c r="C2654" i="11" s="1"/>
  <c r="B2670" i="11"/>
  <c r="B2686" i="11"/>
  <c r="B2702" i="11"/>
  <c r="B2718" i="11"/>
  <c r="B2734" i="11"/>
  <c r="B2750" i="11"/>
  <c r="B2766" i="11"/>
  <c r="D2766" i="11" s="1"/>
  <c r="B2782" i="11"/>
  <c r="B2798" i="11"/>
  <c r="B2814" i="11"/>
  <c r="D2814" i="11" s="1"/>
  <c r="B2830" i="11"/>
  <c r="C2830" i="11" s="1"/>
  <c r="B2846" i="11"/>
  <c r="B2862" i="11"/>
  <c r="C2862" i="11" s="1"/>
  <c r="B2878" i="11"/>
  <c r="B2894" i="11"/>
  <c r="B2910" i="11"/>
  <c r="B2926" i="11"/>
  <c r="C2926" i="11" s="1"/>
  <c r="B2942" i="11"/>
  <c r="B2958" i="11"/>
  <c r="C2958" i="11" s="1"/>
  <c r="B2974" i="11"/>
  <c r="B2990" i="11"/>
  <c r="B3006" i="11"/>
  <c r="B3022" i="11"/>
  <c r="C3022" i="11" s="1"/>
  <c r="B3038" i="11"/>
  <c r="B3048" i="11"/>
  <c r="D3048" i="11" s="1"/>
  <c r="B3059" i="11"/>
  <c r="B3070" i="11"/>
  <c r="D3070" i="11" s="1"/>
  <c r="B3080" i="11"/>
  <c r="D3080" i="11" s="1"/>
  <c r="B3091" i="11"/>
  <c r="D3091" i="11" s="1"/>
  <c r="B3102" i="11"/>
  <c r="B3112" i="11"/>
  <c r="B3123" i="11"/>
  <c r="B3134" i="11"/>
  <c r="C3134" i="11" s="1"/>
  <c r="B3144" i="11"/>
  <c r="C3144" i="11" s="1"/>
  <c r="B3155" i="11"/>
  <c r="B3166" i="11"/>
  <c r="B3176" i="11"/>
  <c r="B3187" i="11"/>
  <c r="B3198" i="11"/>
  <c r="C3198" i="11" s="1"/>
  <c r="B3208" i="11"/>
  <c r="C3208" i="11" s="1"/>
  <c r="B3219" i="11"/>
  <c r="C3219" i="11" s="1"/>
  <c r="B3230" i="11"/>
  <c r="D3230" i="11" s="1"/>
  <c r="B3240" i="11"/>
  <c r="B3251" i="11"/>
  <c r="B3262" i="11"/>
  <c r="C3262" i="11" s="1"/>
  <c r="B3272" i="11"/>
  <c r="B3283" i="11"/>
  <c r="C3283" i="11" s="1"/>
  <c r="B3294" i="11"/>
  <c r="B3304" i="11"/>
  <c r="D3304" i="11" s="1"/>
  <c r="B3315" i="11"/>
  <c r="D3315" i="11" s="1"/>
  <c r="B3326" i="11"/>
  <c r="C3326" i="11" s="1"/>
  <c r="B3336" i="11"/>
  <c r="C3336" i="11" s="1"/>
  <c r="B3347" i="11"/>
  <c r="C3347" i="11" s="1"/>
  <c r="B3358" i="11"/>
  <c r="B3368" i="11"/>
  <c r="B3379" i="11"/>
  <c r="B3390" i="11"/>
  <c r="C3390" i="11" s="1"/>
  <c r="B3400" i="11"/>
  <c r="D3400" i="11" s="1"/>
  <c r="B3411" i="11"/>
  <c r="B3422" i="11"/>
  <c r="B3432" i="11"/>
  <c r="B3443" i="11"/>
  <c r="C3443" i="11" s="1"/>
  <c r="B3454" i="11"/>
  <c r="C3454" i="11" s="1"/>
  <c r="B3464" i="11"/>
  <c r="D3464" i="11" s="1"/>
  <c r="B3475" i="11"/>
  <c r="C3475" i="11" s="1"/>
  <c r="B3486" i="11"/>
  <c r="D3486" i="11" s="1"/>
  <c r="B3496" i="11"/>
  <c r="B3507" i="11"/>
  <c r="B3518" i="11"/>
  <c r="C3518" i="11" s="1"/>
  <c r="B3528" i="11"/>
  <c r="B3539" i="11"/>
  <c r="B3550" i="11"/>
  <c r="D3550" i="11" s="1"/>
  <c r="B3560" i="11"/>
  <c r="D3560" i="11" s="1"/>
  <c r="B3571" i="11"/>
  <c r="B3582" i="11"/>
  <c r="C3582" i="11" s="1"/>
  <c r="B3592" i="11"/>
  <c r="C3592" i="11" s="1"/>
  <c r="B3603" i="11"/>
  <c r="C3603" i="11" s="1"/>
  <c r="B3614" i="11"/>
  <c r="B3624" i="11"/>
  <c r="B3635" i="11"/>
  <c r="B3646" i="11"/>
  <c r="C3646" i="11" s="1"/>
  <c r="B3656" i="11"/>
  <c r="C3656" i="11" s="1"/>
  <c r="B3667" i="11"/>
  <c r="B3676" i="11"/>
  <c r="C3676" i="11" s="1"/>
  <c r="B3684" i="11"/>
  <c r="D3684" i="11" s="1"/>
  <c r="B3692" i="11"/>
  <c r="B3700" i="11"/>
  <c r="D3700" i="11" s="1"/>
  <c r="B3708" i="11"/>
  <c r="C3708" i="11" s="1"/>
  <c r="B3716" i="11"/>
  <c r="B3724" i="11"/>
  <c r="B3732" i="11"/>
  <c r="D3732" i="11" s="1"/>
  <c r="B3740" i="11"/>
  <c r="C3740" i="11" s="1"/>
  <c r="B3748" i="11"/>
  <c r="D3748" i="11" s="1"/>
  <c r="B3756" i="11"/>
  <c r="B3764" i="11"/>
  <c r="D3764" i="11" s="1"/>
  <c r="B3772" i="11"/>
  <c r="C3772" i="11" s="1"/>
  <c r="B3780" i="11"/>
  <c r="B3788" i="11"/>
  <c r="B3796" i="11"/>
  <c r="D3796" i="11" s="1"/>
  <c r="B3804" i="11"/>
  <c r="B3812" i="11"/>
  <c r="D3812" i="11" s="1"/>
  <c r="B3820" i="11"/>
  <c r="D3820" i="11" s="1"/>
  <c r="B3828" i="11"/>
  <c r="D3828" i="11" s="1"/>
  <c r="B3836" i="11"/>
  <c r="B3844" i="11"/>
  <c r="D3844" i="11" s="1"/>
  <c r="B3852" i="11"/>
  <c r="B3860" i="11"/>
  <c r="D3860" i="11" s="1"/>
  <c r="B3868" i="11"/>
  <c r="C3868" i="11" s="1"/>
  <c r="B3876" i="11"/>
  <c r="D3876" i="11" s="1"/>
  <c r="B3884" i="11"/>
  <c r="B3892" i="11"/>
  <c r="D3892" i="11" s="1"/>
  <c r="B3900" i="11"/>
  <c r="B3908" i="11"/>
  <c r="B3916" i="11"/>
  <c r="B3924" i="11"/>
  <c r="D3924" i="11" s="1"/>
  <c r="B3932" i="11"/>
  <c r="D3932" i="11" s="1"/>
  <c r="B3940" i="11"/>
  <c r="D3940" i="11" s="1"/>
  <c r="B3948" i="11"/>
  <c r="B3956" i="11"/>
  <c r="D3956" i="11" s="1"/>
  <c r="B3964" i="11"/>
  <c r="D3964" i="11" s="1"/>
  <c r="B3972" i="11"/>
  <c r="B3980" i="11"/>
  <c r="C3980" i="11" s="1"/>
  <c r="B3988" i="11"/>
  <c r="D3988" i="11" s="1"/>
  <c r="B3996" i="11"/>
  <c r="B4004" i="11"/>
  <c r="D4004" i="11" s="1"/>
  <c r="B4012" i="11"/>
  <c r="B4020" i="11"/>
  <c r="D4020" i="11" s="1"/>
  <c r="B4028" i="11"/>
  <c r="D4028" i="11" s="1"/>
  <c r="B4036" i="11"/>
  <c r="B4044" i="11"/>
  <c r="B4052" i="11"/>
  <c r="D4052" i="11" s="1"/>
  <c r="B4060" i="11"/>
  <c r="D4060" i="11" s="1"/>
  <c r="B4068" i="11"/>
  <c r="D4068" i="11" s="1"/>
  <c r="B4076" i="11"/>
  <c r="C4076" i="11" s="1"/>
  <c r="B4084" i="11"/>
  <c r="D4084" i="11" s="1"/>
  <c r="B4092" i="11"/>
  <c r="B4100" i="11"/>
  <c r="D4100" i="11" s="1"/>
  <c r="B4108" i="11"/>
  <c r="C4108" i="11" s="1"/>
  <c r="B4116" i="11"/>
  <c r="D4116" i="11" s="1"/>
  <c r="B4124" i="11"/>
  <c r="B4132" i="11"/>
  <c r="D4132" i="11" s="1"/>
  <c r="B4140" i="11"/>
  <c r="B4148" i="11"/>
  <c r="D4148" i="11" s="1"/>
  <c r="B4156" i="11"/>
  <c r="C4156" i="11" s="1"/>
  <c r="B4164" i="11"/>
  <c r="B4172" i="11"/>
  <c r="B4180" i="11"/>
  <c r="D4180" i="11" s="1"/>
  <c r="B4188" i="11"/>
  <c r="B4196" i="11"/>
  <c r="D4196" i="11" s="1"/>
  <c r="B4204" i="11"/>
  <c r="B4212" i="11"/>
  <c r="D4212" i="11" s="1"/>
  <c r="B4220" i="11"/>
  <c r="C4220" i="11" s="1"/>
  <c r="B4228" i="11"/>
  <c r="D4228" i="11" s="1"/>
  <c r="B4236" i="11"/>
  <c r="B4244" i="11"/>
  <c r="D4244" i="11" s="1"/>
  <c r="B4252" i="11"/>
  <c r="C4252" i="11" s="1"/>
  <c r="B4260" i="11"/>
  <c r="D4260" i="11" s="1"/>
  <c r="B4268" i="11"/>
  <c r="B4276" i="11"/>
  <c r="D4276" i="11" s="1"/>
  <c r="B4284" i="11"/>
  <c r="C4284" i="11" s="1"/>
  <c r="B4292" i="11"/>
  <c r="B4300" i="11"/>
  <c r="B4308" i="11"/>
  <c r="D4308" i="11" s="1"/>
  <c r="B4316" i="11"/>
  <c r="C4316" i="11" s="1"/>
  <c r="B4324" i="11"/>
  <c r="B4332" i="11"/>
  <c r="B4340" i="11"/>
  <c r="D4340" i="11" s="1"/>
  <c r="B4348" i="11"/>
  <c r="B4356" i="11"/>
  <c r="D4356" i="11" s="1"/>
  <c r="B4364" i="11"/>
  <c r="B4372" i="11"/>
  <c r="C4372" i="11" s="1"/>
  <c r="B4380" i="11"/>
  <c r="D4380" i="11" s="1"/>
  <c r="B4388" i="11"/>
  <c r="D4388" i="11" s="1"/>
  <c r="B4396" i="11"/>
  <c r="B4404" i="11"/>
  <c r="C4404" i="11" s="1"/>
  <c r="B4412" i="11"/>
  <c r="B4420" i="11"/>
  <c r="B4428" i="11"/>
  <c r="D4428" i="11" s="1"/>
  <c r="B4436" i="11"/>
  <c r="C4436" i="11" s="1"/>
  <c r="B4444" i="11"/>
  <c r="B4452" i="11"/>
  <c r="D4452" i="11" s="1"/>
  <c r="B4460" i="11"/>
  <c r="B4468" i="11"/>
  <c r="C4468" i="11" s="1"/>
  <c r="B4476" i="11"/>
  <c r="C4476" i="11" s="1"/>
  <c r="B4484" i="11"/>
  <c r="B4492" i="11"/>
  <c r="B4500" i="11"/>
  <c r="C4500" i="11" s="1"/>
  <c r="B4508" i="11"/>
  <c r="B4516" i="11"/>
  <c r="D4516" i="11" s="1"/>
  <c r="B4524" i="11"/>
  <c r="B4532" i="11"/>
  <c r="C4532" i="11" s="1"/>
  <c r="B4540" i="11"/>
  <c r="C4540" i="11" s="1"/>
  <c r="B4548" i="11"/>
  <c r="D4548" i="11" s="1"/>
  <c r="B4556" i="11"/>
  <c r="B4564" i="11"/>
  <c r="B4572" i="11"/>
  <c r="D4572" i="11" s="1"/>
  <c r="B4580" i="11"/>
  <c r="D4580" i="11" s="1"/>
  <c r="B4588" i="11"/>
  <c r="D4588" i="11" s="1"/>
  <c r="B4596" i="11"/>
  <c r="B4604" i="11"/>
  <c r="D4604" i="11" s="1"/>
  <c r="B4612" i="11"/>
  <c r="B4620" i="11"/>
  <c r="C4620" i="11" s="1"/>
  <c r="B4628" i="11"/>
  <c r="C4628" i="11" s="1"/>
  <c r="B4636" i="11"/>
  <c r="C4636" i="11" s="1"/>
  <c r="B4644" i="11"/>
  <c r="D4644" i="11" s="1"/>
  <c r="B4652" i="11"/>
  <c r="B4660" i="11"/>
  <c r="C4660" i="11" s="1"/>
  <c r="B4668" i="11"/>
  <c r="D4668" i="11" s="1"/>
  <c r="B4676" i="11"/>
  <c r="D4676" i="11" s="1"/>
  <c r="B4684" i="11"/>
  <c r="D4684" i="11" s="1"/>
  <c r="B4692" i="11"/>
  <c r="B4700" i="11"/>
  <c r="D4700" i="11" s="1"/>
  <c r="B4708" i="11"/>
  <c r="D4708" i="11" s="1"/>
  <c r="B4716" i="11"/>
  <c r="D4716" i="11" s="1"/>
  <c r="B4724" i="11"/>
  <c r="C4724" i="11" s="1"/>
  <c r="B4732" i="11"/>
  <c r="D4732" i="11" s="1"/>
  <c r="B4740" i="11"/>
  <c r="B4748" i="11"/>
  <c r="D4748" i="11" s="1"/>
  <c r="B4756" i="11"/>
  <c r="B4764" i="11"/>
  <c r="C4764" i="11" s="1"/>
  <c r="B4772" i="11"/>
  <c r="D4772" i="11" s="1"/>
  <c r="B4780" i="11"/>
  <c r="D4780" i="11" s="1"/>
  <c r="B4788" i="11"/>
  <c r="B4796" i="11"/>
  <c r="D4796" i="11" s="1"/>
  <c r="B4804" i="11"/>
  <c r="B4812" i="11"/>
  <c r="C4812" i="11" s="1"/>
  <c r="B4820" i="11"/>
  <c r="B4828" i="11"/>
  <c r="D4828" i="11" s="1"/>
  <c r="B4836" i="11"/>
  <c r="D4836" i="11" s="1"/>
  <c r="B4844" i="11"/>
  <c r="B4852" i="11"/>
  <c r="C4852" i="11" s="1"/>
  <c r="B4860" i="11"/>
  <c r="D4860" i="11" s="1"/>
  <c r="B4868" i="11"/>
  <c r="D4868" i="11" s="1"/>
  <c r="B4876" i="11"/>
  <c r="D4876" i="11" s="1"/>
  <c r="B4884" i="11"/>
  <c r="B4892" i="11"/>
  <c r="C4892" i="11" s="1"/>
  <c r="B4900" i="11"/>
  <c r="B4908" i="11"/>
  <c r="B4916" i="11"/>
  <c r="B4924" i="11"/>
  <c r="C4924" i="11" s="1"/>
  <c r="B4932" i="11"/>
  <c r="D4932" i="11" s="1"/>
  <c r="B4940" i="11"/>
  <c r="C4940" i="11" s="1"/>
  <c r="B4948" i="11"/>
  <c r="C4948" i="11" s="1"/>
  <c r="B4956" i="11"/>
  <c r="C4956" i="11" s="1"/>
  <c r="B4964" i="11"/>
  <c r="D4964" i="11" s="1"/>
  <c r="B4972" i="11"/>
  <c r="B4980" i="11"/>
  <c r="C4980" i="11" s="1"/>
  <c r="B4988" i="11"/>
  <c r="C4988" i="11" s="1"/>
  <c r="B4996" i="11"/>
  <c r="D4996" i="11" s="1"/>
  <c r="B5004" i="11"/>
  <c r="D5004" i="11" s="1"/>
  <c r="B5012" i="11"/>
  <c r="B5020" i="11"/>
  <c r="D5020" i="11" s="1"/>
  <c r="B5028" i="11"/>
  <c r="D5028" i="11" s="1"/>
  <c r="B5036" i="11"/>
  <c r="B5044" i="11"/>
  <c r="B5052" i="11"/>
  <c r="C5052" i="11" s="1"/>
  <c r="B5060" i="11"/>
  <c r="B5068" i="11"/>
  <c r="C5068" i="11" s="1"/>
  <c r="B5076" i="11"/>
  <c r="B5084" i="11"/>
  <c r="C5084" i="11" s="1"/>
  <c r="B5092" i="11"/>
  <c r="D5092" i="11" s="1"/>
  <c r="B5100" i="11"/>
  <c r="B5108" i="11"/>
  <c r="B5116" i="11"/>
  <c r="C5116" i="11" s="1"/>
  <c r="B5123" i="11"/>
  <c r="C5123" i="11" s="1"/>
  <c r="B5128" i="11"/>
  <c r="D5128" i="11" s="1"/>
  <c r="B5134" i="11"/>
  <c r="D5134" i="11" s="1"/>
  <c r="B5139" i="11"/>
  <c r="B5144" i="11"/>
  <c r="D5144" i="11" s="1"/>
  <c r="B5150" i="11"/>
  <c r="D5150" i="11" s="1"/>
  <c r="B5155" i="11"/>
  <c r="B5160" i="11"/>
  <c r="D5160" i="11" s="1"/>
  <c r="B5166" i="11"/>
  <c r="D5166" i="11" s="1"/>
  <c r="B5171" i="11"/>
  <c r="B5176" i="11"/>
  <c r="D5176" i="11" s="1"/>
  <c r="B5182" i="11"/>
  <c r="D5182" i="11" s="1"/>
  <c r="B5187" i="11"/>
  <c r="B5192" i="11"/>
  <c r="B5198" i="11"/>
  <c r="B5203" i="11"/>
  <c r="B5208" i="11"/>
  <c r="D5208" i="11" s="1"/>
  <c r="B5214" i="11"/>
  <c r="D5214" i="11" s="1"/>
  <c r="B5219" i="11"/>
  <c r="C5219" i="11" s="1"/>
  <c r="B5224" i="11"/>
  <c r="C5224" i="11" s="1"/>
  <c r="B5230" i="11"/>
  <c r="D5230" i="11" s="1"/>
  <c r="B5235" i="11"/>
  <c r="B5240" i="11"/>
  <c r="D5240" i="11" s="1"/>
  <c r="B5245" i="11"/>
  <c r="D5245" i="11" s="1"/>
  <c r="B5249" i="11"/>
  <c r="D5249" i="11" s="1"/>
  <c r="B5253" i="11"/>
  <c r="D5253" i="11" s="1"/>
  <c r="B5257" i="11"/>
  <c r="B5261" i="11"/>
  <c r="D5261" i="11" s="1"/>
  <c r="B5265" i="11"/>
  <c r="C5265" i="11" s="1"/>
  <c r="B5269" i="11"/>
  <c r="D5269" i="11" s="1"/>
  <c r="B5273" i="11"/>
  <c r="B5277" i="11"/>
  <c r="D5277" i="11" s="1"/>
  <c r="B5281" i="11"/>
  <c r="D5281" i="11" s="1"/>
  <c r="B5285" i="11"/>
  <c r="C5285" i="11" s="1"/>
  <c r="B5289" i="11"/>
  <c r="B5293" i="11"/>
  <c r="D5293" i="11" s="1"/>
  <c r="B5297" i="11"/>
  <c r="C5297" i="11" s="1"/>
  <c r="B5301" i="11"/>
  <c r="D5301" i="11" s="1"/>
  <c r="B5305" i="11"/>
  <c r="B5309" i="11"/>
  <c r="D5309" i="11" s="1"/>
  <c r="B5313" i="11"/>
  <c r="D5313" i="11" s="1"/>
  <c r="B5317" i="11"/>
  <c r="D5317" i="11" s="1"/>
  <c r="B5321" i="11"/>
  <c r="B5325" i="11"/>
  <c r="D5325" i="11" s="1"/>
  <c r="B5329" i="11"/>
  <c r="C5329" i="11" s="1"/>
  <c r="B5333" i="11"/>
  <c r="D5333" i="11" s="1"/>
  <c r="B5337" i="11"/>
  <c r="C5337" i="11" s="1"/>
  <c r="B5341" i="11"/>
  <c r="D5341" i="11" s="1"/>
  <c r="B5345" i="11"/>
  <c r="D5345" i="11" s="1"/>
  <c r="B5349" i="11"/>
  <c r="D5349" i="11" s="1"/>
  <c r="B5353" i="11"/>
  <c r="C5353" i="11" s="1"/>
  <c r="B5357" i="11"/>
  <c r="D5357" i="11" s="1"/>
  <c r="B5361" i="11"/>
  <c r="C5361" i="11" s="1"/>
  <c r="B5365" i="11"/>
  <c r="D5365" i="11" s="1"/>
  <c r="B5369" i="11"/>
  <c r="C5369" i="11" s="1"/>
  <c r="B5373" i="11"/>
  <c r="D5373" i="11" s="1"/>
  <c r="B5377" i="11"/>
  <c r="D5377" i="11" s="1"/>
  <c r="B5381" i="11"/>
  <c r="D5381" i="11" s="1"/>
  <c r="B5385" i="11"/>
  <c r="B5389" i="11"/>
  <c r="D5389" i="11" s="1"/>
  <c r="B5393" i="11"/>
  <c r="B5397" i="11"/>
  <c r="D5397" i="11" s="1"/>
  <c r="B5401" i="11"/>
  <c r="B5405" i="11"/>
  <c r="D5405" i="11" s="1"/>
  <c r="B5409" i="11"/>
  <c r="D5409" i="11" s="1"/>
  <c r="B5413" i="11"/>
  <c r="C5413" i="11" s="1"/>
  <c r="B5417" i="11"/>
  <c r="C5417" i="11" s="1"/>
  <c r="B5421" i="11"/>
  <c r="D5421" i="11" s="1"/>
  <c r="B5425" i="11"/>
  <c r="C5425" i="11" s="1"/>
  <c r="B5429" i="11"/>
  <c r="D5429" i="11" s="1"/>
  <c r="B5433" i="11"/>
  <c r="B5437" i="11"/>
  <c r="D5437" i="11" s="1"/>
  <c r="B5441" i="11"/>
  <c r="D5441" i="11" s="1"/>
  <c r="B5445" i="11"/>
  <c r="D5445" i="11" s="1"/>
  <c r="B5449" i="11"/>
  <c r="B5453" i="11"/>
  <c r="D5453" i="11" s="1"/>
  <c r="B5457" i="11"/>
  <c r="C5457" i="11" s="1"/>
  <c r="B5461" i="11"/>
  <c r="D5461" i="11" s="1"/>
  <c r="B5465" i="11"/>
  <c r="B5469" i="11"/>
  <c r="D5469" i="11" s="1"/>
  <c r="B5473" i="11"/>
  <c r="D5473" i="11" s="1"/>
  <c r="B5477" i="11"/>
  <c r="D5477" i="11" s="1"/>
  <c r="B5481" i="11"/>
  <c r="B5485" i="11"/>
  <c r="D5485" i="11" s="1"/>
  <c r="B5489" i="11"/>
  <c r="C5489" i="11" s="1"/>
  <c r="B5493" i="11"/>
  <c r="D5493" i="11" s="1"/>
  <c r="B5497" i="11"/>
  <c r="C5497" i="11" s="1"/>
  <c r="B5501" i="11"/>
  <c r="D5501" i="11" s="1"/>
  <c r="B5505" i="11"/>
  <c r="D5505" i="11" s="1"/>
  <c r="B5509" i="11"/>
  <c r="D5509" i="11" s="1"/>
  <c r="B5513" i="11"/>
  <c r="B5517" i="11"/>
  <c r="D5517" i="11" s="1"/>
  <c r="B5521" i="11"/>
  <c r="C5521" i="11" s="1"/>
  <c r="B5525" i="11"/>
  <c r="D5525" i="11" s="1"/>
  <c r="B5529" i="11"/>
  <c r="C5529" i="11" s="1"/>
  <c r="B5533" i="11"/>
  <c r="D5533" i="11" s="1"/>
  <c r="B5537" i="11"/>
  <c r="D5537" i="11" s="1"/>
  <c r="B5541" i="11"/>
  <c r="B5545" i="11"/>
  <c r="B5549" i="11"/>
  <c r="B5553" i="11"/>
  <c r="C5553" i="11" s="1"/>
  <c r="B5557" i="11"/>
  <c r="B5561" i="11"/>
  <c r="B5565" i="11"/>
  <c r="B5569" i="11"/>
  <c r="C5569" i="11" s="1"/>
  <c r="B5573" i="11"/>
  <c r="B5577" i="11"/>
  <c r="C5577" i="11" s="1"/>
  <c r="B5581" i="11"/>
  <c r="B5585" i="11"/>
  <c r="C5585" i="11" s="1"/>
  <c r="B5589" i="11"/>
  <c r="B5593" i="11"/>
  <c r="C5593" i="11" s="1"/>
  <c r="B5597" i="11"/>
  <c r="B5601" i="11"/>
  <c r="C5601" i="11" s="1"/>
  <c r="B5605" i="11"/>
  <c r="B5609" i="11"/>
  <c r="B5613" i="11"/>
  <c r="B5617" i="11"/>
  <c r="C5617" i="11" s="1"/>
  <c r="B5621" i="11"/>
  <c r="D5621" i="11" s="1"/>
  <c r="B5625" i="11"/>
  <c r="B5629" i="11"/>
  <c r="C5629" i="11" s="1"/>
  <c r="B5633" i="11"/>
  <c r="B5637" i="11"/>
  <c r="B5641" i="11"/>
  <c r="C5641" i="11" s="1"/>
  <c r="B5645" i="11"/>
  <c r="B5649" i="11"/>
  <c r="C5649" i="11" s="1"/>
  <c r="B5653" i="11"/>
  <c r="B5657" i="11"/>
  <c r="D5657" i="11" s="1"/>
  <c r="B5661" i="11"/>
  <c r="B5665" i="11"/>
  <c r="C5665" i="11" s="1"/>
  <c r="B5669" i="11"/>
  <c r="B5673" i="11"/>
  <c r="B5677" i="11"/>
  <c r="B5681" i="11"/>
  <c r="D5681" i="11" s="1"/>
  <c r="B5685" i="11"/>
  <c r="B5689" i="11"/>
  <c r="B5693" i="11"/>
  <c r="D5693" i="11" s="1"/>
  <c r="B5697" i="11"/>
  <c r="C5697" i="11" s="1"/>
  <c r="B5701" i="11"/>
  <c r="D5701" i="11" s="1"/>
  <c r="B5705" i="11"/>
  <c r="B5709" i="11"/>
  <c r="B5713" i="11"/>
  <c r="D5713" i="11" s="1"/>
  <c r="B5717" i="11"/>
  <c r="B5721" i="11"/>
  <c r="C5721" i="11" s="1"/>
  <c r="B5725" i="11"/>
  <c r="D5725" i="11" s="1"/>
  <c r="B5729" i="11"/>
  <c r="D5729" i="11" s="1"/>
  <c r="B5733" i="11"/>
  <c r="B5737" i="11"/>
  <c r="B5741" i="11"/>
  <c r="B5745" i="11"/>
  <c r="D5745" i="11" s="1"/>
  <c r="B5749" i="11"/>
  <c r="B5753" i="11"/>
  <c r="B5757" i="11"/>
  <c r="B5761" i="11"/>
  <c r="B5765" i="11"/>
  <c r="B5769" i="11"/>
  <c r="B5773" i="11"/>
  <c r="B5777" i="11"/>
  <c r="D5777" i="11" s="1"/>
  <c r="B5781" i="11"/>
  <c r="C5781" i="11" s="1"/>
  <c r="B5785" i="11"/>
  <c r="D5785" i="11" s="1"/>
  <c r="B5789" i="11"/>
  <c r="C5789" i="11" s="1"/>
  <c r="B5793" i="11"/>
  <c r="C5793" i="11" s="1"/>
  <c r="B5797" i="11"/>
  <c r="C5797" i="11" s="1"/>
  <c r="B5801" i="11"/>
  <c r="D5801" i="11" s="1"/>
  <c r="B5805" i="11"/>
  <c r="B5809" i="11"/>
  <c r="C5809" i="11" s="1"/>
  <c r="B5813" i="11"/>
  <c r="C5813" i="11" s="1"/>
  <c r="B5817" i="11"/>
  <c r="B5821" i="11"/>
  <c r="B5825" i="11"/>
  <c r="D5825" i="11" s="1"/>
  <c r="B5829" i="11"/>
  <c r="C5829" i="11" s="1"/>
  <c r="B5833" i="11"/>
  <c r="D5833" i="11" s="1"/>
  <c r="B5837" i="11"/>
  <c r="B5841" i="11"/>
  <c r="D5841" i="11" s="1"/>
  <c r="B5845" i="11"/>
  <c r="C5845" i="11" s="1"/>
  <c r="B5849" i="11"/>
  <c r="D5849" i="11" s="1"/>
  <c r="B5853" i="11"/>
  <c r="C5853" i="11" s="1"/>
  <c r="B5857" i="11"/>
  <c r="C5857" i="11" s="1"/>
  <c r="B5861" i="11"/>
  <c r="C5861" i="11" s="1"/>
  <c r="B5865" i="11"/>
  <c r="D5865" i="11" s="1"/>
  <c r="B5869" i="11"/>
  <c r="B5873" i="11"/>
  <c r="C5873" i="11" s="1"/>
  <c r="B5877" i="11"/>
  <c r="C5877" i="11" s="1"/>
  <c r="B5881" i="11"/>
  <c r="B5885" i="11"/>
  <c r="B5889" i="11"/>
  <c r="D5889" i="11" s="1"/>
  <c r="B5893" i="11"/>
  <c r="B5897" i="11"/>
  <c r="D5897" i="11" s="1"/>
  <c r="B5901" i="11"/>
  <c r="B5905" i="11"/>
  <c r="D5905" i="11" s="1"/>
  <c r="B5909" i="11"/>
  <c r="C5909" i="11" s="1"/>
  <c r="B5913" i="11"/>
  <c r="B5917" i="11"/>
  <c r="C5917" i="11" s="1"/>
  <c r="B5921" i="11"/>
  <c r="C5921" i="11" s="1"/>
  <c r="B5925" i="11"/>
  <c r="C5925" i="11" s="1"/>
  <c r="B5929" i="11"/>
  <c r="D5929" i="11" s="1"/>
  <c r="B5933" i="11"/>
  <c r="B5937" i="11"/>
  <c r="C5937" i="11" s="1"/>
  <c r="B5941" i="11"/>
  <c r="C5941" i="11" s="1"/>
  <c r="B5945" i="11"/>
  <c r="B5949" i="11"/>
  <c r="B5953" i="11"/>
  <c r="D5953" i="11" s="1"/>
  <c r="B5957" i="11"/>
  <c r="C5957" i="11" s="1"/>
  <c r="B5961" i="11"/>
  <c r="D5961" i="11" s="1"/>
  <c r="B5965" i="11"/>
  <c r="B5969" i="11"/>
  <c r="D5969" i="11" s="1"/>
  <c r="B5973" i="11"/>
  <c r="C5973" i="11" s="1"/>
  <c r="B5977" i="11"/>
  <c r="B5981" i="11"/>
  <c r="C5981" i="11" s="1"/>
  <c r="B5985" i="11"/>
  <c r="B5989" i="11"/>
  <c r="C5989" i="11" s="1"/>
  <c r="B5993" i="11"/>
  <c r="D5993" i="11" s="1"/>
  <c r="B5997" i="11"/>
  <c r="B6001" i="11"/>
  <c r="C6001" i="11" s="1"/>
  <c r="B6005" i="11"/>
  <c r="C6005" i="11" s="1"/>
  <c r="B6009" i="11"/>
  <c r="B6013" i="11"/>
  <c r="B6017" i="11"/>
  <c r="D6017" i="11" s="1"/>
  <c r="B6021" i="11"/>
  <c r="B6025" i="11"/>
  <c r="D6025" i="11" s="1"/>
  <c r="B6029" i="11"/>
  <c r="B6033" i="11"/>
  <c r="D6033" i="11" s="1"/>
  <c r="B6037" i="11"/>
  <c r="C6037" i="11" s="1"/>
  <c r="B6041" i="11"/>
  <c r="B6045" i="11"/>
  <c r="C6045" i="11" s="1"/>
  <c r="B6049" i="11"/>
  <c r="C6049" i="11" s="1"/>
  <c r="B6053" i="11"/>
  <c r="C6053" i="11" s="1"/>
  <c r="B6057" i="11"/>
  <c r="D6057" i="11" s="1"/>
  <c r="B6061" i="11"/>
  <c r="B6065" i="11"/>
  <c r="C6065" i="11" s="1"/>
  <c r="B6069" i="11"/>
  <c r="C6069" i="11" s="1"/>
  <c r="B6073" i="11"/>
  <c r="D6073" i="11" s="1"/>
  <c r="B6077" i="11"/>
  <c r="B6081" i="11"/>
  <c r="D6081" i="11" s="1"/>
  <c r="B6085" i="11"/>
  <c r="C6085" i="11" s="1"/>
  <c r="B6089" i="11"/>
  <c r="D6089" i="11" s="1"/>
  <c r="B6093" i="11"/>
  <c r="B6097" i="11"/>
  <c r="D6097" i="11" s="1"/>
  <c r="B6101" i="11"/>
  <c r="C6101" i="11" s="1"/>
  <c r="B6105" i="11"/>
  <c r="B6109" i="11"/>
  <c r="C6109" i="11" s="1"/>
  <c r="B6113" i="11"/>
  <c r="C6113" i="11" s="1"/>
  <c r="B6117" i="11"/>
  <c r="C6117" i="11" s="1"/>
  <c r="B6121" i="11"/>
  <c r="D6121" i="11" s="1"/>
  <c r="B6125" i="11"/>
  <c r="B6129" i="11"/>
  <c r="C6129" i="11" s="1"/>
  <c r="B6133" i="11"/>
  <c r="C6133" i="11" s="1"/>
  <c r="B6137" i="11"/>
  <c r="B6141" i="11"/>
  <c r="B6145" i="11"/>
  <c r="D6145" i="11" s="1"/>
  <c r="B6149" i="11"/>
  <c r="B6153" i="11"/>
  <c r="D6153" i="11" s="1"/>
  <c r="B6157" i="11"/>
  <c r="B6161" i="11"/>
  <c r="D6161" i="11" s="1"/>
  <c r="B6165" i="11"/>
  <c r="C6165" i="11" s="1"/>
  <c r="B6169" i="11"/>
  <c r="B6173" i="11"/>
  <c r="C6173" i="11" s="1"/>
  <c r="B6177" i="11"/>
  <c r="B6181" i="11"/>
  <c r="C6181" i="11" s="1"/>
  <c r="B6185" i="11"/>
  <c r="D6185" i="11" s="1"/>
  <c r="B6189" i="11"/>
  <c r="B6193" i="11"/>
  <c r="C6193" i="11" s="1"/>
  <c r="B6197" i="11"/>
  <c r="C6197" i="11" s="1"/>
  <c r="B6201" i="11"/>
  <c r="D6201" i="11" s="1"/>
  <c r="B6205" i="11"/>
  <c r="B6209" i="11"/>
  <c r="D6209" i="11" s="1"/>
  <c r="B6213" i="11"/>
  <c r="C6213" i="11" s="1"/>
  <c r="B6217" i="11"/>
  <c r="D6217" i="11" s="1"/>
  <c r="B6221" i="11"/>
  <c r="B6225" i="11"/>
  <c r="D6225" i="11" s="1"/>
  <c r="B6229" i="11"/>
  <c r="C6229" i="11" s="1"/>
  <c r="B6233" i="11"/>
  <c r="B6237" i="11"/>
  <c r="C6237" i="11" s="1"/>
  <c r="B6241" i="11"/>
  <c r="B6245" i="11"/>
  <c r="B6249" i="11"/>
  <c r="D6249" i="11" s="1"/>
  <c r="B6253" i="11"/>
  <c r="B6257" i="11"/>
  <c r="C6257" i="11" s="1"/>
  <c r="B6261" i="11"/>
  <c r="C6261" i="11" s="1"/>
  <c r="B6265" i="11"/>
  <c r="B6269" i="11"/>
  <c r="B6273" i="11"/>
  <c r="D6273" i="11" s="1"/>
  <c r="B6277" i="11"/>
  <c r="B6281" i="11"/>
  <c r="D6281" i="11" s="1"/>
  <c r="B6285" i="11"/>
  <c r="B6289" i="11"/>
  <c r="D6289" i="11" s="1"/>
  <c r="B6293" i="11"/>
  <c r="C6293" i="11" s="1"/>
  <c r="B6297" i="11"/>
  <c r="B6301" i="11"/>
  <c r="B6305" i="11"/>
  <c r="C6305" i="11" s="1"/>
  <c r="B6309" i="11"/>
  <c r="C6309" i="11" s="1"/>
  <c r="B6313" i="11"/>
  <c r="D6313" i="11" s="1"/>
  <c r="B6317" i="11"/>
  <c r="B6321" i="11"/>
  <c r="C6321" i="11" s="1"/>
  <c r="B6325" i="11"/>
  <c r="C6325" i="11" s="1"/>
  <c r="B6329" i="11"/>
  <c r="B6333" i="11"/>
  <c r="B6337" i="11"/>
  <c r="D6337" i="11" s="1"/>
  <c r="B6341" i="11"/>
  <c r="C6341" i="11" s="1"/>
  <c r="B6345" i="11"/>
  <c r="D6345" i="11" s="1"/>
  <c r="B6349" i="11"/>
  <c r="B6353" i="11"/>
  <c r="D6353" i="11" s="1"/>
  <c r="B6357" i="11"/>
  <c r="C6357" i="11" s="1"/>
  <c r="B6361" i="11"/>
  <c r="B6365" i="11"/>
  <c r="B6369" i="11"/>
  <c r="C6369" i="11" s="1"/>
  <c r="B6373" i="11"/>
  <c r="C6373" i="11" s="1"/>
  <c r="B6377" i="11"/>
  <c r="D6377" i="11" s="1"/>
  <c r="B6381" i="11"/>
  <c r="B6385" i="11"/>
  <c r="C6385" i="11" s="1"/>
  <c r="B6389" i="11"/>
  <c r="C6389" i="11" s="1"/>
  <c r="B6393" i="11"/>
  <c r="D6393" i="11" s="1"/>
  <c r="B6397" i="11"/>
  <c r="B6401" i="11"/>
  <c r="D6401" i="11" s="1"/>
  <c r="B6405" i="11"/>
  <c r="B6409" i="11"/>
  <c r="D6409" i="11" s="1"/>
  <c r="B6413" i="11"/>
  <c r="B6417" i="11"/>
  <c r="D6417" i="11" s="1"/>
  <c r="B6421" i="11"/>
  <c r="C6421" i="11" s="1"/>
  <c r="B6425" i="11"/>
  <c r="B6429" i="11"/>
  <c r="B6433" i="11"/>
  <c r="C6433" i="11" s="1"/>
  <c r="B6437" i="11"/>
  <c r="C6437" i="11" s="1"/>
  <c r="B6441" i="11"/>
  <c r="D6441" i="11" s="1"/>
  <c r="B6445" i="11"/>
  <c r="B6449" i="11"/>
  <c r="C6449" i="11" s="1"/>
  <c r="B6453" i="11"/>
  <c r="C6453" i="11" s="1"/>
  <c r="B6457" i="11"/>
  <c r="B6461" i="11"/>
  <c r="B6465" i="11"/>
  <c r="D6465" i="11" s="1"/>
  <c r="B6469" i="11"/>
  <c r="C6469" i="11" s="1"/>
  <c r="B6473" i="11"/>
  <c r="D6473" i="11" s="1"/>
  <c r="B6477" i="11"/>
  <c r="B6481" i="11"/>
  <c r="D6481" i="11" s="1"/>
  <c r="B6485" i="11"/>
  <c r="C6485" i="11" s="1"/>
  <c r="B6489" i="11"/>
  <c r="B6493" i="11"/>
  <c r="B6497" i="11"/>
  <c r="B6501" i="11"/>
  <c r="C6501" i="11" s="1"/>
  <c r="B6505" i="11"/>
  <c r="D6505" i="11" s="1"/>
  <c r="B6509" i="11"/>
  <c r="B6513" i="11"/>
  <c r="C6513" i="11" s="1"/>
  <c r="B6517" i="11"/>
  <c r="C6517" i="11" s="1"/>
  <c r="B6521" i="11"/>
  <c r="D6521" i="11" s="1"/>
  <c r="B6525" i="11"/>
  <c r="B6529" i="11"/>
  <c r="D6529" i="11" s="1"/>
  <c r="B6533" i="11"/>
  <c r="B6537" i="11"/>
  <c r="D6537" i="11" s="1"/>
  <c r="B6541" i="11"/>
  <c r="B6545" i="11"/>
  <c r="D6545" i="11" s="1"/>
  <c r="B6549" i="11"/>
  <c r="C6549" i="11" s="1"/>
  <c r="B6553" i="11"/>
  <c r="B6557" i="11"/>
  <c r="B6561" i="11"/>
  <c r="B6565" i="11"/>
  <c r="C6565" i="11" s="1"/>
  <c r="B6569" i="11"/>
  <c r="D6569" i="11" s="1"/>
  <c r="B6573" i="11"/>
  <c r="B412" i="11"/>
  <c r="D412" i="11" s="1"/>
  <c r="B640" i="11"/>
  <c r="C640" i="11" s="1"/>
  <c r="B824" i="11"/>
  <c r="D824" i="11" s="1"/>
  <c r="B962" i="11"/>
  <c r="B1090" i="11"/>
  <c r="D1090" i="11" s="1"/>
  <c r="B1180" i="11"/>
  <c r="B1239" i="11"/>
  <c r="D1239" i="11" s="1"/>
  <c r="B1295" i="11"/>
  <c r="B1351" i="11"/>
  <c r="D1351" i="11" s="1"/>
  <c r="B1410" i="11"/>
  <c r="B1466" i="11"/>
  <c r="B1522" i="11"/>
  <c r="B1580" i="11"/>
  <c r="B1636" i="11"/>
  <c r="B1673" i="11"/>
  <c r="B1702" i="11"/>
  <c r="D1702" i="11" s="1"/>
  <c r="B1730" i="11"/>
  <c r="B1758" i="11"/>
  <c r="B1788" i="11"/>
  <c r="D1788" i="11" s="1"/>
  <c r="B1816" i="11"/>
  <c r="B1844" i="11"/>
  <c r="B1873" i="11"/>
  <c r="B1901" i="11"/>
  <c r="B1929" i="11"/>
  <c r="D1929" i="11" s="1"/>
  <c r="B1958" i="11"/>
  <c r="B1986" i="11"/>
  <c r="B2014" i="11"/>
  <c r="D2014" i="11" s="1"/>
  <c r="B2044" i="11"/>
  <c r="D2044" i="11" s="1"/>
  <c r="B2072" i="11"/>
  <c r="B2097" i="11"/>
  <c r="D2097" i="11" s="1"/>
  <c r="B2118" i="11"/>
  <c r="D2118" i="11" s="1"/>
  <c r="B2140" i="11"/>
  <c r="C2140" i="11" s="1"/>
  <c r="B2161" i="11"/>
  <c r="B2182" i="11"/>
  <c r="B2204" i="11"/>
  <c r="C2204" i="11" s="1"/>
  <c r="B2225" i="11"/>
  <c r="C2225" i="11" s="1"/>
  <c r="B2246" i="11"/>
  <c r="B2268" i="11"/>
  <c r="B2289" i="11"/>
  <c r="D2289" i="11" s="1"/>
  <c r="B2310" i="11"/>
  <c r="B2326" i="11"/>
  <c r="C2326" i="11" s="1"/>
  <c r="B2342" i="11"/>
  <c r="B2358" i="11"/>
  <c r="D2358" i="11" s="1"/>
  <c r="B2374" i="11"/>
  <c r="D2374" i="11" s="1"/>
  <c r="B2390" i="11"/>
  <c r="B2406" i="11"/>
  <c r="B2422" i="11"/>
  <c r="B2438" i="11"/>
  <c r="C2438" i="11" s="1"/>
  <c r="B2454" i="11"/>
  <c r="B2470" i="11"/>
  <c r="B2486" i="11"/>
  <c r="B2502" i="11"/>
  <c r="B2518" i="11"/>
  <c r="B2534" i="11"/>
  <c r="B2550" i="11"/>
  <c r="D2550" i="11" s="1"/>
  <c r="B2566" i="11"/>
  <c r="B2582" i="11"/>
  <c r="B2598" i="11"/>
  <c r="B2614" i="11"/>
  <c r="B2630" i="11"/>
  <c r="D2630" i="11" s="1"/>
  <c r="B2646" i="11"/>
  <c r="D2646" i="11" s="1"/>
  <c r="B2662" i="11"/>
  <c r="B2678" i="11"/>
  <c r="D2678" i="11" s="1"/>
  <c r="B2694" i="11"/>
  <c r="B2710" i="11"/>
  <c r="B2726" i="11"/>
  <c r="B2742" i="11"/>
  <c r="B2758" i="11"/>
  <c r="C2758" i="11" s="1"/>
  <c r="B2774" i="11"/>
  <c r="B2790" i="11"/>
  <c r="B2806" i="11"/>
  <c r="D2806" i="11" s="1"/>
  <c r="B2822" i="11"/>
  <c r="B2838" i="11"/>
  <c r="D2838" i="11" s="1"/>
  <c r="B2854" i="11"/>
  <c r="C2854" i="11" s="1"/>
  <c r="B2870" i="11"/>
  <c r="B2886" i="11"/>
  <c r="B2902" i="11"/>
  <c r="D2902" i="11" s="1"/>
  <c r="B2918" i="11"/>
  <c r="B2934" i="11"/>
  <c r="B2950" i="11"/>
  <c r="B2966" i="11"/>
  <c r="D2966" i="11" s="1"/>
  <c r="B2982" i="11"/>
  <c r="C2982" i="11" s="1"/>
  <c r="B2998" i="11"/>
  <c r="C2998" i="11" s="1"/>
  <c r="B3014" i="11"/>
  <c r="B3030" i="11"/>
  <c r="B3043" i="11"/>
  <c r="C3043" i="11" s="1"/>
  <c r="B3054" i="11"/>
  <c r="D3054" i="11" s="1"/>
  <c r="B3064" i="11"/>
  <c r="B3075" i="11"/>
  <c r="C3075" i="11" s="1"/>
  <c r="B3086" i="11"/>
  <c r="B3096" i="11"/>
  <c r="B3107" i="11"/>
  <c r="B3118" i="11"/>
  <c r="B3128" i="11"/>
  <c r="C3128" i="11" s="1"/>
  <c r="B3139" i="11"/>
  <c r="C3139" i="11" s="1"/>
  <c r="B3150" i="11"/>
  <c r="D3150" i="11" s="1"/>
  <c r="B3160" i="11"/>
  <c r="D3160" i="11" s="1"/>
  <c r="B3171" i="11"/>
  <c r="B3182" i="11"/>
  <c r="B3192" i="11"/>
  <c r="D3192" i="11" s="1"/>
  <c r="B3203" i="11"/>
  <c r="B3214" i="11"/>
  <c r="B3224" i="11"/>
  <c r="D3224" i="11" s="1"/>
  <c r="B3235" i="11"/>
  <c r="B3246" i="11"/>
  <c r="B3256" i="11"/>
  <c r="C3256" i="11" s="1"/>
  <c r="B3267" i="11"/>
  <c r="B3278" i="11"/>
  <c r="B3288" i="11"/>
  <c r="D3288" i="11" s="1"/>
  <c r="B3299" i="11"/>
  <c r="B3310" i="11"/>
  <c r="B3320" i="11"/>
  <c r="D3320" i="11" s="1"/>
  <c r="B3331" i="11"/>
  <c r="C3331" i="11" s="1"/>
  <c r="B3342" i="11"/>
  <c r="C3342" i="11" s="1"/>
  <c r="B3352" i="11"/>
  <c r="D3352" i="11" s="1"/>
  <c r="B3363" i="11"/>
  <c r="B3374" i="11"/>
  <c r="C3374" i="11" s="1"/>
  <c r="B3384" i="11"/>
  <c r="D3384" i="11" s="1"/>
  <c r="B3395" i="11"/>
  <c r="C3395" i="11" s="1"/>
  <c r="B3406" i="11"/>
  <c r="D3406" i="11" s="1"/>
  <c r="B3416" i="11"/>
  <c r="D3416" i="11" s="1"/>
  <c r="B3427" i="11"/>
  <c r="B3438" i="11"/>
  <c r="B3448" i="11"/>
  <c r="C3448" i="11" s="1"/>
  <c r="B3459" i="11"/>
  <c r="B3470" i="11"/>
  <c r="B3480" i="11"/>
  <c r="D3480" i="11" s="1"/>
  <c r="B3491" i="11"/>
  <c r="B3502" i="11"/>
  <c r="B3512" i="11"/>
  <c r="B3523" i="11"/>
  <c r="C3523" i="11" s="1"/>
  <c r="B3534" i="11"/>
  <c r="B3544" i="11"/>
  <c r="D3544" i="11" s="1"/>
  <c r="B3555" i="11"/>
  <c r="B3566" i="11"/>
  <c r="C3566" i="11" s="1"/>
  <c r="B3576" i="11"/>
  <c r="D3576" i="11" s="1"/>
  <c r="B3587" i="11"/>
  <c r="B3598" i="11"/>
  <c r="C3598" i="11" s="1"/>
  <c r="B3608" i="11"/>
  <c r="B3619" i="11"/>
  <c r="B3630" i="11"/>
  <c r="C3630" i="11" s="1"/>
  <c r="B3640" i="11"/>
  <c r="C3640" i="11" s="1"/>
  <c r="B3651" i="11"/>
  <c r="C3651" i="11" s="1"/>
  <c r="B3662" i="11"/>
  <c r="B3672" i="11"/>
  <c r="D3672" i="11" s="1"/>
  <c r="B3680" i="11"/>
  <c r="D3680" i="11" s="1"/>
  <c r="B3688" i="11"/>
  <c r="B3696" i="11"/>
  <c r="C3696" i="11" s="1"/>
  <c r="B3704" i="11"/>
  <c r="D3704" i="11" s="1"/>
  <c r="B3712" i="11"/>
  <c r="D3712" i="11" s="1"/>
  <c r="B3720" i="11"/>
  <c r="B3728" i="11"/>
  <c r="C3728" i="11" s="1"/>
  <c r="B3736" i="11"/>
  <c r="D3736" i="11" s="1"/>
  <c r="B3744" i="11"/>
  <c r="D3744" i="11" s="1"/>
  <c r="B3752" i="11"/>
  <c r="D3752" i="11" s="1"/>
  <c r="B3760" i="11"/>
  <c r="C3760" i="11" s="1"/>
  <c r="B3768" i="11"/>
  <c r="D3768" i="11" s="1"/>
  <c r="B3776" i="11"/>
  <c r="B3784" i="11"/>
  <c r="B3792" i="11"/>
  <c r="D3792" i="11" s="1"/>
  <c r="B3800" i="11"/>
  <c r="D3800" i="11" s="1"/>
  <c r="B3808" i="11"/>
  <c r="D3808" i="11" s="1"/>
  <c r="B3816" i="11"/>
  <c r="D3816" i="11" s="1"/>
  <c r="B3824" i="11"/>
  <c r="C3824" i="11" s="1"/>
  <c r="B3832" i="11"/>
  <c r="D3832" i="11" s="1"/>
  <c r="B3840" i="11"/>
  <c r="D3840" i="11" s="1"/>
  <c r="B3848" i="11"/>
  <c r="D3848" i="11" s="1"/>
  <c r="B3856" i="11"/>
  <c r="C3856" i="11" s="1"/>
  <c r="B3864" i="11"/>
  <c r="D3864" i="11" s="1"/>
  <c r="B3872" i="11"/>
  <c r="D3872" i="11" s="1"/>
  <c r="B3880" i="11"/>
  <c r="D3880" i="11" s="1"/>
  <c r="B3888" i="11"/>
  <c r="C3888" i="11" s="1"/>
  <c r="B3896" i="11"/>
  <c r="D3896" i="11" s="1"/>
  <c r="B3904" i="11"/>
  <c r="B3912" i="11"/>
  <c r="B3920" i="11"/>
  <c r="D3920" i="11" s="1"/>
  <c r="B3928" i="11"/>
  <c r="D3928" i="11" s="1"/>
  <c r="B3936" i="11"/>
  <c r="B3944" i="11"/>
  <c r="D3944" i="11" s="1"/>
  <c r="B3952" i="11"/>
  <c r="C3952" i="11" s="1"/>
  <c r="B3960" i="11"/>
  <c r="D3960" i="11" s="1"/>
  <c r="B3968" i="11"/>
  <c r="D3968" i="11" s="1"/>
  <c r="B3976" i="11"/>
  <c r="B3984" i="11"/>
  <c r="C3984" i="11" s="1"/>
  <c r="B3992" i="11"/>
  <c r="D3992" i="11" s="1"/>
  <c r="B4000" i="11"/>
  <c r="D4000" i="11" s="1"/>
  <c r="B4008" i="11"/>
  <c r="D4008" i="11" s="1"/>
  <c r="B4016" i="11"/>
  <c r="C4016" i="11" s="1"/>
  <c r="B4024" i="11"/>
  <c r="D4024" i="11" s="1"/>
  <c r="B4032" i="11"/>
  <c r="B4040" i="11"/>
  <c r="B4048" i="11"/>
  <c r="D4048" i="11" s="1"/>
  <c r="B4056" i="11"/>
  <c r="D4056" i="11" s="1"/>
  <c r="B4064" i="11"/>
  <c r="D4064" i="11" s="1"/>
  <c r="B4072" i="11"/>
  <c r="B4080" i="11"/>
  <c r="C4080" i="11" s="1"/>
  <c r="B4088" i="11"/>
  <c r="D4088" i="11" s="1"/>
  <c r="B4096" i="11"/>
  <c r="D4096" i="11" s="1"/>
  <c r="B4104" i="11"/>
  <c r="B4112" i="11"/>
  <c r="C4112" i="11" s="1"/>
  <c r="B4120" i="11"/>
  <c r="D4120" i="11" s="1"/>
  <c r="B4128" i="11"/>
  <c r="D4128" i="11" s="1"/>
  <c r="B4136" i="11"/>
  <c r="B4144" i="11"/>
  <c r="C4144" i="11" s="1"/>
  <c r="B4152" i="11"/>
  <c r="D4152" i="11" s="1"/>
  <c r="B4160" i="11"/>
  <c r="B4168" i="11"/>
  <c r="D4168" i="11" s="1"/>
  <c r="B4176" i="11"/>
  <c r="D4176" i="11" s="1"/>
  <c r="B4184" i="11"/>
  <c r="D4184" i="11" s="1"/>
  <c r="B4192" i="11"/>
  <c r="D4192" i="11" s="1"/>
  <c r="B4200" i="11"/>
  <c r="B4208" i="11"/>
  <c r="C4208" i="11" s="1"/>
  <c r="B4216" i="11"/>
  <c r="D4216" i="11" s="1"/>
  <c r="B4224" i="11"/>
  <c r="D4224" i="11" s="1"/>
  <c r="B4232" i="11"/>
  <c r="B4240" i="11"/>
  <c r="C4240" i="11" s="1"/>
  <c r="B4248" i="11"/>
  <c r="B4256" i="11"/>
  <c r="D4256" i="11" s="1"/>
  <c r="B4264" i="11"/>
  <c r="B4272" i="11"/>
  <c r="C4272" i="11" s="1"/>
  <c r="B4280" i="11"/>
  <c r="D4280" i="11" s="1"/>
  <c r="B4288" i="11"/>
  <c r="B4296" i="11"/>
  <c r="B4304" i="11"/>
  <c r="D4304" i="11" s="1"/>
  <c r="B4312" i="11"/>
  <c r="D4312" i="11" s="1"/>
  <c r="B4320" i="11"/>
  <c r="D4320" i="11" s="1"/>
  <c r="B4328" i="11"/>
  <c r="B4336" i="11"/>
  <c r="C4336" i="11" s="1"/>
  <c r="B4344" i="11"/>
  <c r="D4344" i="11" s="1"/>
  <c r="B4352" i="11"/>
  <c r="D4352" i="11" s="1"/>
  <c r="B4360" i="11"/>
  <c r="D4360" i="11" s="1"/>
  <c r="B4368" i="11"/>
  <c r="C4368" i="11" s="1"/>
  <c r="B4376" i="11"/>
  <c r="D4376" i="11" s="1"/>
  <c r="B4384" i="11"/>
  <c r="D4384" i="11" s="1"/>
  <c r="B4392" i="11"/>
  <c r="B4400" i="11"/>
  <c r="C4400" i="11" s="1"/>
  <c r="B4408" i="11"/>
  <c r="D4408" i="11" s="1"/>
  <c r="B4416" i="11"/>
  <c r="B4424" i="11"/>
  <c r="D4424" i="11" s="1"/>
  <c r="B4432" i="11"/>
  <c r="D4432" i="11" s="1"/>
  <c r="B4440" i="11"/>
  <c r="D4440" i="11" s="1"/>
  <c r="B4448" i="11"/>
  <c r="B4456" i="11"/>
  <c r="D4456" i="11" s="1"/>
  <c r="B4464" i="11"/>
  <c r="C4464" i="11" s="1"/>
  <c r="B4472" i="11"/>
  <c r="D4472" i="11" s="1"/>
  <c r="B4480" i="11"/>
  <c r="D4480" i="11" s="1"/>
  <c r="B4488" i="11"/>
  <c r="D4488" i="11" s="1"/>
  <c r="B4496" i="11"/>
  <c r="C4496" i="11" s="1"/>
  <c r="B4504" i="11"/>
  <c r="D4504" i="11" s="1"/>
  <c r="B4512" i="11"/>
  <c r="D4512" i="11" s="1"/>
  <c r="B4520" i="11"/>
  <c r="B4528" i="11"/>
  <c r="C4528" i="11" s="1"/>
  <c r="B4536" i="11"/>
  <c r="D4536" i="11" s="1"/>
  <c r="B4544" i="11"/>
  <c r="B4552" i="11"/>
  <c r="D4552" i="11" s="1"/>
  <c r="B4560" i="11"/>
  <c r="C4560" i="11" s="1"/>
  <c r="B4568" i="11"/>
  <c r="D4568" i="11" s="1"/>
  <c r="B4576" i="11"/>
  <c r="D4576" i="11" s="1"/>
  <c r="B4584" i="11"/>
  <c r="D4584" i="11" s="1"/>
  <c r="B4592" i="11"/>
  <c r="D4592" i="11" s="1"/>
  <c r="B4600" i="11"/>
  <c r="B4608" i="11"/>
  <c r="C4608" i="11" s="1"/>
  <c r="B4616" i="11"/>
  <c r="D4616" i="11" s="1"/>
  <c r="B4624" i="11"/>
  <c r="C4624" i="11" s="1"/>
  <c r="B4632" i="11"/>
  <c r="D4632" i="11" s="1"/>
  <c r="B4640" i="11"/>
  <c r="D4640" i="11" s="1"/>
  <c r="B4648" i="11"/>
  <c r="D4648" i="11" s="1"/>
  <c r="B4656" i="11"/>
  <c r="D4656" i="11" s="1"/>
  <c r="B4664" i="11"/>
  <c r="D4664" i="11" s="1"/>
  <c r="B4672" i="11"/>
  <c r="C4672" i="11" s="1"/>
  <c r="B4680" i="11"/>
  <c r="D4680" i="11" s="1"/>
  <c r="B4688" i="11"/>
  <c r="C4688" i="11" s="1"/>
  <c r="B4696" i="11"/>
  <c r="B4704" i="11"/>
  <c r="D4704" i="11" s="1"/>
  <c r="B4712" i="11"/>
  <c r="D4712" i="11" s="1"/>
  <c r="B4720" i="11"/>
  <c r="D4720" i="11" s="1"/>
  <c r="B4728" i="11"/>
  <c r="D4728" i="11" s="1"/>
  <c r="B4736" i="11"/>
  <c r="C4736" i="11" s="1"/>
  <c r="B4744" i="11"/>
  <c r="D4744" i="11" s="1"/>
  <c r="B4752" i="11"/>
  <c r="C4752" i="11" s="1"/>
  <c r="B4760" i="11"/>
  <c r="D4760" i="11" s="1"/>
  <c r="B4768" i="11"/>
  <c r="D4768" i="11" s="1"/>
  <c r="B4776" i="11"/>
  <c r="D4776" i="11" s="1"/>
  <c r="B4784" i="11"/>
  <c r="D4784" i="11" s="1"/>
  <c r="B4792" i="11"/>
  <c r="D4792" i="11" s="1"/>
  <c r="B4800" i="11"/>
  <c r="C4800" i="11" s="1"/>
  <c r="B4808" i="11"/>
  <c r="D4808" i="11" s="1"/>
  <c r="B4816" i="11"/>
  <c r="C4816" i="11" s="1"/>
  <c r="B4824" i="11"/>
  <c r="D4824" i="11" s="1"/>
  <c r="B4832" i="11"/>
  <c r="D4832" i="11" s="1"/>
  <c r="B4840" i="11"/>
  <c r="D4840" i="11" s="1"/>
  <c r="B4848" i="11"/>
  <c r="D4848" i="11" s="1"/>
  <c r="B4856" i="11"/>
  <c r="D4856" i="11" s="1"/>
  <c r="B4864" i="11"/>
  <c r="C4864" i="11" s="1"/>
  <c r="B4872" i="11"/>
  <c r="D4872" i="11" s="1"/>
  <c r="B4880" i="11"/>
  <c r="C4880" i="11" s="1"/>
  <c r="B4888" i="11"/>
  <c r="D4888" i="11" s="1"/>
  <c r="B4896" i="11"/>
  <c r="D4896" i="11" s="1"/>
  <c r="B4904" i="11"/>
  <c r="D4904" i="11" s="1"/>
  <c r="B4912" i="11"/>
  <c r="D4912" i="11" s="1"/>
  <c r="B4920" i="11"/>
  <c r="D4920" i="11" s="1"/>
  <c r="B4928" i="11"/>
  <c r="C4928" i="11" s="1"/>
  <c r="B4936" i="11"/>
  <c r="D4936" i="11" s="1"/>
  <c r="B4944" i="11"/>
  <c r="C4944" i="11" s="1"/>
  <c r="B4952" i="11"/>
  <c r="D4952" i="11" s="1"/>
  <c r="B4960" i="11"/>
  <c r="D4960" i="11" s="1"/>
  <c r="B4968" i="11"/>
  <c r="D4968" i="11" s="1"/>
  <c r="B4976" i="11"/>
  <c r="D4976" i="11" s="1"/>
  <c r="B4984" i="11"/>
  <c r="D4984" i="11" s="1"/>
  <c r="B4992" i="11"/>
  <c r="C4992" i="11" s="1"/>
  <c r="B5000" i="11"/>
  <c r="D5000" i="11" s="1"/>
  <c r="B5008" i="11"/>
  <c r="C5008" i="11" s="1"/>
  <c r="B5016" i="11"/>
  <c r="D5016" i="11" s="1"/>
  <c r="B5024" i="11"/>
  <c r="D5024" i="11" s="1"/>
  <c r="B5032" i="11"/>
  <c r="D5032" i="11" s="1"/>
  <c r="B5040" i="11"/>
  <c r="D5040" i="11" s="1"/>
  <c r="B5048" i="11"/>
  <c r="D5048" i="11" s="1"/>
  <c r="B5056" i="11"/>
  <c r="C5056" i="11" s="1"/>
  <c r="B5064" i="11"/>
  <c r="D5064" i="11" s="1"/>
  <c r="B5072" i="11"/>
  <c r="C5072" i="11" s="1"/>
  <c r="B5080" i="11"/>
  <c r="D5080" i="11" s="1"/>
  <c r="B5088" i="11"/>
  <c r="D5088" i="11" s="1"/>
  <c r="B5096" i="11"/>
  <c r="D5096" i="11" s="1"/>
  <c r="B5104" i="11"/>
  <c r="D5104" i="11" s="1"/>
  <c r="B5112" i="11"/>
  <c r="D5112" i="11" s="1"/>
  <c r="B5120" i="11"/>
  <c r="C5120" i="11" s="1"/>
  <c r="B5126" i="11"/>
  <c r="C5126" i="11" s="1"/>
  <c r="B5131" i="11"/>
  <c r="B5136" i="11"/>
  <c r="D5136" i="11" s="1"/>
  <c r="B5142" i="11"/>
  <c r="D5142" i="11" s="1"/>
  <c r="B5147" i="11"/>
  <c r="D5147" i="11" s="1"/>
  <c r="B5152" i="11"/>
  <c r="D5152" i="11" s="1"/>
  <c r="B5158" i="11"/>
  <c r="B5163" i="11"/>
  <c r="B5168" i="11"/>
  <c r="B5174" i="11"/>
  <c r="C5174" i="11" s="1"/>
  <c r="B5179" i="11"/>
  <c r="C5179" i="11" s="1"/>
  <c r="B5184" i="11"/>
  <c r="C5184" i="11" s="1"/>
  <c r="B5190" i="11"/>
  <c r="B5195" i="11"/>
  <c r="B5200" i="11"/>
  <c r="D5200" i="11" s="1"/>
  <c r="B5206" i="11"/>
  <c r="C5206" i="11" s="1"/>
  <c r="B5211" i="11"/>
  <c r="B5216" i="11"/>
  <c r="D5216" i="11" s="1"/>
  <c r="B5222" i="11"/>
  <c r="C5222" i="11" s="1"/>
  <c r="B5227" i="11"/>
  <c r="C5227" i="11" s="1"/>
  <c r="B5232" i="11"/>
  <c r="B5238" i="11"/>
  <c r="C5238" i="11" s="1"/>
  <c r="B5243" i="11"/>
  <c r="D5243" i="11" s="1"/>
  <c r="B5247" i="11"/>
  <c r="B5251" i="11"/>
  <c r="D5251" i="11" s="1"/>
  <c r="B5255" i="11"/>
  <c r="C5255" i="11" s="1"/>
  <c r="B5259" i="11"/>
  <c r="B5263" i="11"/>
  <c r="B5267" i="11"/>
  <c r="B5271" i="11"/>
  <c r="B5275" i="11"/>
  <c r="D5275" i="11" s="1"/>
  <c r="B5279" i="11"/>
  <c r="D5279" i="11" s="1"/>
  <c r="B5283" i="11"/>
  <c r="B5287" i="11"/>
  <c r="B5291" i="11"/>
  <c r="C5291" i="11" s="1"/>
  <c r="B5295" i="11"/>
  <c r="B5299" i="11"/>
  <c r="B5303" i="11"/>
  <c r="B5307" i="11"/>
  <c r="D5307" i="11" s="1"/>
  <c r="B5311" i="11"/>
  <c r="D5311" i="11" s="1"/>
  <c r="B5315" i="11"/>
  <c r="D5315" i="11" s="1"/>
  <c r="B5319" i="11"/>
  <c r="B5323" i="11"/>
  <c r="D5323" i="11" s="1"/>
  <c r="B5327" i="11"/>
  <c r="B5331" i="11"/>
  <c r="D5331" i="11" s="1"/>
  <c r="B5335" i="11"/>
  <c r="B5339" i="11"/>
  <c r="B5343" i="11"/>
  <c r="B5347" i="11"/>
  <c r="D5347" i="11" s="1"/>
  <c r="B5351" i="11"/>
  <c r="B5355" i="11"/>
  <c r="D5355" i="11" s="1"/>
  <c r="B5359" i="11"/>
  <c r="B5363" i="11"/>
  <c r="D5363" i="11" s="1"/>
  <c r="B5367" i="11"/>
  <c r="B5371" i="11"/>
  <c r="D5371" i="11" s="1"/>
  <c r="B5375" i="11"/>
  <c r="D5375" i="11" s="1"/>
  <c r="B5379" i="11"/>
  <c r="B5383" i="11"/>
  <c r="B5387" i="11"/>
  <c r="B5391" i="11"/>
  <c r="B5395" i="11"/>
  <c r="B5399" i="11"/>
  <c r="B5403" i="11"/>
  <c r="B5407" i="11"/>
  <c r="B5411" i="11"/>
  <c r="D5411" i="11" s="1"/>
  <c r="B5415" i="11"/>
  <c r="B5419" i="11"/>
  <c r="D5419" i="11" s="1"/>
  <c r="B5423" i="11"/>
  <c r="B5427" i="11"/>
  <c r="D5427" i="11" s="1"/>
  <c r="B5431" i="11"/>
  <c r="B5435" i="11"/>
  <c r="C5435" i="11" s="1"/>
  <c r="B5439" i="11"/>
  <c r="B5443" i="11"/>
  <c r="B5447" i="11"/>
  <c r="C5447" i="11" s="1"/>
  <c r="B5451" i="11"/>
  <c r="B5455" i="11"/>
  <c r="B5459" i="11"/>
  <c r="C5459" i="11" s="1"/>
  <c r="B5463" i="11"/>
  <c r="B5467" i="11"/>
  <c r="D5467" i="11" s="1"/>
  <c r="B5471" i="11"/>
  <c r="B5475" i="11"/>
  <c r="B5479" i="11"/>
  <c r="D5479" i="11" s="1"/>
  <c r="B5483" i="11"/>
  <c r="C5483" i="11" s="1"/>
  <c r="B5487" i="11"/>
  <c r="B5491" i="11"/>
  <c r="C5491" i="11" s="1"/>
  <c r="B5495" i="11"/>
  <c r="B5499" i="11"/>
  <c r="B5503" i="11"/>
  <c r="B5507" i="11"/>
  <c r="B5511" i="11"/>
  <c r="B5515" i="11"/>
  <c r="B5519" i="11"/>
  <c r="B5523" i="11"/>
  <c r="B5527" i="11"/>
  <c r="B5531" i="11"/>
  <c r="C5531" i="11" s="1"/>
  <c r="B5535" i="11"/>
  <c r="B5539" i="11"/>
  <c r="B5543" i="11"/>
  <c r="B5547" i="11"/>
  <c r="D5547" i="11" s="1"/>
  <c r="B5551" i="11"/>
  <c r="C5551" i="11" s="1"/>
  <c r="B5555" i="11"/>
  <c r="D5555" i="11" s="1"/>
  <c r="B5559" i="11"/>
  <c r="B5563" i="11"/>
  <c r="B5567" i="11"/>
  <c r="B5571" i="11"/>
  <c r="B5575" i="11"/>
  <c r="B5579" i="11"/>
  <c r="D5579" i="11" s="1"/>
  <c r="B5583" i="11"/>
  <c r="B5587" i="11"/>
  <c r="D5587" i="11" s="1"/>
  <c r="B5591" i="11"/>
  <c r="B5595" i="11"/>
  <c r="B5599" i="11"/>
  <c r="B5603" i="11"/>
  <c r="B5607" i="11"/>
  <c r="B5611" i="11"/>
  <c r="D5611" i="11" s="1"/>
  <c r="B5615" i="11"/>
  <c r="B5619" i="11"/>
  <c r="D5619" i="11" s="1"/>
  <c r="B5623" i="11"/>
  <c r="B5627" i="11"/>
  <c r="B5631" i="11"/>
  <c r="B5635" i="11"/>
  <c r="D5635" i="11" s="1"/>
  <c r="B5639" i="11"/>
  <c r="B5643" i="11"/>
  <c r="B5647" i="11"/>
  <c r="B5651" i="11"/>
  <c r="C5651" i="11" s="1"/>
  <c r="B5655" i="11"/>
  <c r="B5659" i="11"/>
  <c r="D5659" i="11" s="1"/>
  <c r="B5663" i="11"/>
  <c r="B5667" i="11"/>
  <c r="C5667" i="11" s="1"/>
  <c r="B5671" i="11"/>
  <c r="C5671" i="11" s="1"/>
  <c r="B5675" i="11"/>
  <c r="D5675" i="11" s="1"/>
  <c r="B5679" i="11"/>
  <c r="B5683" i="11"/>
  <c r="B5687" i="11"/>
  <c r="B5691" i="11"/>
  <c r="C5691" i="11" s="1"/>
  <c r="B5695" i="11"/>
  <c r="B5699" i="11"/>
  <c r="C5699" i="11" s="1"/>
  <c r="B5703" i="11"/>
  <c r="B5707" i="11"/>
  <c r="D5707" i="11" s="1"/>
  <c r="B5711" i="11"/>
  <c r="D5711" i="11" s="1"/>
  <c r="B5715" i="11"/>
  <c r="C5715" i="11" s="1"/>
  <c r="B5719" i="11"/>
  <c r="B5723" i="11"/>
  <c r="C5723" i="11" s="1"/>
  <c r="B5727" i="11"/>
  <c r="B5731" i="11"/>
  <c r="B5735" i="11"/>
  <c r="C5735" i="11" s="1"/>
  <c r="B5739" i="11"/>
  <c r="D5739" i="11" s="1"/>
  <c r="B5743" i="11"/>
  <c r="B5747" i="11"/>
  <c r="B5751" i="11"/>
  <c r="B5755" i="11"/>
  <c r="C5755" i="11" s="1"/>
  <c r="B5759" i="11"/>
  <c r="B5763" i="11"/>
  <c r="D5763" i="11" s="1"/>
  <c r="B5767" i="11"/>
  <c r="B5771" i="11"/>
  <c r="B5775" i="11"/>
  <c r="B5779" i="11"/>
  <c r="C5779" i="11" s="1"/>
  <c r="B5783" i="11"/>
  <c r="B5787" i="11"/>
  <c r="D5787" i="11" s="1"/>
  <c r="B5791" i="11"/>
  <c r="B5795" i="11"/>
  <c r="B5799" i="11"/>
  <c r="B5803" i="11"/>
  <c r="B5807" i="11"/>
  <c r="C5807" i="11" s="1"/>
  <c r="B5811" i="11"/>
  <c r="D5811" i="11" s="1"/>
  <c r="B5815" i="11"/>
  <c r="B5819" i="11"/>
  <c r="D5819" i="11" s="1"/>
  <c r="B5823" i="11"/>
  <c r="C5823" i="11" s="1"/>
  <c r="B5827" i="11"/>
  <c r="B5831" i="11"/>
  <c r="B5835" i="11"/>
  <c r="D5835" i="11" s="1"/>
  <c r="B5839" i="11"/>
  <c r="B5843" i="11"/>
  <c r="D5843" i="11" s="1"/>
  <c r="B5847" i="11"/>
  <c r="B5851" i="11"/>
  <c r="D5851" i="11" s="1"/>
  <c r="B5855" i="11"/>
  <c r="B5859" i="11"/>
  <c r="B5863" i="11"/>
  <c r="B5867" i="11"/>
  <c r="B5871" i="11"/>
  <c r="C5871" i="11" s="1"/>
  <c r="B5875" i="11"/>
  <c r="D5875" i="11" s="1"/>
  <c r="B5879" i="11"/>
  <c r="B5883" i="11"/>
  <c r="D5883" i="11" s="1"/>
  <c r="B5887" i="11"/>
  <c r="B5891" i="11"/>
  <c r="B5895" i="11"/>
  <c r="B5899" i="11"/>
  <c r="D5899" i="11" s="1"/>
  <c r="B5903" i="11"/>
  <c r="B5907" i="11"/>
  <c r="D5907" i="11" s="1"/>
  <c r="B5911" i="11"/>
  <c r="B5915" i="11"/>
  <c r="D5915" i="11" s="1"/>
  <c r="B5919" i="11"/>
  <c r="B5923" i="11"/>
  <c r="B5927" i="11"/>
  <c r="B5931" i="11"/>
  <c r="D5931" i="11" s="1"/>
  <c r="B5935" i="11"/>
  <c r="C5935" i="11" s="1"/>
  <c r="B5939" i="11"/>
  <c r="D5939" i="11" s="1"/>
  <c r="B5943" i="11"/>
  <c r="B5947" i="11"/>
  <c r="D5947" i="11" s="1"/>
  <c r="B5951" i="11"/>
  <c r="C5951" i="11" s="1"/>
  <c r="B5955" i="11"/>
  <c r="B5959" i="11"/>
  <c r="B5963" i="11"/>
  <c r="D5963" i="11" s="1"/>
  <c r="B5967" i="11"/>
  <c r="B5971" i="11"/>
  <c r="D5971" i="11" s="1"/>
  <c r="B5975" i="11"/>
  <c r="B5979" i="11"/>
  <c r="B5983" i="11"/>
  <c r="B5987" i="11"/>
  <c r="B5991" i="11"/>
  <c r="B5995" i="11"/>
  <c r="D5995" i="11" s="1"/>
  <c r="B5999" i="11"/>
  <c r="C5999" i="11" s="1"/>
  <c r="B6003" i="11"/>
  <c r="D6003" i="11" s="1"/>
  <c r="B6007" i="11"/>
  <c r="B6011" i="11"/>
  <c r="D6011" i="11" s="1"/>
  <c r="B6015" i="11"/>
  <c r="C6015" i="11" s="1"/>
  <c r="B6019" i="11"/>
  <c r="B6023" i="11"/>
  <c r="B6027" i="11"/>
  <c r="D6027" i="11" s="1"/>
  <c r="B6031" i="11"/>
  <c r="B6035" i="11"/>
  <c r="D6035" i="11" s="1"/>
  <c r="B6039" i="11"/>
  <c r="B6043" i="11"/>
  <c r="D6043" i="11" s="1"/>
  <c r="B6047" i="11"/>
  <c r="B6051" i="11"/>
  <c r="D6051" i="11" s="1"/>
  <c r="B6055" i="11"/>
  <c r="B6059" i="11"/>
  <c r="D6059" i="11" s="1"/>
  <c r="B6063" i="11"/>
  <c r="B6067" i="11"/>
  <c r="D6067" i="11" s="1"/>
  <c r="B6071" i="11"/>
  <c r="B6075" i="11"/>
  <c r="D6075" i="11" s="1"/>
  <c r="B6079" i="11"/>
  <c r="C6079" i="11" s="1"/>
  <c r="B6083" i="11"/>
  <c r="B6087" i="11"/>
  <c r="B6091" i="11"/>
  <c r="D6091" i="11" s="1"/>
  <c r="B6095" i="11"/>
  <c r="B6099" i="11"/>
  <c r="D6099" i="11" s="1"/>
  <c r="B6103" i="11"/>
  <c r="B6107" i="11"/>
  <c r="D6107" i="11" s="1"/>
  <c r="B6111" i="11"/>
  <c r="B6115" i="11"/>
  <c r="D6115" i="11" s="1"/>
  <c r="B6119" i="11"/>
  <c r="B6123" i="11"/>
  <c r="B6127" i="11"/>
  <c r="C6127" i="11" s="1"/>
  <c r="B6131" i="11"/>
  <c r="D6131" i="11" s="1"/>
  <c r="B6135" i="11"/>
  <c r="B6139" i="11"/>
  <c r="D6139" i="11" s="1"/>
  <c r="B6143" i="11"/>
  <c r="C6143" i="11" s="1"/>
  <c r="B6147" i="11"/>
  <c r="B6151" i="11"/>
  <c r="B6155" i="11"/>
  <c r="D6155" i="11" s="1"/>
  <c r="B6159" i="11"/>
  <c r="B6163" i="11"/>
  <c r="D6163" i="11" s="1"/>
  <c r="B6167" i="11"/>
  <c r="B6171" i="11"/>
  <c r="D6171" i="11" s="1"/>
  <c r="B6175" i="11"/>
  <c r="B6179" i="11"/>
  <c r="B6183" i="11"/>
  <c r="B6187" i="11"/>
  <c r="D6187" i="11" s="1"/>
  <c r="B6191" i="11"/>
  <c r="C6191" i="11" s="1"/>
  <c r="B6195" i="11"/>
  <c r="D6195" i="11" s="1"/>
  <c r="B6199" i="11"/>
  <c r="B6203" i="11"/>
  <c r="D6203" i="11" s="1"/>
  <c r="B6207" i="11"/>
  <c r="C6207" i="11" s="1"/>
  <c r="B6211" i="11"/>
  <c r="B6215" i="11"/>
  <c r="B6219" i="11"/>
  <c r="D6219" i="11" s="1"/>
  <c r="B6223" i="11"/>
  <c r="B6227" i="11"/>
  <c r="D6227" i="11" s="1"/>
  <c r="B6231" i="11"/>
  <c r="B6235" i="11"/>
  <c r="B6239" i="11"/>
  <c r="B6243" i="11"/>
  <c r="B6247" i="11"/>
  <c r="B6251" i="11"/>
  <c r="B6255" i="11"/>
  <c r="C6255" i="11" s="1"/>
  <c r="B6259" i="11"/>
  <c r="D6259" i="11" s="1"/>
  <c r="B6263" i="11"/>
  <c r="B6267" i="11"/>
  <c r="D6267" i="11" s="1"/>
  <c r="B6271" i="11"/>
  <c r="C6271" i="11" s="1"/>
  <c r="B6275" i="11"/>
  <c r="B6279" i="11"/>
  <c r="B6283" i="11"/>
  <c r="D6283" i="11" s="1"/>
  <c r="B6287" i="11"/>
  <c r="B6291" i="11"/>
  <c r="D6291" i="11" s="1"/>
  <c r="B6295" i="11"/>
  <c r="B6299" i="11"/>
  <c r="B6303" i="11"/>
  <c r="C6303" i="11" s="1"/>
  <c r="B6307" i="11"/>
  <c r="B6311" i="11"/>
  <c r="B6315" i="11"/>
  <c r="B6319" i="11"/>
  <c r="B6323" i="11"/>
  <c r="D6323" i="11" s="1"/>
  <c r="B6327" i="11"/>
  <c r="B6331" i="11"/>
  <c r="D6331" i="11" s="1"/>
  <c r="B6335" i="11"/>
  <c r="C6335" i="11" s="1"/>
  <c r="B6339" i="11"/>
  <c r="B6343" i="11"/>
  <c r="B6347" i="11"/>
  <c r="D6347" i="11" s="1"/>
  <c r="B6351" i="11"/>
  <c r="B6355" i="11"/>
  <c r="D6355" i="11" s="1"/>
  <c r="B6359" i="11"/>
  <c r="B6363" i="11"/>
  <c r="D6363" i="11" s="1"/>
  <c r="B6367" i="11"/>
  <c r="C6367" i="11" s="1"/>
  <c r="B6371" i="11"/>
  <c r="B6375" i="11"/>
  <c r="B6379" i="11"/>
  <c r="B6383" i="11"/>
  <c r="B6387" i="11"/>
  <c r="D6387" i="11" s="1"/>
  <c r="B6391" i="11"/>
  <c r="B6395" i="11"/>
  <c r="D6395" i="11" s="1"/>
  <c r="B6399" i="11"/>
  <c r="B6403" i="11"/>
  <c r="D6403" i="11" s="1"/>
  <c r="B6407" i="11"/>
  <c r="B6411" i="11"/>
  <c r="D6411" i="11" s="1"/>
  <c r="B6415" i="11"/>
  <c r="B6419" i="11"/>
  <c r="D6419" i="11" s="1"/>
  <c r="B6423" i="11"/>
  <c r="B6427" i="11"/>
  <c r="B6431" i="11"/>
  <c r="C6431" i="11" s="1"/>
  <c r="B6435" i="11"/>
  <c r="D6435" i="11" s="1"/>
  <c r="B6439" i="11"/>
  <c r="B6443" i="11"/>
  <c r="B6447" i="11"/>
  <c r="B6451" i="11"/>
  <c r="D6451" i="11" s="1"/>
  <c r="B6455" i="11"/>
  <c r="B6459" i="11"/>
  <c r="D6459" i="11" s="1"/>
  <c r="B6463" i="11"/>
  <c r="B6467" i="11"/>
  <c r="B6471" i="11"/>
  <c r="B6475" i="11"/>
  <c r="D6475" i="11" s="1"/>
  <c r="B6479" i="11"/>
  <c r="B6483" i="11"/>
  <c r="D6483" i="11" s="1"/>
  <c r="B6487" i="11"/>
  <c r="B6491" i="11"/>
  <c r="B6495" i="11"/>
  <c r="C6495" i="11" s="1"/>
  <c r="B6499" i="11"/>
  <c r="B6503" i="11"/>
  <c r="B6507" i="11"/>
  <c r="B6511" i="11"/>
  <c r="B6515" i="11"/>
  <c r="D6515" i="11" s="1"/>
  <c r="B6519" i="11"/>
  <c r="B6523" i="11"/>
  <c r="D6523" i="11" s="1"/>
  <c r="B6527" i="11"/>
  <c r="C6527" i="11" s="1"/>
  <c r="B6531" i="11"/>
  <c r="B6535" i="11"/>
  <c r="B6539" i="11"/>
  <c r="D6539" i="11" s="1"/>
  <c r="B6543" i="11"/>
  <c r="B6547" i="11"/>
  <c r="D6547" i="11" s="1"/>
  <c r="B6551" i="11"/>
  <c r="B6555" i="11"/>
  <c r="B6559" i="11"/>
  <c r="C6559" i="11" s="1"/>
  <c r="B6563" i="11"/>
  <c r="B6567" i="11"/>
  <c r="B6571" i="11"/>
  <c r="B6575" i="11"/>
  <c r="B6579" i="11"/>
  <c r="D6579" i="11" s="1"/>
  <c r="B6583" i="11"/>
  <c r="B6587" i="11"/>
  <c r="D6587" i="11" s="1"/>
  <c r="B6591" i="11"/>
  <c r="B6595" i="11"/>
  <c r="B6599" i="11"/>
  <c r="B6603" i="11"/>
  <c r="B6607" i="11"/>
  <c r="C6607" i="11" s="1"/>
  <c r="B6611" i="11"/>
  <c r="D6611" i="11" s="1"/>
  <c r="B6615" i="11"/>
  <c r="B6619" i="11"/>
  <c r="B6623" i="11"/>
  <c r="B6627" i="11"/>
  <c r="B6631" i="11"/>
  <c r="B6635" i="11"/>
  <c r="D6635" i="11" s="1"/>
  <c r="B6639" i="11"/>
  <c r="B6643" i="11"/>
  <c r="D6643" i="11" s="1"/>
  <c r="B6647" i="11"/>
  <c r="B6651" i="11"/>
  <c r="B6655" i="11"/>
  <c r="C6655" i="11" s="1"/>
  <c r="B6659" i="11"/>
  <c r="B6663" i="11"/>
  <c r="B6667" i="11"/>
  <c r="D6667" i="11" s="1"/>
  <c r="B6671" i="11"/>
  <c r="C6671" i="11" s="1"/>
  <c r="B6675" i="11"/>
  <c r="D6675" i="11" s="1"/>
  <c r="B6679" i="11"/>
  <c r="B6683" i="11"/>
  <c r="D6683" i="11" s="1"/>
  <c r="B6687" i="11"/>
  <c r="B6691" i="11"/>
  <c r="B6695" i="11"/>
  <c r="B6699" i="11"/>
  <c r="D6699" i="11" s="1"/>
  <c r="B6703" i="11"/>
  <c r="B6707" i="11"/>
  <c r="D6707" i="11" s="1"/>
  <c r="B6711" i="11"/>
  <c r="B6715" i="11"/>
  <c r="D6715" i="11" s="1"/>
  <c r="B6719" i="11"/>
  <c r="B6723" i="11"/>
  <c r="B6727" i="11"/>
  <c r="B6731" i="11"/>
  <c r="B6735" i="11"/>
  <c r="B6739" i="11"/>
  <c r="D6739" i="11" s="1"/>
  <c r="B6743" i="11"/>
  <c r="B6747" i="11"/>
  <c r="D6747" i="11" s="1"/>
  <c r="B6751" i="11"/>
  <c r="B6755" i="11"/>
  <c r="D6755" i="11" s="1"/>
  <c r="B6759" i="11"/>
  <c r="B6763" i="11"/>
  <c r="D6763" i="11" s="1"/>
  <c r="B6767" i="11"/>
  <c r="B6771" i="11"/>
  <c r="D6771" i="11" s="1"/>
  <c r="B6775" i="11"/>
  <c r="B6779" i="11"/>
  <c r="B6783" i="11"/>
  <c r="C6783" i="11" s="1"/>
  <c r="B6787" i="11"/>
  <c r="B6791" i="11"/>
  <c r="B6795" i="11"/>
  <c r="D6795" i="11" s="1"/>
  <c r="B6799" i="11"/>
  <c r="C6799" i="11" s="1"/>
  <c r="B6803" i="11"/>
  <c r="C6803" i="11" s="1"/>
  <c r="B6807" i="11"/>
  <c r="B6811" i="11"/>
  <c r="D6811" i="11" s="1"/>
  <c r="B6815" i="11"/>
  <c r="B6819" i="11"/>
  <c r="D6819" i="11" s="1"/>
  <c r="B6823" i="11"/>
  <c r="B6827" i="11"/>
  <c r="B6831" i="11"/>
  <c r="B6835" i="11"/>
  <c r="D6835" i="11" s="1"/>
  <c r="B6839" i="11"/>
  <c r="B6843" i="11"/>
  <c r="D6843" i="11" s="1"/>
  <c r="B6847" i="11"/>
  <c r="B6851" i="11"/>
  <c r="B6855" i="11"/>
  <c r="B6859" i="11"/>
  <c r="B6863" i="11"/>
  <c r="C6863" i="11" s="1"/>
  <c r="B6867" i="11"/>
  <c r="B6871" i="11"/>
  <c r="B6875" i="11"/>
  <c r="B6879" i="11"/>
  <c r="B6883" i="11"/>
  <c r="D6883" i="11" s="1"/>
  <c r="B6887" i="11"/>
  <c r="B6891" i="11"/>
  <c r="D6891" i="11" s="1"/>
  <c r="B6895" i="11"/>
  <c r="B6899" i="11"/>
  <c r="B6903" i="11"/>
  <c r="B6907" i="11"/>
  <c r="B6911" i="11"/>
  <c r="C6911" i="11" s="1"/>
  <c r="B6915" i="11"/>
  <c r="B6919" i="11"/>
  <c r="B6923" i="11"/>
  <c r="D6923" i="11" s="1"/>
  <c r="B6927" i="11"/>
  <c r="C6927" i="11" s="1"/>
  <c r="B6931" i="11"/>
  <c r="B6935" i="11"/>
  <c r="B6939" i="11"/>
  <c r="D6939" i="11" s="1"/>
  <c r="B6943" i="11"/>
  <c r="B6947" i="11"/>
  <c r="D6947" i="11" s="1"/>
  <c r="B6951" i="11"/>
  <c r="B6955" i="11"/>
  <c r="B6959" i="11"/>
  <c r="B6963" i="11"/>
  <c r="B6967" i="11"/>
  <c r="B6971" i="11"/>
  <c r="D6971" i="11" s="1"/>
  <c r="B6975" i="11"/>
  <c r="B6979" i="11"/>
  <c r="B6983" i="11"/>
  <c r="B6987" i="11"/>
  <c r="B6991" i="11"/>
  <c r="B6995" i="11"/>
  <c r="B6999" i="11"/>
  <c r="B7003" i="11"/>
  <c r="D7003" i="11" s="1"/>
  <c r="B7007" i="11"/>
  <c r="B7011" i="11"/>
  <c r="D7011" i="11" s="1"/>
  <c r="B7015" i="11"/>
  <c r="B7019" i="11"/>
  <c r="D7019" i="11" s="1"/>
  <c r="B7023" i="11"/>
  <c r="B7027" i="11"/>
  <c r="B7031" i="11"/>
  <c r="B7035" i="11"/>
  <c r="B7039" i="11"/>
  <c r="C7039" i="11" s="1"/>
  <c r="B7043" i="11"/>
  <c r="B7047" i="11"/>
  <c r="B7051" i="11"/>
  <c r="D7051" i="11" s="1"/>
  <c r="B7055" i="11"/>
  <c r="C7055" i="11" s="1"/>
  <c r="B7059" i="11"/>
  <c r="B7063" i="11"/>
  <c r="B7067" i="11"/>
  <c r="D7067" i="11" s="1"/>
  <c r="B7071" i="11"/>
  <c r="B7075" i="11"/>
  <c r="D7075" i="11" s="1"/>
  <c r="B7079" i="11"/>
  <c r="B7083" i="11"/>
  <c r="B7087" i="11"/>
  <c r="B7091" i="11"/>
  <c r="B7095" i="11"/>
  <c r="B7099" i="11"/>
  <c r="D7099" i="11" s="1"/>
  <c r="B7103" i="11"/>
  <c r="B7107" i="11"/>
  <c r="B7111" i="11"/>
  <c r="B7115" i="11"/>
  <c r="B7119" i="11"/>
  <c r="C7119" i="11" s="1"/>
  <c r="B7123" i="11"/>
  <c r="B7127" i="11"/>
  <c r="B7131" i="11"/>
  <c r="B7135" i="11"/>
  <c r="B7139" i="11"/>
  <c r="D7139" i="11" s="1"/>
  <c r="B7143" i="11"/>
  <c r="B7147" i="11"/>
  <c r="D7147" i="11" s="1"/>
  <c r="B7151" i="11"/>
  <c r="B7155" i="11"/>
  <c r="B7159" i="11"/>
  <c r="B7163" i="11"/>
  <c r="B7167" i="11"/>
  <c r="C7167" i="11" s="1"/>
  <c r="B7171" i="11"/>
  <c r="B7175" i="11"/>
  <c r="B7179" i="11"/>
  <c r="D7179" i="11" s="1"/>
  <c r="B7183" i="11"/>
  <c r="C7183" i="11" s="1"/>
  <c r="B7187" i="11"/>
  <c r="B7191" i="11"/>
  <c r="B7195" i="11"/>
  <c r="D7195" i="11" s="1"/>
  <c r="B7199" i="11"/>
  <c r="B7203" i="11"/>
  <c r="D7203" i="11" s="1"/>
  <c r="B7207" i="11"/>
  <c r="B7211" i="11"/>
  <c r="D7211" i="11" s="1"/>
  <c r="B7215" i="11"/>
  <c r="B7219" i="11"/>
  <c r="B7223" i="11"/>
  <c r="B7227" i="11"/>
  <c r="D7227" i="11" s="1"/>
  <c r="B7231" i="11"/>
  <c r="B7235" i="11"/>
  <c r="B7239" i="11"/>
  <c r="B7243" i="11"/>
  <c r="B7247" i="11"/>
  <c r="B7251" i="11"/>
  <c r="B7255" i="11"/>
  <c r="D7255" i="11" s="1"/>
  <c r="B7259" i="11"/>
  <c r="B7263" i="11"/>
  <c r="D7263" i="11" s="1"/>
  <c r="B7267" i="11"/>
  <c r="C7267" i="11" s="1"/>
  <c r="B7271" i="11"/>
  <c r="B7275" i="11"/>
  <c r="B7279" i="11"/>
  <c r="B7283" i="11"/>
  <c r="C7283" i="11" s="1"/>
  <c r="B7287" i="11"/>
  <c r="B7291" i="11"/>
  <c r="B7295" i="11"/>
  <c r="B7299" i="11"/>
  <c r="C7299" i="11" s="1"/>
  <c r="B7303" i="11"/>
  <c r="B352" i="11"/>
  <c r="B782" i="11"/>
  <c r="B1058" i="11"/>
  <c r="B1223" i="11"/>
  <c r="B1338" i="11"/>
  <c r="B1452" i="11"/>
  <c r="B1564" i="11"/>
  <c r="B1666" i="11"/>
  <c r="B1724" i="11"/>
  <c r="B1780" i="11"/>
  <c r="B1837" i="11"/>
  <c r="C1837" i="11" s="1"/>
  <c r="B1894" i="11"/>
  <c r="B1950" i="11"/>
  <c r="C1950" i="11" s="1"/>
  <c r="B2008" i="11"/>
  <c r="B2065" i="11"/>
  <c r="B2113" i="11"/>
  <c r="B2156" i="11"/>
  <c r="C2156" i="11" s="1"/>
  <c r="B2198" i="11"/>
  <c r="B2241" i="11"/>
  <c r="B2284" i="11"/>
  <c r="D2284" i="11" s="1"/>
  <c r="B2322" i="11"/>
  <c r="B2354" i="11"/>
  <c r="D2354" i="11" s="1"/>
  <c r="B2386" i="11"/>
  <c r="D2386" i="11" s="1"/>
  <c r="B2418" i="11"/>
  <c r="B2450" i="11"/>
  <c r="D2450" i="11" s="1"/>
  <c r="B2482" i="11"/>
  <c r="B2514" i="11"/>
  <c r="D2514" i="11" s="1"/>
  <c r="B2546" i="11"/>
  <c r="B2578" i="11"/>
  <c r="B2610" i="11"/>
  <c r="B2642" i="11"/>
  <c r="D2642" i="11" s="1"/>
  <c r="B2674" i="11"/>
  <c r="B2706" i="11"/>
  <c r="B2738" i="11"/>
  <c r="B2770" i="11"/>
  <c r="C2770" i="11" s="1"/>
  <c r="B2802" i="11"/>
  <c r="B2834" i="11"/>
  <c r="D2834" i="11" s="1"/>
  <c r="B2866" i="11"/>
  <c r="B2898" i="11"/>
  <c r="D2898" i="11" s="1"/>
  <c r="B2930" i="11"/>
  <c r="C2930" i="11" s="1"/>
  <c r="B2962" i="11"/>
  <c r="B2994" i="11"/>
  <c r="B3026" i="11"/>
  <c r="C3026" i="11" s="1"/>
  <c r="B3051" i="11"/>
  <c r="D3051" i="11" s="1"/>
  <c r="B3072" i="11"/>
  <c r="C3072" i="11" s="1"/>
  <c r="B3094" i="11"/>
  <c r="B3115" i="11"/>
  <c r="B3136" i="11"/>
  <c r="C3136" i="11" s="1"/>
  <c r="B3158" i="11"/>
  <c r="D3158" i="11" s="1"/>
  <c r="B3179" i="11"/>
  <c r="B3200" i="11"/>
  <c r="B3222" i="11"/>
  <c r="B3243" i="11"/>
  <c r="C3243" i="11" s="1"/>
  <c r="B3264" i="11"/>
  <c r="D3264" i="11" s="1"/>
  <c r="B3286" i="11"/>
  <c r="D3286" i="11" s="1"/>
  <c r="B3307" i="11"/>
  <c r="B3328" i="11"/>
  <c r="D3328" i="11" s="1"/>
  <c r="B3350" i="11"/>
  <c r="C3350" i="11" s="1"/>
  <c r="B3371" i="11"/>
  <c r="B3392" i="11"/>
  <c r="D3392" i="11" s="1"/>
  <c r="B3414" i="11"/>
  <c r="D3414" i="11" s="1"/>
  <c r="B3435" i="11"/>
  <c r="B3456" i="11"/>
  <c r="B3478" i="11"/>
  <c r="C3478" i="11" s="1"/>
  <c r="B3499" i="11"/>
  <c r="B3520" i="11"/>
  <c r="B3542" i="11"/>
  <c r="D3542" i="11" s="1"/>
  <c r="B3563" i="11"/>
  <c r="B3584" i="11"/>
  <c r="D3584" i="11" s="1"/>
  <c r="B3606" i="11"/>
  <c r="B3627" i="11"/>
  <c r="B3648" i="11"/>
  <c r="C3648" i="11" s="1"/>
  <c r="B3670" i="11"/>
  <c r="D3670" i="11" s="1"/>
  <c r="B3686" i="11"/>
  <c r="C3686" i="11" s="1"/>
  <c r="B3702" i="11"/>
  <c r="B3718" i="11"/>
  <c r="B3734" i="11"/>
  <c r="D3734" i="11" s="1"/>
  <c r="B3750" i="11"/>
  <c r="D3750" i="11" s="1"/>
  <c r="B3766" i="11"/>
  <c r="B3782" i="11"/>
  <c r="B3798" i="11"/>
  <c r="D3798" i="11" s="1"/>
  <c r="B3814" i="11"/>
  <c r="B3830" i="11"/>
  <c r="B3846" i="11"/>
  <c r="B3862" i="11"/>
  <c r="D3862" i="11" s="1"/>
  <c r="B3878" i="11"/>
  <c r="D3878" i="11" s="1"/>
  <c r="B3894" i="11"/>
  <c r="B3910" i="11"/>
  <c r="C3910" i="11" s="1"/>
  <c r="B3926" i="11"/>
  <c r="D3926" i="11" s="1"/>
  <c r="B3942" i="11"/>
  <c r="B3958" i="11"/>
  <c r="B3974" i="11"/>
  <c r="B3990" i="11"/>
  <c r="D3990" i="11" s="1"/>
  <c r="B4006" i="11"/>
  <c r="D4006" i="11" s="1"/>
  <c r="B4022" i="11"/>
  <c r="B4038" i="11"/>
  <c r="C4038" i="11" s="1"/>
  <c r="B4054" i="11"/>
  <c r="D4054" i="11" s="1"/>
  <c r="B4070" i="11"/>
  <c r="B4086" i="11"/>
  <c r="D4086" i="11" s="1"/>
  <c r="B4102" i="11"/>
  <c r="B4118" i="11"/>
  <c r="D4118" i="11" s="1"/>
  <c r="B4134" i="11"/>
  <c r="B4150" i="11"/>
  <c r="D4150" i="11" s="1"/>
  <c r="B4166" i="11"/>
  <c r="B4182" i="11"/>
  <c r="D4182" i="11" s="1"/>
  <c r="B4198" i="11"/>
  <c r="C4198" i="11" s="1"/>
  <c r="B4214" i="11"/>
  <c r="B4230" i="11"/>
  <c r="B4246" i="11"/>
  <c r="D4246" i="11" s="1"/>
  <c r="B4262" i="11"/>
  <c r="D4262" i="11" s="1"/>
  <c r="B4278" i="11"/>
  <c r="B4294" i="11"/>
  <c r="B4310" i="11"/>
  <c r="D4310" i="11" s="1"/>
  <c r="B4326" i="11"/>
  <c r="B4342" i="11"/>
  <c r="B4358" i="11"/>
  <c r="B4374" i="11"/>
  <c r="D4374" i="11" s="1"/>
  <c r="B4390" i="11"/>
  <c r="D4390" i="11" s="1"/>
  <c r="B4406" i="11"/>
  <c r="B4422" i="11"/>
  <c r="C4422" i="11" s="1"/>
  <c r="B4438" i="11"/>
  <c r="D4438" i="11" s="1"/>
  <c r="B4454" i="11"/>
  <c r="B4470" i="11"/>
  <c r="B4486" i="11"/>
  <c r="B4502" i="11"/>
  <c r="D4502" i="11" s="1"/>
  <c r="B4518" i="11"/>
  <c r="D4518" i="11" s="1"/>
  <c r="B4534" i="11"/>
  <c r="B4550" i="11"/>
  <c r="B4566" i="11"/>
  <c r="B4582" i="11"/>
  <c r="D4582" i="11" s="1"/>
  <c r="B4598" i="11"/>
  <c r="D4598" i="11" s="1"/>
  <c r="B4614" i="11"/>
  <c r="B4630" i="11"/>
  <c r="B4646" i="11"/>
  <c r="D4646" i="11" s="1"/>
  <c r="B4662" i="11"/>
  <c r="B4678" i="11"/>
  <c r="C4678" i="11" s="1"/>
  <c r="B4694" i="11"/>
  <c r="B4710" i="11"/>
  <c r="B4726" i="11"/>
  <c r="D4726" i="11" s="1"/>
  <c r="B4742" i="11"/>
  <c r="B4758" i="11"/>
  <c r="B4774" i="11"/>
  <c r="B4790" i="11"/>
  <c r="B4806" i="11"/>
  <c r="B4822" i="11"/>
  <c r="B4838" i="11"/>
  <c r="D4838" i="11" s="1"/>
  <c r="B4854" i="11"/>
  <c r="D4854" i="11" s="1"/>
  <c r="B4870" i="11"/>
  <c r="B4886" i="11"/>
  <c r="B4902" i="11"/>
  <c r="B4918" i="11"/>
  <c r="B4934" i="11"/>
  <c r="D4934" i="11" s="1"/>
  <c r="B4950" i="11"/>
  <c r="B4966" i="11"/>
  <c r="B4982" i="11"/>
  <c r="D4982" i="11" s="1"/>
  <c r="B4998" i="11"/>
  <c r="C4998" i="11" s="1"/>
  <c r="B5014" i="11"/>
  <c r="B5030" i="11"/>
  <c r="B5046" i="11"/>
  <c r="B5062" i="11"/>
  <c r="B5078" i="11"/>
  <c r="B5094" i="11"/>
  <c r="C5094" i="11" s="1"/>
  <c r="B5110" i="11"/>
  <c r="D5110" i="11" s="1"/>
  <c r="B5124" i="11"/>
  <c r="D5124" i="11" s="1"/>
  <c r="B5135" i="11"/>
  <c r="B5146" i="11"/>
  <c r="C5146" i="11" s="1"/>
  <c r="B5156" i="11"/>
  <c r="B5167" i="11"/>
  <c r="B5178" i="11"/>
  <c r="D5178" i="11" s="1"/>
  <c r="B5188" i="11"/>
  <c r="C5188" i="11" s="1"/>
  <c r="B5199" i="11"/>
  <c r="C5199" i="11" s="1"/>
  <c r="B5210" i="11"/>
  <c r="B5220" i="11"/>
  <c r="B5231" i="11"/>
  <c r="B5242" i="11"/>
  <c r="C5242" i="11" s="1"/>
  <c r="B5250" i="11"/>
  <c r="B5258" i="11"/>
  <c r="B5266" i="11"/>
  <c r="B5274" i="11"/>
  <c r="C5274" i="11" s="1"/>
  <c r="B5282" i="11"/>
  <c r="B5290" i="11"/>
  <c r="D5290" i="11" s="1"/>
  <c r="B5298" i="11"/>
  <c r="B5306" i="11"/>
  <c r="C5306" i="11" s="1"/>
  <c r="B5314" i="11"/>
  <c r="B5322" i="11"/>
  <c r="D5322" i="11" s="1"/>
  <c r="B5330" i="11"/>
  <c r="B5338" i="11"/>
  <c r="B5346" i="11"/>
  <c r="B5354" i="11"/>
  <c r="D5354" i="11" s="1"/>
  <c r="B5362" i="11"/>
  <c r="B5370" i="11"/>
  <c r="B5378" i="11"/>
  <c r="B5386" i="11"/>
  <c r="D5386" i="11" s="1"/>
  <c r="B5394" i="11"/>
  <c r="B5402" i="11"/>
  <c r="B5410" i="11"/>
  <c r="B5418" i="11"/>
  <c r="B5426" i="11"/>
  <c r="C5426" i="11" s="1"/>
  <c r="B5434" i="11"/>
  <c r="C5434" i="11" s="1"/>
  <c r="B5442" i="11"/>
  <c r="B5450" i="11"/>
  <c r="C5450" i="11" s="1"/>
  <c r="B5458" i="11"/>
  <c r="B5466" i="11"/>
  <c r="C5466" i="11" s="1"/>
  <c r="B5474" i="11"/>
  <c r="B5482" i="11"/>
  <c r="B5490" i="11"/>
  <c r="B5498" i="11"/>
  <c r="B5506" i="11"/>
  <c r="B5514" i="11"/>
  <c r="B5522" i="11"/>
  <c r="B5530" i="11"/>
  <c r="D5530" i="11" s="1"/>
  <c r="B5538" i="11"/>
  <c r="B5546" i="11"/>
  <c r="C5546" i="11" s="1"/>
  <c r="B5554" i="11"/>
  <c r="B5562" i="11"/>
  <c r="B5570" i="11"/>
  <c r="B5578" i="11"/>
  <c r="C5578" i="11" s="1"/>
  <c r="B5586" i="11"/>
  <c r="B5594" i="11"/>
  <c r="C5594" i="11" s="1"/>
  <c r="B5602" i="11"/>
  <c r="B5610" i="11"/>
  <c r="B5618" i="11"/>
  <c r="B5626" i="11"/>
  <c r="B5634" i="11"/>
  <c r="D5634" i="11" s="1"/>
  <c r="B5642" i="11"/>
  <c r="C5642" i="11" s="1"/>
  <c r="B5650" i="11"/>
  <c r="D5650" i="11" s="1"/>
  <c r="B5658" i="11"/>
  <c r="B5666" i="11"/>
  <c r="C5666" i="11" s="1"/>
  <c r="B5674" i="11"/>
  <c r="D5674" i="11" s="1"/>
  <c r="B5682" i="11"/>
  <c r="B5690" i="11"/>
  <c r="D5690" i="11" s="1"/>
  <c r="B5698" i="11"/>
  <c r="C5698" i="11" s="1"/>
  <c r="B5706" i="11"/>
  <c r="B5714" i="11"/>
  <c r="B5722" i="11"/>
  <c r="D5722" i="11" s="1"/>
  <c r="B5730" i="11"/>
  <c r="B5738" i="11"/>
  <c r="B5746" i="11"/>
  <c r="B5754" i="11"/>
  <c r="D5754" i="11" s="1"/>
  <c r="B5762" i="11"/>
  <c r="C5762" i="11" s="1"/>
  <c r="B5770" i="11"/>
  <c r="B5778" i="11"/>
  <c r="B5786" i="11"/>
  <c r="C5786" i="11" s="1"/>
  <c r="B5794" i="11"/>
  <c r="B5802" i="11"/>
  <c r="B5810" i="11"/>
  <c r="C5810" i="11" s="1"/>
  <c r="B5818" i="11"/>
  <c r="B5826" i="11"/>
  <c r="D5826" i="11" s="1"/>
  <c r="B5834" i="11"/>
  <c r="D5834" i="11" s="1"/>
  <c r="B5842" i="11"/>
  <c r="D5842" i="11" s="1"/>
  <c r="B5850" i="11"/>
  <c r="D5850" i="11" s="1"/>
  <c r="B5858" i="11"/>
  <c r="B5866" i="11"/>
  <c r="B5874" i="11"/>
  <c r="B5882" i="11"/>
  <c r="B5890" i="11"/>
  <c r="B5898" i="11"/>
  <c r="B5906" i="11"/>
  <c r="B5914" i="11"/>
  <c r="D5914" i="11" s="1"/>
  <c r="B5922" i="11"/>
  <c r="B5930" i="11"/>
  <c r="B5938" i="11"/>
  <c r="B5946" i="11"/>
  <c r="B5954" i="11"/>
  <c r="D5954" i="11" s="1"/>
  <c r="B5962" i="11"/>
  <c r="D5962" i="11" s="1"/>
  <c r="B5970" i="11"/>
  <c r="B5978" i="11"/>
  <c r="D5978" i="11" s="1"/>
  <c r="B5986" i="11"/>
  <c r="B5994" i="11"/>
  <c r="B6002" i="11"/>
  <c r="B6010" i="11"/>
  <c r="B6018" i="11"/>
  <c r="D6018" i="11" s="1"/>
  <c r="B6026" i="11"/>
  <c r="B6034" i="11"/>
  <c r="B6042" i="11"/>
  <c r="C6042" i="11" s="1"/>
  <c r="B6050" i="11"/>
  <c r="C6050" i="11" s="1"/>
  <c r="B6058" i="11"/>
  <c r="B6066" i="11"/>
  <c r="C6066" i="11" s="1"/>
  <c r="B6074" i="11"/>
  <c r="B6082" i="11"/>
  <c r="B6090" i="11"/>
  <c r="D6090" i="11" s="1"/>
  <c r="B6098" i="11"/>
  <c r="B6106" i="11"/>
  <c r="D6106" i="11" s="1"/>
  <c r="B6114" i="11"/>
  <c r="C6114" i="11" s="1"/>
  <c r="B6122" i="11"/>
  <c r="B6130" i="11"/>
  <c r="B6138" i="11"/>
  <c r="B6146" i="11"/>
  <c r="B6154" i="11"/>
  <c r="B6162" i="11"/>
  <c r="D6162" i="11" s="1"/>
  <c r="B6170" i="11"/>
  <c r="D6170" i="11" s="1"/>
  <c r="B6178" i="11"/>
  <c r="B6186" i="11"/>
  <c r="B6194" i="11"/>
  <c r="D6194" i="11" s="1"/>
  <c r="B6202" i="11"/>
  <c r="B6210" i="11"/>
  <c r="B6218" i="11"/>
  <c r="D6218" i="11" s="1"/>
  <c r="B6226" i="11"/>
  <c r="C6226" i="11" s="1"/>
  <c r="B6234" i="11"/>
  <c r="D6234" i="11" s="1"/>
  <c r="B6242" i="11"/>
  <c r="C6242" i="11" s="1"/>
  <c r="B6250" i="11"/>
  <c r="B6258" i="11"/>
  <c r="B6266" i="11"/>
  <c r="B6274" i="11"/>
  <c r="B6282" i="11"/>
  <c r="B6290" i="11"/>
  <c r="B6298" i="11"/>
  <c r="C6298" i="11" s="1"/>
  <c r="B6306" i="11"/>
  <c r="C6306" i="11" s="1"/>
  <c r="B6314" i="11"/>
  <c r="B6322" i="11"/>
  <c r="C6322" i="11" s="1"/>
  <c r="B6330" i="11"/>
  <c r="B6338" i="11"/>
  <c r="B6346" i="11"/>
  <c r="D6346" i="11" s="1"/>
  <c r="B6354" i="11"/>
  <c r="B6362" i="11"/>
  <c r="D6362" i="11" s="1"/>
  <c r="B6370" i="11"/>
  <c r="C6370" i="11" s="1"/>
  <c r="B6378" i="11"/>
  <c r="D6378" i="11" s="1"/>
  <c r="B6386" i="11"/>
  <c r="B6394" i="11"/>
  <c r="B6402" i="11"/>
  <c r="B6410" i="11"/>
  <c r="B6418" i="11"/>
  <c r="D6418" i="11" s="1"/>
  <c r="B6426" i="11"/>
  <c r="D6426" i="11" s="1"/>
  <c r="B6434" i="11"/>
  <c r="C6434" i="11" s="1"/>
  <c r="B6442" i="11"/>
  <c r="B6450" i="11"/>
  <c r="B6458" i="11"/>
  <c r="B6466" i="11"/>
  <c r="B6474" i="11"/>
  <c r="D6474" i="11" s="1"/>
  <c r="B6482" i="11"/>
  <c r="B6490" i="11"/>
  <c r="B6498" i="11"/>
  <c r="C6498" i="11" s="1"/>
  <c r="B6506" i="11"/>
  <c r="B6514" i="11"/>
  <c r="D6514" i="11" s="1"/>
  <c r="B6522" i="11"/>
  <c r="D6522" i="11" s="1"/>
  <c r="B6530" i="11"/>
  <c r="B6538" i="11"/>
  <c r="D6538" i="11" s="1"/>
  <c r="B6546" i="11"/>
  <c r="B6554" i="11"/>
  <c r="D6554" i="11" s="1"/>
  <c r="B6562" i="11"/>
  <c r="C6562" i="11" s="1"/>
  <c r="B6570" i="11"/>
  <c r="B6577" i="11"/>
  <c r="D6577" i="11" s="1"/>
  <c r="B6582" i="11"/>
  <c r="B6588" i="11"/>
  <c r="B6593" i="11"/>
  <c r="D6593" i="11" s="1"/>
  <c r="B6598" i="11"/>
  <c r="B6604" i="11"/>
  <c r="B6609" i="11"/>
  <c r="D6609" i="11" s="1"/>
  <c r="B6614" i="11"/>
  <c r="D6614" i="11" s="1"/>
  <c r="B6620" i="11"/>
  <c r="B6625" i="11"/>
  <c r="C6625" i="11" s="1"/>
  <c r="B6630" i="11"/>
  <c r="B6636" i="11"/>
  <c r="B6641" i="11"/>
  <c r="B6646" i="11"/>
  <c r="C6646" i="11" s="1"/>
  <c r="B6652" i="11"/>
  <c r="B6657" i="11"/>
  <c r="B6662" i="11"/>
  <c r="C6662" i="11" s="1"/>
  <c r="B6668" i="11"/>
  <c r="D6668" i="11" s="1"/>
  <c r="B6673" i="11"/>
  <c r="B6678" i="11"/>
  <c r="B6684" i="11"/>
  <c r="B6689" i="11"/>
  <c r="B6694" i="11"/>
  <c r="D6694" i="11" s="1"/>
  <c r="B6700" i="11"/>
  <c r="B6705" i="11"/>
  <c r="B6710" i="11"/>
  <c r="B6716" i="11"/>
  <c r="B6721" i="11"/>
  <c r="D6721" i="11" s="1"/>
  <c r="B6726" i="11"/>
  <c r="B6732" i="11"/>
  <c r="B6737" i="11"/>
  <c r="B6742" i="11"/>
  <c r="D6742" i="11" s="1"/>
  <c r="B6748" i="11"/>
  <c r="C6748" i="11" s="1"/>
  <c r="B6753" i="11"/>
  <c r="C6753" i="11" s="1"/>
  <c r="B6758" i="11"/>
  <c r="B6764" i="11"/>
  <c r="B6769" i="11"/>
  <c r="B6774" i="11"/>
  <c r="C6774" i="11" s="1"/>
  <c r="B6780" i="11"/>
  <c r="B6785" i="11"/>
  <c r="D6785" i="11" s="1"/>
  <c r="B6790" i="11"/>
  <c r="B6796" i="11"/>
  <c r="D6796" i="11" s="1"/>
  <c r="B6801" i="11"/>
  <c r="C6801" i="11" s="1"/>
  <c r="B6806" i="11"/>
  <c r="D6806" i="11" s="1"/>
  <c r="B6812" i="11"/>
  <c r="B6817" i="11"/>
  <c r="C6817" i="11" s="1"/>
  <c r="B6822" i="11"/>
  <c r="D6822" i="11" s="1"/>
  <c r="B6828" i="11"/>
  <c r="B6833" i="11"/>
  <c r="B6838" i="11"/>
  <c r="C6838" i="11" s="1"/>
  <c r="B6844" i="11"/>
  <c r="B6849" i="11"/>
  <c r="B6854" i="11"/>
  <c r="B6860" i="11"/>
  <c r="B6865" i="11"/>
  <c r="D6865" i="11" s="1"/>
  <c r="B6870" i="11"/>
  <c r="D6870" i="11" s="1"/>
  <c r="B6876" i="11"/>
  <c r="B6881" i="11"/>
  <c r="C6881" i="11" s="1"/>
  <c r="B6886" i="11"/>
  <c r="B6892" i="11"/>
  <c r="C6892" i="11" s="1"/>
  <c r="B6897" i="11"/>
  <c r="B6902" i="11"/>
  <c r="C6902" i="11" s="1"/>
  <c r="B6908" i="11"/>
  <c r="B6913" i="11"/>
  <c r="B6918" i="11"/>
  <c r="B6924" i="11"/>
  <c r="D6924" i="11" s="1"/>
  <c r="B6929" i="11"/>
  <c r="C6929" i="11" s="1"/>
  <c r="B6934" i="11"/>
  <c r="D6934" i="11" s="1"/>
  <c r="B6940" i="11"/>
  <c r="B6945" i="11"/>
  <c r="C6945" i="11" s="1"/>
  <c r="B6950" i="11"/>
  <c r="D6950" i="11" s="1"/>
  <c r="B6956" i="11"/>
  <c r="B6961" i="11"/>
  <c r="B6966" i="11"/>
  <c r="C6966" i="11" s="1"/>
  <c r="B6972" i="11"/>
  <c r="B6977" i="11"/>
  <c r="D6977" i="11" s="1"/>
  <c r="B6982" i="11"/>
  <c r="D6982" i="11" s="1"/>
  <c r="B6988" i="11"/>
  <c r="B6993" i="11"/>
  <c r="D6993" i="11" s="1"/>
  <c r="B6998" i="11"/>
  <c r="D6998" i="11" s="1"/>
  <c r="B7004" i="11"/>
  <c r="B7009" i="11"/>
  <c r="C7009" i="11" s="1"/>
  <c r="B7014" i="11"/>
  <c r="B7020" i="11"/>
  <c r="B7025" i="11"/>
  <c r="B7030" i="11"/>
  <c r="C7030" i="11" s="1"/>
  <c r="B7036" i="11"/>
  <c r="B7041" i="11"/>
  <c r="B7046" i="11"/>
  <c r="B7052" i="11"/>
  <c r="D7052" i="11" s="1"/>
  <c r="B7057" i="11"/>
  <c r="C7057" i="11" s="1"/>
  <c r="B7062" i="11"/>
  <c r="D7062" i="11" s="1"/>
  <c r="B7068" i="11"/>
  <c r="B7073" i="11"/>
  <c r="C7073" i="11" s="1"/>
  <c r="B7078" i="11"/>
  <c r="B7084" i="11"/>
  <c r="C7084" i="11" s="1"/>
  <c r="B7089" i="11"/>
  <c r="B7094" i="11"/>
  <c r="C7094" i="11" s="1"/>
  <c r="B7100" i="11"/>
  <c r="B7105" i="11"/>
  <c r="B7110" i="11"/>
  <c r="B7116" i="11"/>
  <c r="B7121" i="11"/>
  <c r="D7121" i="11" s="1"/>
  <c r="B7126" i="11"/>
  <c r="D7126" i="11" s="1"/>
  <c r="B7132" i="11"/>
  <c r="B7137" i="11"/>
  <c r="C7137" i="11" s="1"/>
  <c r="B7142" i="11"/>
  <c r="B7148" i="11"/>
  <c r="B7153" i="11"/>
  <c r="B7158" i="11"/>
  <c r="C7158" i="11" s="1"/>
  <c r="B7164" i="11"/>
  <c r="B7169" i="11"/>
  <c r="B7174" i="11"/>
  <c r="C7174" i="11" s="1"/>
  <c r="B7180" i="11"/>
  <c r="D7180" i="11" s="1"/>
  <c r="B7185" i="11"/>
  <c r="C7185" i="11" s="1"/>
  <c r="B7190" i="11"/>
  <c r="D7190" i="11" s="1"/>
  <c r="B7196" i="11"/>
  <c r="B7201" i="11"/>
  <c r="C7201" i="11" s="1"/>
  <c r="B7206" i="11"/>
  <c r="D7206" i="11" s="1"/>
  <c r="B7212" i="11"/>
  <c r="C7212" i="11" s="1"/>
  <c r="B7217" i="11"/>
  <c r="B7222" i="11"/>
  <c r="C7222" i="11" s="1"/>
  <c r="B7228" i="11"/>
  <c r="B7233" i="11"/>
  <c r="B7238" i="11"/>
  <c r="B7244" i="11"/>
  <c r="B7249" i="11"/>
  <c r="D7249" i="11" s="1"/>
  <c r="B7254" i="11"/>
  <c r="B7260" i="11"/>
  <c r="B7265" i="11"/>
  <c r="C7265" i="11" s="1"/>
  <c r="B7270" i="11"/>
  <c r="B7276" i="11"/>
  <c r="B7281" i="11"/>
  <c r="C7281" i="11" s="1"/>
  <c r="B7286" i="11"/>
  <c r="B7292" i="11"/>
  <c r="B7297" i="11"/>
  <c r="C7297" i="11" s="1"/>
  <c r="B7302" i="11"/>
  <c r="D7302" i="11" s="1"/>
  <c r="B7307" i="11"/>
  <c r="B7311" i="11"/>
  <c r="B7315" i="11"/>
  <c r="C7315" i="11" s="1"/>
  <c r="B7319" i="11"/>
  <c r="C7319" i="11" s="1"/>
  <c r="B7323" i="11"/>
  <c r="C7323" i="11" s="1"/>
  <c r="B7327" i="11"/>
  <c r="C7327" i="11" s="1"/>
  <c r="B7331" i="11"/>
  <c r="C7331" i="11" s="1"/>
  <c r="B7335" i="11"/>
  <c r="B7339" i="11"/>
  <c r="B7343" i="11"/>
  <c r="B7347" i="11"/>
  <c r="C7347" i="11" s="1"/>
  <c r="B7351" i="11"/>
  <c r="B7355" i="11"/>
  <c r="C7355" i="11" s="1"/>
  <c r="B7359" i="11"/>
  <c r="D7359" i="11" s="1"/>
  <c r="B7363" i="11"/>
  <c r="C7363" i="11" s="1"/>
  <c r="B7367" i="11"/>
  <c r="B7371" i="11"/>
  <c r="B7375" i="11"/>
  <c r="B7379" i="11"/>
  <c r="C7379" i="11" s="1"/>
  <c r="B7383" i="11"/>
  <c r="C7383" i="11" s="1"/>
  <c r="B7387" i="11"/>
  <c r="B7391" i="11"/>
  <c r="B7395" i="11"/>
  <c r="C7395" i="11" s="1"/>
  <c r="B7399" i="11"/>
  <c r="B7403" i="11"/>
  <c r="B7407" i="11"/>
  <c r="B7411" i="11"/>
  <c r="C7411" i="11" s="1"/>
  <c r="B7415" i="11"/>
  <c r="B7419" i="11"/>
  <c r="B7423" i="11"/>
  <c r="B7427" i="11"/>
  <c r="C7427" i="11" s="1"/>
  <c r="B7431" i="11"/>
  <c r="B7435" i="11"/>
  <c r="C7435" i="11" s="1"/>
  <c r="B7439" i="11"/>
  <c r="B7443" i="11"/>
  <c r="C7443" i="11" s="1"/>
  <c r="B7447" i="11"/>
  <c r="B7451" i="11"/>
  <c r="B7455" i="11"/>
  <c r="B7459" i="11"/>
  <c r="C7459" i="11" s="1"/>
  <c r="B7463" i="11"/>
  <c r="B7467" i="11"/>
  <c r="B7471" i="11"/>
  <c r="C7471" i="11" s="1"/>
  <c r="B7475" i="11"/>
  <c r="C7475" i="11" s="1"/>
  <c r="B7479" i="11"/>
  <c r="B7483" i="11"/>
  <c r="C7483" i="11" s="1"/>
  <c r="B7487" i="11"/>
  <c r="B7491" i="11"/>
  <c r="C7491" i="11" s="1"/>
  <c r="B7495" i="11"/>
  <c r="B7499" i="11"/>
  <c r="B7503" i="11"/>
  <c r="B7507" i="11"/>
  <c r="C7507" i="11" s="1"/>
  <c r="B7511" i="11"/>
  <c r="B7515" i="11"/>
  <c r="B7519" i="11"/>
  <c r="C7519" i="11" s="1"/>
  <c r="B7523" i="11"/>
  <c r="C7523" i="11" s="1"/>
  <c r="B7527" i="11"/>
  <c r="B7531" i="11"/>
  <c r="B7535" i="11"/>
  <c r="B7539" i="11"/>
  <c r="C7539" i="11" s="1"/>
  <c r="B7543" i="11"/>
  <c r="B7547" i="11"/>
  <c r="B7551" i="11"/>
  <c r="B7555" i="11"/>
  <c r="C7555" i="11" s="1"/>
  <c r="B7559" i="11"/>
  <c r="B7563" i="11"/>
  <c r="C7563" i="11" s="1"/>
  <c r="B7567" i="11"/>
  <c r="B7571" i="11"/>
  <c r="C7571" i="11" s="1"/>
  <c r="B7575" i="11"/>
  <c r="D7575" i="11" s="1"/>
  <c r="B7579" i="11"/>
  <c r="C7579" i="11" s="1"/>
  <c r="B7583" i="11"/>
  <c r="C7583" i="11" s="1"/>
  <c r="B7587" i="11"/>
  <c r="C7587" i="11" s="1"/>
  <c r="B7591" i="11"/>
  <c r="B7595" i="11"/>
  <c r="B7599" i="11"/>
  <c r="B7603" i="11"/>
  <c r="C7603" i="11" s="1"/>
  <c r="B7607" i="11"/>
  <c r="B7611" i="11"/>
  <c r="B7615" i="11"/>
  <c r="D7615" i="11" s="1"/>
  <c r="B7619" i="11"/>
  <c r="C7619" i="11" s="1"/>
  <c r="B7623" i="11"/>
  <c r="C7623" i="11" s="1"/>
  <c r="B7627" i="11"/>
  <c r="B7631" i="11"/>
  <c r="B7635" i="11"/>
  <c r="C7635" i="11" s="1"/>
  <c r="B7639" i="11"/>
  <c r="B7643" i="11"/>
  <c r="B7647" i="11"/>
  <c r="C7647" i="11" s="1"/>
  <c r="B7651" i="11"/>
  <c r="C7651" i="11" s="1"/>
  <c r="B7655" i="11"/>
  <c r="B7659" i="11"/>
  <c r="B7663" i="11"/>
  <c r="C7663" i="11" s="1"/>
  <c r="B7667" i="11"/>
  <c r="C7667" i="11" s="1"/>
  <c r="B7671" i="11"/>
  <c r="D7671" i="11" s="1"/>
  <c r="B7675" i="11"/>
  <c r="C7675" i="11" s="1"/>
  <c r="B7679" i="11"/>
  <c r="B7683" i="11"/>
  <c r="C7683" i="11" s="1"/>
  <c r="B7687" i="11"/>
  <c r="B7691" i="11"/>
  <c r="C7691" i="11" s="1"/>
  <c r="B7695" i="11"/>
  <c r="B7699" i="11"/>
  <c r="C7699" i="11" s="1"/>
  <c r="B7703" i="11"/>
  <c r="B7707" i="11"/>
  <c r="B7711" i="11"/>
  <c r="B7715" i="11"/>
  <c r="C7715" i="11" s="1"/>
  <c r="B7719" i="11"/>
  <c r="B7723" i="11"/>
  <c r="B7727" i="11"/>
  <c r="B7731" i="11"/>
  <c r="C7731" i="11" s="1"/>
  <c r="B7735" i="11"/>
  <c r="B7739" i="11"/>
  <c r="B7743" i="11"/>
  <c r="B7747" i="11"/>
  <c r="C7747" i="11" s="1"/>
  <c r="B7751" i="11"/>
  <c r="B7755" i="11"/>
  <c r="B7759" i="11"/>
  <c r="C7759" i="11" s="1"/>
  <c r="B7763" i="11"/>
  <c r="C7763" i="11" s="1"/>
  <c r="B7767" i="11"/>
  <c r="B7771" i="11"/>
  <c r="C7771" i="11" s="1"/>
  <c r="B7775" i="11"/>
  <c r="B7779" i="11"/>
  <c r="C7779" i="11" s="1"/>
  <c r="B7783" i="11"/>
  <c r="B7787" i="11"/>
  <c r="B7791" i="11"/>
  <c r="B7795" i="11"/>
  <c r="C7795" i="11" s="1"/>
  <c r="B7799" i="11"/>
  <c r="B7803" i="11"/>
  <c r="B7807" i="11"/>
  <c r="B7811" i="11"/>
  <c r="C7811" i="11" s="1"/>
  <c r="B7815" i="11"/>
  <c r="B7819" i="11"/>
  <c r="C7819" i="11" s="1"/>
  <c r="B7823" i="11"/>
  <c r="B7827" i="11"/>
  <c r="C7827" i="11" s="1"/>
  <c r="B7831" i="11"/>
  <c r="B7835" i="11"/>
  <c r="C7835" i="11" s="1"/>
  <c r="B7839" i="11"/>
  <c r="B7843" i="11"/>
  <c r="C7843" i="11" s="1"/>
  <c r="B7847" i="11"/>
  <c r="B7851" i="11"/>
  <c r="B7855" i="11"/>
  <c r="B7859" i="11"/>
  <c r="C7859" i="11" s="1"/>
  <c r="B7863" i="11"/>
  <c r="B7867" i="11"/>
  <c r="B7871" i="11"/>
  <c r="B7875" i="11"/>
  <c r="C7875" i="11" s="1"/>
  <c r="B7879" i="11"/>
  <c r="B7883" i="11"/>
  <c r="B7887" i="11"/>
  <c r="C7887" i="11" s="1"/>
  <c r="B7891" i="11"/>
  <c r="C7891" i="11" s="1"/>
  <c r="B7895" i="11"/>
  <c r="C7895" i="11" s="1"/>
  <c r="B7899" i="11"/>
  <c r="C7899" i="11" s="1"/>
  <c r="B7903" i="11"/>
  <c r="C7903" i="11" s="1"/>
  <c r="B7907" i="11"/>
  <c r="C7907" i="11" s="1"/>
  <c r="B7911" i="11"/>
  <c r="B7915" i="11"/>
  <c r="B7919" i="11"/>
  <c r="B7923" i="11"/>
  <c r="C7923" i="11" s="1"/>
  <c r="B7927" i="11"/>
  <c r="C7927" i="11" s="1"/>
  <c r="B7931" i="11"/>
  <c r="C7931" i="11" s="1"/>
  <c r="B7935" i="11"/>
  <c r="D7935" i="11" s="1"/>
  <c r="B7939" i="11"/>
  <c r="C7939" i="11" s="1"/>
  <c r="B7943" i="11"/>
  <c r="B7947" i="11"/>
  <c r="B7951" i="11"/>
  <c r="B7955" i="11"/>
  <c r="C7955" i="11" s="1"/>
  <c r="B7959" i="11"/>
  <c r="B7963" i="11"/>
  <c r="B7967" i="11"/>
  <c r="C7967" i="11" s="1"/>
  <c r="B7971" i="11"/>
  <c r="C7971" i="11" s="1"/>
  <c r="B7975" i="11"/>
  <c r="B7979" i="11"/>
  <c r="B7983" i="11"/>
  <c r="B7987" i="11"/>
  <c r="C7987" i="11" s="1"/>
  <c r="B7991" i="11"/>
  <c r="B7995" i="11"/>
  <c r="B7999" i="11"/>
  <c r="B8003" i="11"/>
  <c r="C8003" i="11" s="1"/>
  <c r="B8007" i="11"/>
  <c r="B8011" i="11"/>
  <c r="C8011" i="11" s="1"/>
  <c r="B8015" i="11"/>
  <c r="B8019" i="11"/>
  <c r="C8019" i="11" s="1"/>
  <c r="B8023" i="11"/>
  <c r="B8027" i="11"/>
  <c r="C8027" i="11" s="1"/>
  <c r="B8031" i="11"/>
  <c r="C8031" i="11" s="1"/>
  <c r="B8035" i="11"/>
  <c r="C8035" i="11" s="1"/>
  <c r="B8039" i="11"/>
  <c r="B8043" i="11"/>
  <c r="B8047" i="11"/>
  <c r="B8051" i="11"/>
  <c r="C8051" i="11" s="1"/>
  <c r="B8055" i="11"/>
  <c r="D8055" i="11" s="1"/>
  <c r="B8059" i="11"/>
  <c r="B8063" i="11"/>
  <c r="B8067" i="11"/>
  <c r="C8067" i="11" s="1"/>
  <c r="B8071" i="11"/>
  <c r="B8075" i="11"/>
  <c r="B8079" i="11"/>
  <c r="B8083" i="11"/>
  <c r="C8083" i="11" s="1"/>
  <c r="B8087" i="11"/>
  <c r="B8091" i="11"/>
  <c r="B8095" i="11"/>
  <c r="B8099" i="11"/>
  <c r="C8099" i="11" s="1"/>
  <c r="B8103" i="11"/>
  <c r="B8107" i="11"/>
  <c r="B8111" i="11"/>
  <c r="B8115" i="11"/>
  <c r="C8115" i="11" s="1"/>
  <c r="B8119" i="11"/>
  <c r="B8123" i="11"/>
  <c r="C8123" i="11" s="1"/>
  <c r="B8127" i="11"/>
  <c r="D8127" i="11" s="1"/>
  <c r="B8131" i="11"/>
  <c r="C8131" i="11" s="1"/>
  <c r="B8135" i="11"/>
  <c r="C8135" i="11" s="1"/>
  <c r="B8139" i="11"/>
  <c r="B8143" i="11"/>
  <c r="B8147" i="11"/>
  <c r="C8147" i="11" s="1"/>
  <c r="B8151" i="11"/>
  <c r="B8155" i="11"/>
  <c r="C8155" i="11" s="1"/>
  <c r="B8159" i="11"/>
  <c r="B8163" i="11"/>
  <c r="C8163" i="11" s="1"/>
  <c r="B8167" i="11"/>
  <c r="B8171" i="11"/>
  <c r="B8175" i="11"/>
  <c r="B8179" i="11"/>
  <c r="C8179" i="11" s="1"/>
  <c r="B8183" i="11"/>
  <c r="B8187" i="11"/>
  <c r="B8191" i="11"/>
  <c r="B8195" i="11"/>
  <c r="C8195" i="11" s="1"/>
  <c r="B8199" i="11"/>
  <c r="B8203" i="11"/>
  <c r="B8207" i="11"/>
  <c r="B8211" i="11"/>
  <c r="C8211" i="11" s="1"/>
  <c r="B8215" i="11"/>
  <c r="B8219" i="11"/>
  <c r="B8223" i="11"/>
  <c r="C8223" i="11" s="1"/>
  <c r="B8227" i="11"/>
  <c r="C8227" i="11" s="1"/>
  <c r="B8231" i="11"/>
  <c r="B8235" i="11"/>
  <c r="B8239" i="11"/>
  <c r="D8239" i="11" s="1"/>
  <c r="B8243" i="11"/>
  <c r="C8243" i="11" s="1"/>
  <c r="B8247" i="11"/>
  <c r="B8251" i="11"/>
  <c r="C8251" i="11" s="1"/>
  <c r="B8255" i="11"/>
  <c r="B8259" i="11"/>
  <c r="B8263" i="11"/>
  <c r="B8267" i="11"/>
  <c r="C8267" i="11" s="1"/>
  <c r="B8271" i="11"/>
  <c r="B8275" i="11"/>
  <c r="B8279" i="11"/>
  <c r="B8283" i="11"/>
  <c r="B8287" i="11"/>
  <c r="B8291" i="11"/>
  <c r="B8295" i="11"/>
  <c r="B8299" i="11"/>
  <c r="B8303" i="11"/>
  <c r="B8307" i="11"/>
  <c r="B8311" i="11"/>
  <c r="B8315" i="11"/>
  <c r="B8319" i="11"/>
  <c r="B8323" i="11"/>
  <c r="B8327" i="11"/>
  <c r="B8331" i="11"/>
  <c r="B8335" i="11"/>
  <c r="B8339" i="11"/>
  <c r="B8343" i="11"/>
  <c r="B8347" i="11"/>
  <c r="C8347" i="11" s="1"/>
  <c r="B8351" i="11"/>
  <c r="B8355" i="11"/>
  <c r="B8359" i="11"/>
  <c r="B8363" i="11"/>
  <c r="B8367" i="11"/>
  <c r="B8371" i="11"/>
  <c r="B8375" i="11"/>
  <c r="B8379" i="11"/>
  <c r="C8379" i="11" s="1"/>
  <c r="B8383" i="11"/>
  <c r="B8387" i="11"/>
  <c r="B8391" i="11"/>
  <c r="B8395" i="11"/>
  <c r="B8399" i="11"/>
  <c r="B8403" i="11"/>
  <c r="B8407" i="11"/>
  <c r="B8411" i="11"/>
  <c r="B8415" i="11"/>
  <c r="B8419" i="11"/>
  <c r="B8423" i="11"/>
  <c r="B8427" i="11"/>
  <c r="B8431" i="11"/>
  <c r="B8435" i="11"/>
  <c r="B8439" i="11"/>
  <c r="B8443" i="11"/>
  <c r="C8443" i="11" s="1"/>
  <c r="B8447" i="11"/>
  <c r="B8451" i="11"/>
  <c r="B8455" i="11"/>
  <c r="B8459" i="11"/>
  <c r="C8459" i="11" s="1"/>
  <c r="B8463" i="11"/>
  <c r="B8467" i="11"/>
  <c r="B8471" i="11"/>
  <c r="B8475" i="11"/>
  <c r="B8479" i="11"/>
  <c r="B8483" i="11"/>
  <c r="B8487" i="11"/>
  <c r="B8491" i="11"/>
  <c r="B8495" i="11"/>
  <c r="B8499" i="11"/>
  <c r="B8503" i="11"/>
  <c r="B8507" i="11"/>
  <c r="C8507" i="11" s="1"/>
  <c r="B8511" i="11"/>
  <c r="B8515" i="11"/>
  <c r="B8519" i="11"/>
  <c r="B8523" i="11"/>
  <c r="B8527" i="11"/>
  <c r="B8531" i="11"/>
  <c r="B8535" i="11"/>
  <c r="B8539" i="11"/>
  <c r="B8543" i="11"/>
  <c r="B8547" i="11"/>
  <c r="B8551" i="11"/>
  <c r="B8555" i="11"/>
  <c r="B8559" i="11"/>
  <c r="B8563" i="11"/>
  <c r="B8567" i="11"/>
  <c r="B8571" i="11"/>
  <c r="B8575" i="11"/>
  <c r="B8579" i="11"/>
  <c r="B8583" i="11"/>
  <c r="B8587" i="11"/>
  <c r="C8587" i="11" s="1"/>
  <c r="B8591" i="11"/>
  <c r="B8595" i="11"/>
  <c r="B8599" i="11"/>
  <c r="B8603" i="11"/>
  <c r="C8603" i="11" s="1"/>
  <c r="B8607" i="11"/>
  <c r="B8611" i="11"/>
  <c r="B8615" i="11"/>
  <c r="B8619" i="11"/>
  <c r="B8623" i="11"/>
  <c r="B8627" i="11"/>
  <c r="B8631" i="11"/>
  <c r="B8635" i="11"/>
  <c r="B8639" i="11"/>
  <c r="B8643" i="11"/>
  <c r="B8647" i="11"/>
  <c r="B8651" i="11"/>
  <c r="B8655" i="11"/>
  <c r="B8659" i="11"/>
  <c r="B8663" i="11"/>
  <c r="B8667" i="11"/>
  <c r="B8671" i="11"/>
  <c r="B8675" i="11"/>
  <c r="B8679" i="11"/>
  <c r="B8683" i="11"/>
  <c r="B8687" i="11"/>
  <c r="B8691" i="11"/>
  <c r="B8695" i="11"/>
  <c r="B8699" i="11"/>
  <c r="C8699" i="11" s="1"/>
  <c r="B8703" i="11"/>
  <c r="B8707" i="11"/>
  <c r="B8711" i="11"/>
  <c r="B8715" i="11"/>
  <c r="C8715" i="11" s="1"/>
  <c r="B8719" i="11"/>
  <c r="B8723" i="11"/>
  <c r="B8727" i="11"/>
  <c r="B8731" i="11"/>
  <c r="B8735" i="11"/>
  <c r="B8739" i="11"/>
  <c r="B8743" i="11"/>
  <c r="B8747" i="11"/>
  <c r="B8751" i="11"/>
  <c r="B8755" i="11"/>
  <c r="B8759" i="11"/>
  <c r="B8763" i="11"/>
  <c r="B8767" i="11"/>
  <c r="B8771" i="11"/>
  <c r="B8775" i="11"/>
  <c r="B8779" i="11"/>
  <c r="B8783" i="11"/>
  <c r="B8787" i="11"/>
  <c r="B8791" i="11"/>
  <c r="B8795" i="11"/>
  <c r="C8795" i="11" s="1"/>
  <c r="B8799" i="11"/>
  <c r="B8803" i="11"/>
  <c r="B8807" i="11"/>
  <c r="B8811" i="11"/>
  <c r="B8815" i="11"/>
  <c r="B8819" i="11"/>
  <c r="B8823" i="11"/>
  <c r="B8827" i="11"/>
  <c r="B8831" i="11"/>
  <c r="B8835" i="11"/>
  <c r="B8839" i="11"/>
  <c r="B8843" i="11"/>
  <c r="C8843" i="11" s="1"/>
  <c r="B8847" i="11"/>
  <c r="B8851" i="11"/>
  <c r="B8855" i="11"/>
  <c r="B8859" i="11"/>
  <c r="B8863" i="11"/>
  <c r="B8867" i="11"/>
  <c r="B8871" i="11"/>
  <c r="B8875" i="11"/>
  <c r="B8879" i="11"/>
  <c r="B8883" i="11"/>
  <c r="B8887" i="11"/>
  <c r="B8891" i="11"/>
  <c r="B8895" i="11"/>
  <c r="B8899" i="11"/>
  <c r="B8903" i="11"/>
  <c r="B8907" i="11"/>
  <c r="B8911" i="11"/>
  <c r="B8915" i="11"/>
  <c r="B8919" i="11"/>
  <c r="B8923" i="11"/>
  <c r="B8927" i="11"/>
  <c r="B8931" i="11"/>
  <c r="B8935" i="11"/>
  <c r="B8939" i="11"/>
  <c r="B8943" i="11"/>
  <c r="B8947" i="11"/>
  <c r="B8951" i="11"/>
  <c r="B8955" i="11"/>
  <c r="C8955" i="11" s="1"/>
  <c r="B8959" i="11"/>
  <c r="B8963" i="11"/>
  <c r="B8967" i="11"/>
  <c r="B8971" i="11"/>
  <c r="B8975" i="11"/>
  <c r="B8979" i="11"/>
  <c r="B8983" i="11"/>
  <c r="B8987" i="11"/>
  <c r="B8991" i="11"/>
  <c r="B8995" i="11"/>
  <c r="B8999" i="11"/>
  <c r="B9003" i="11"/>
  <c r="B9007" i="11"/>
  <c r="B9011" i="11"/>
  <c r="B9015" i="11"/>
  <c r="B9019" i="11"/>
  <c r="C9019" i="11" s="1"/>
  <c r="B9023" i="11"/>
  <c r="B9027" i="11"/>
  <c r="B9031" i="11"/>
  <c r="B9035" i="11"/>
  <c r="B9039" i="11"/>
  <c r="B9043" i="11"/>
  <c r="B9047" i="11"/>
  <c r="B9051" i="11"/>
  <c r="B9055" i="11"/>
  <c r="B9059" i="11"/>
  <c r="B9063" i="11"/>
  <c r="B9067" i="11"/>
  <c r="B9071" i="11"/>
  <c r="B9075" i="11"/>
  <c r="B9079" i="11"/>
  <c r="B9083" i="11"/>
  <c r="B9087" i="11"/>
  <c r="B9091" i="11"/>
  <c r="B9095" i="11"/>
  <c r="B9099" i="11"/>
  <c r="C9099" i="11" s="1"/>
  <c r="B9103" i="11"/>
  <c r="B9107" i="11"/>
  <c r="B9111" i="11"/>
  <c r="B9115" i="11"/>
  <c r="C9115" i="11" s="1"/>
  <c r="B9119" i="11"/>
  <c r="B9123" i="11"/>
  <c r="B9127" i="11"/>
  <c r="B9131" i="11"/>
  <c r="B9135" i="11"/>
  <c r="B9139" i="11"/>
  <c r="B9143" i="11"/>
  <c r="B9147" i="11"/>
  <c r="B9151" i="11"/>
  <c r="B9155" i="11"/>
  <c r="B9159" i="11"/>
  <c r="B9163" i="11"/>
  <c r="B9167" i="11"/>
  <c r="B9171" i="11"/>
  <c r="B9175" i="11"/>
  <c r="B9179" i="11"/>
  <c r="C9179" i="11" s="1"/>
  <c r="B9183" i="11"/>
  <c r="B9187" i="11"/>
  <c r="B9191" i="11"/>
  <c r="B9195" i="11"/>
  <c r="B9199" i="11"/>
  <c r="B9203" i="11"/>
  <c r="B9207" i="11"/>
  <c r="B9211" i="11"/>
  <c r="B9215" i="11"/>
  <c r="B9219" i="11"/>
  <c r="B9223" i="11"/>
  <c r="B9227" i="11"/>
  <c r="B9231" i="11"/>
  <c r="B9235" i="11"/>
  <c r="B9239" i="11"/>
  <c r="B9243" i="11"/>
  <c r="B9247" i="11"/>
  <c r="B9251" i="11"/>
  <c r="B9255" i="11"/>
  <c r="B9259" i="11"/>
  <c r="B9263" i="11"/>
  <c r="B9267" i="11"/>
  <c r="B9271" i="11"/>
  <c r="B9275" i="11"/>
  <c r="B9279" i="11"/>
  <c r="B9283" i="11"/>
  <c r="B9287" i="11"/>
  <c r="B9291" i="11"/>
  <c r="C9291" i="11" s="1"/>
  <c r="B9295" i="11"/>
  <c r="B9299" i="11"/>
  <c r="B9303" i="11"/>
  <c r="B9307" i="11"/>
  <c r="B9311" i="11"/>
  <c r="B9315" i="11"/>
  <c r="B9319" i="11"/>
  <c r="B9323" i="11"/>
  <c r="B9327" i="11"/>
  <c r="B9331" i="11"/>
  <c r="B9335" i="11"/>
  <c r="B9339" i="11"/>
  <c r="B9343" i="11"/>
  <c r="B9347" i="11"/>
  <c r="B9351" i="11"/>
  <c r="B9355" i="11"/>
  <c r="C9355" i="11" s="1"/>
  <c r="B9359" i="11"/>
  <c r="B9363" i="11"/>
  <c r="B9367" i="11"/>
  <c r="B9371" i="11"/>
  <c r="B9375" i="11"/>
  <c r="B9379" i="11"/>
  <c r="B9383" i="11"/>
  <c r="B9387" i="11"/>
  <c r="B9391" i="11"/>
  <c r="B9395" i="11"/>
  <c r="B9399" i="11"/>
  <c r="B9403" i="11"/>
  <c r="B9407" i="11"/>
  <c r="B9411" i="11"/>
  <c r="B9415" i="11"/>
  <c r="B9419" i="11"/>
  <c r="B9423" i="11"/>
  <c r="B9427" i="11"/>
  <c r="B9431" i="11"/>
  <c r="B9435" i="11"/>
  <c r="B9439" i="11"/>
  <c r="B9443" i="11"/>
  <c r="B9447" i="11"/>
  <c r="B9451" i="11"/>
  <c r="B9455" i="11"/>
  <c r="B9459" i="11"/>
  <c r="B9463" i="11"/>
  <c r="B9467" i="11"/>
  <c r="C9467" i="11" s="1"/>
  <c r="B9471" i="11"/>
  <c r="B9475" i="11"/>
  <c r="B9479" i="11"/>
  <c r="B9483" i="11"/>
  <c r="B9487" i="11"/>
  <c r="B9491" i="11"/>
  <c r="B9495" i="11"/>
  <c r="B9499" i="11"/>
  <c r="B9503" i="11"/>
  <c r="B9507" i="11"/>
  <c r="B9511" i="11"/>
  <c r="B9515" i="11"/>
  <c r="B9519" i="11"/>
  <c r="B9523" i="11"/>
  <c r="B9527" i="11"/>
  <c r="B9531" i="11"/>
  <c r="C9531" i="11" s="1"/>
  <c r="B9535" i="11"/>
  <c r="B9539" i="11"/>
  <c r="B9543" i="11"/>
  <c r="B9547" i="11"/>
  <c r="B9551" i="11"/>
  <c r="B9555" i="11"/>
  <c r="B9559" i="11"/>
  <c r="B9563" i="11"/>
  <c r="B9567" i="11"/>
  <c r="B9571" i="11"/>
  <c r="B9575" i="11"/>
  <c r="B9579" i="11"/>
  <c r="B9583" i="11"/>
  <c r="B9587" i="11"/>
  <c r="B9591" i="11"/>
  <c r="B9595" i="11"/>
  <c r="B9599" i="11"/>
  <c r="B9603" i="11"/>
  <c r="B9607" i="11"/>
  <c r="B9611" i="11"/>
  <c r="B9615" i="11"/>
  <c r="B9619" i="11"/>
  <c r="B9623" i="11"/>
  <c r="B9627" i="11"/>
  <c r="C9627" i="11" s="1"/>
  <c r="B9631" i="11"/>
  <c r="B9635" i="11"/>
  <c r="B9639" i="11"/>
  <c r="B9643" i="11"/>
  <c r="B9647" i="11"/>
  <c r="B9651" i="11"/>
  <c r="B9655" i="11"/>
  <c r="C9655" i="11" s="1"/>
  <c r="B9659" i="11"/>
  <c r="C9659" i="11" s="1"/>
  <c r="B9663" i="11"/>
  <c r="B9667" i="11"/>
  <c r="B9671" i="11"/>
  <c r="B9675" i="11"/>
  <c r="B9679" i="11"/>
  <c r="B9683" i="11"/>
  <c r="B9687" i="11"/>
  <c r="C9687" i="11" s="1"/>
  <c r="B9691" i="11"/>
  <c r="C9691" i="11" s="1"/>
  <c r="B9695" i="11"/>
  <c r="B9699" i="11"/>
  <c r="B9703" i="11"/>
  <c r="B9707" i="11"/>
  <c r="B9711" i="11"/>
  <c r="B9715" i="11"/>
  <c r="B9719" i="11"/>
  <c r="B9723" i="11"/>
  <c r="C9723" i="11" s="1"/>
  <c r="B9727" i="11"/>
  <c r="B9731" i="11"/>
  <c r="B9735" i="11"/>
  <c r="B9739" i="11"/>
  <c r="C9739" i="11" s="1"/>
  <c r="B9743" i="11"/>
  <c r="B9747" i="11"/>
  <c r="B9751" i="11"/>
  <c r="B9755" i="11"/>
  <c r="C9755" i="11" s="1"/>
  <c r="B9759" i="11"/>
  <c r="B9763" i="11"/>
  <c r="B9767" i="11"/>
  <c r="B9771" i="11"/>
  <c r="B9775" i="11"/>
  <c r="B9779" i="11"/>
  <c r="B9783" i="11"/>
  <c r="B9787" i="11"/>
  <c r="C9787" i="11" s="1"/>
  <c r="B9791" i="11"/>
  <c r="B9795" i="11"/>
  <c r="B9799" i="11"/>
  <c r="B9803" i="11"/>
  <c r="B9807" i="11"/>
  <c r="B9811" i="11"/>
  <c r="B9815" i="11"/>
  <c r="B9819" i="11"/>
  <c r="C9819" i="11" s="1"/>
  <c r="B9823" i="11"/>
  <c r="B9827" i="11"/>
  <c r="B9831" i="11"/>
  <c r="C9831" i="11" s="1"/>
  <c r="B9835" i="11"/>
  <c r="B9839" i="11"/>
  <c r="C9839" i="11" s="1"/>
  <c r="B9843" i="11"/>
  <c r="B9847" i="11"/>
  <c r="B9851" i="11"/>
  <c r="C9851" i="11" s="1"/>
  <c r="B9855" i="11"/>
  <c r="B9859" i="11"/>
  <c r="B9863" i="11"/>
  <c r="C9863" i="11" s="1"/>
  <c r="B9867" i="11"/>
  <c r="C9867" i="11" s="1"/>
  <c r="B9871" i="11"/>
  <c r="B9875" i="11"/>
  <c r="B9879" i="11"/>
  <c r="B9883" i="11"/>
  <c r="C9883" i="11" s="1"/>
  <c r="B9887" i="11"/>
  <c r="B9891" i="11"/>
  <c r="B9895" i="11"/>
  <c r="B9899" i="11"/>
  <c r="B9903" i="11"/>
  <c r="B9907" i="11"/>
  <c r="B9911" i="11"/>
  <c r="C9911" i="11" s="1"/>
  <c r="B9915" i="11"/>
  <c r="C9915" i="11" s="1"/>
  <c r="B9919" i="11"/>
  <c r="B9923" i="11"/>
  <c r="B9927" i="11"/>
  <c r="B9931" i="11"/>
  <c r="B9935" i="11"/>
  <c r="B9939" i="11"/>
  <c r="B9943" i="11"/>
  <c r="C9943" i="11" s="1"/>
  <c r="B9947" i="11"/>
  <c r="C9947" i="11" s="1"/>
  <c r="B9951" i="11"/>
  <c r="B9955" i="11"/>
  <c r="B9959" i="11"/>
  <c r="B9963" i="11"/>
  <c r="B9967" i="11"/>
  <c r="B9971" i="11"/>
  <c r="B9975" i="11"/>
  <c r="B9979" i="11"/>
  <c r="C9979" i="11" s="1"/>
  <c r="B9983" i="11"/>
  <c r="B9987" i="11"/>
  <c r="B9991" i="11"/>
  <c r="B9995" i="11"/>
  <c r="B9999" i="11"/>
  <c r="B10003" i="11"/>
  <c r="B10007" i="11"/>
  <c r="B10011" i="11"/>
  <c r="C10011" i="11" s="1"/>
  <c r="B583" i="11"/>
  <c r="C583" i="11" s="1"/>
  <c r="B930" i="11"/>
  <c r="B1167" i="11"/>
  <c r="C1167" i="11" s="1"/>
  <c r="B1282" i="11"/>
  <c r="B1394" i="11"/>
  <c r="D1394" i="11" s="1"/>
  <c r="B1508" i="11"/>
  <c r="B1623" i="11"/>
  <c r="B1694" i="11"/>
  <c r="B1752" i="11"/>
  <c r="B1809" i="11"/>
  <c r="C1809" i="11" s="1"/>
  <c r="B1865" i="11"/>
  <c r="D1865" i="11" s="1"/>
  <c r="B1922" i="11"/>
  <c r="B1980" i="11"/>
  <c r="B2036" i="11"/>
  <c r="B2092" i="11"/>
  <c r="B2134" i="11"/>
  <c r="B2177" i="11"/>
  <c r="B2220" i="11"/>
  <c r="B2262" i="11"/>
  <c r="D2262" i="11" s="1"/>
  <c r="B2305" i="11"/>
  <c r="B2338" i="11"/>
  <c r="B2370" i="11"/>
  <c r="B2402" i="11"/>
  <c r="B2434" i="11"/>
  <c r="B2466" i="11"/>
  <c r="B2498" i="11"/>
  <c r="D2498" i="11" s="1"/>
  <c r="B2530" i="11"/>
  <c r="B2562" i="11"/>
  <c r="B2594" i="11"/>
  <c r="B2626" i="11"/>
  <c r="B2658" i="11"/>
  <c r="B2690" i="11"/>
  <c r="B2722" i="11"/>
  <c r="B2754" i="11"/>
  <c r="C2754" i="11" s="1"/>
  <c r="B2786" i="11"/>
  <c r="B2818" i="11"/>
  <c r="B2850" i="11"/>
  <c r="D2850" i="11" s="1"/>
  <c r="B2882" i="11"/>
  <c r="D2882" i="11" s="1"/>
  <c r="B2914" i="11"/>
  <c r="C2914" i="11" s="1"/>
  <c r="B2946" i="11"/>
  <c r="B2978" i="11"/>
  <c r="C2978" i="11" s="1"/>
  <c r="B3010" i="11"/>
  <c r="D3010" i="11" s="1"/>
  <c r="B3040" i="11"/>
  <c r="B3062" i="11"/>
  <c r="B3083" i="11"/>
  <c r="B3104" i="11"/>
  <c r="C3104" i="11" s="1"/>
  <c r="B3126" i="11"/>
  <c r="B3147" i="11"/>
  <c r="B3168" i="11"/>
  <c r="C3168" i="11" s="1"/>
  <c r="B3190" i="11"/>
  <c r="B3211" i="11"/>
  <c r="B3232" i="11"/>
  <c r="D3232" i="11" s="1"/>
  <c r="B3254" i="11"/>
  <c r="D3254" i="11" s="1"/>
  <c r="B3275" i="11"/>
  <c r="D3275" i="11" s="1"/>
  <c r="B3296" i="11"/>
  <c r="D3296" i="11" s="1"/>
  <c r="B3318" i="11"/>
  <c r="B3339" i="11"/>
  <c r="B3360" i="11"/>
  <c r="D3360" i="11" s="1"/>
  <c r="B3382" i="11"/>
  <c r="B3403" i="11"/>
  <c r="C3403" i="11" s="1"/>
  <c r="B3424" i="11"/>
  <c r="C3424" i="11" s="1"/>
  <c r="B3446" i="11"/>
  <c r="B3467" i="11"/>
  <c r="B3488" i="11"/>
  <c r="B3510" i="11"/>
  <c r="C3510" i="11" s="1"/>
  <c r="B3531" i="11"/>
  <c r="C3531" i="11" s="1"/>
  <c r="B3552" i="11"/>
  <c r="B3574" i="11"/>
  <c r="B3595" i="11"/>
  <c r="B3616" i="11"/>
  <c r="D3616" i="11" s="1"/>
  <c r="B3638" i="11"/>
  <c r="B3659" i="11"/>
  <c r="C3659" i="11" s="1"/>
  <c r="B3678" i="11"/>
  <c r="C3678" i="11" s="1"/>
  <c r="B3694" i="11"/>
  <c r="B3710" i="11"/>
  <c r="B3726" i="11"/>
  <c r="C3726" i="11" s="1"/>
  <c r="B3742" i="11"/>
  <c r="D3742" i="11" s="1"/>
  <c r="B3758" i="11"/>
  <c r="B3774" i="11"/>
  <c r="B3790" i="11"/>
  <c r="C3790" i="11" s="1"/>
  <c r="B3806" i="11"/>
  <c r="B3822" i="11"/>
  <c r="B3838" i="11"/>
  <c r="B3854" i="11"/>
  <c r="C3854" i="11" s="1"/>
  <c r="B3870" i="11"/>
  <c r="B3886" i="11"/>
  <c r="C3886" i="11" s="1"/>
  <c r="B3902" i="11"/>
  <c r="C3902" i="11" s="1"/>
  <c r="B3918" i="11"/>
  <c r="C3918" i="11" s="1"/>
  <c r="B3934" i="11"/>
  <c r="B3950" i="11"/>
  <c r="C3950" i="11" s="1"/>
  <c r="B3966" i="11"/>
  <c r="B3982" i="11"/>
  <c r="C3982" i="11" s="1"/>
  <c r="B3998" i="11"/>
  <c r="B4014" i="11"/>
  <c r="B4030" i="11"/>
  <c r="B4046" i="11"/>
  <c r="C4046" i="11" s="1"/>
  <c r="B4062" i="11"/>
  <c r="C4062" i="11" s="1"/>
  <c r="B4078" i="11"/>
  <c r="C4078" i="11" s="1"/>
  <c r="B4094" i="11"/>
  <c r="B4110" i="11"/>
  <c r="C4110" i="11" s="1"/>
  <c r="B4126" i="11"/>
  <c r="C4126" i="11" s="1"/>
  <c r="B4142" i="11"/>
  <c r="B4158" i="11"/>
  <c r="B4174" i="11"/>
  <c r="C4174" i="11" s="1"/>
  <c r="B4190" i="11"/>
  <c r="D4190" i="11" s="1"/>
  <c r="B4206" i="11"/>
  <c r="B4222" i="11"/>
  <c r="B4238" i="11"/>
  <c r="C4238" i="11" s="1"/>
  <c r="B4254" i="11"/>
  <c r="B4270" i="11"/>
  <c r="B4286" i="11"/>
  <c r="C4286" i="11" s="1"/>
  <c r="B4302" i="11"/>
  <c r="C4302" i="11" s="1"/>
  <c r="B4318" i="11"/>
  <c r="B4334" i="11"/>
  <c r="B4350" i="11"/>
  <c r="C4350" i="11" s="1"/>
  <c r="B4366" i="11"/>
  <c r="C4366" i="11" s="1"/>
  <c r="B4382" i="11"/>
  <c r="B4398" i="11"/>
  <c r="B4414" i="11"/>
  <c r="B4430" i="11"/>
  <c r="B4446" i="11"/>
  <c r="C4446" i="11" s="1"/>
  <c r="B4462" i="11"/>
  <c r="B4478" i="11"/>
  <c r="C4478" i="11" s="1"/>
  <c r="B4494" i="11"/>
  <c r="B4510" i="11"/>
  <c r="D4510" i="11" s="1"/>
  <c r="B4526" i="11"/>
  <c r="B4542" i="11"/>
  <c r="B4558" i="11"/>
  <c r="B4574" i="11"/>
  <c r="C4574" i="11" s="1"/>
  <c r="B4590" i="11"/>
  <c r="B4606" i="11"/>
  <c r="B4622" i="11"/>
  <c r="D4622" i="11" s="1"/>
  <c r="B4638" i="11"/>
  <c r="D4638" i="11" s="1"/>
  <c r="B4654" i="11"/>
  <c r="D4654" i="11" s="1"/>
  <c r="B4670" i="11"/>
  <c r="B4686" i="11"/>
  <c r="B4702" i="11"/>
  <c r="C4702" i="11" s="1"/>
  <c r="B4718" i="11"/>
  <c r="B4734" i="11"/>
  <c r="D4734" i="11" s="1"/>
  <c r="B4750" i="11"/>
  <c r="B4766" i="11"/>
  <c r="C4766" i="11" s="1"/>
  <c r="B4782" i="11"/>
  <c r="D4782" i="11" s="1"/>
  <c r="B4798" i="11"/>
  <c r="B4814" i="11"/>
  <c r="D4814" i="11" s="1"/>
  <c r="B4830" i="11"/>
  <c r="D4830" i="11" s="1"/>
  <c r="B4846" i="11"/>
  <c r="B4862" i="11"/>
  <c r="D4862" i="11" s="1"/>
  <c r="B4878" i="11"/>
  <c r="B4894" i="11"/>
  <c r="C4894" i="11" s="1"/>
  <c r="B4910" i="11"/>
  <c r="D4910" i="11" s="1"/>
  <c r="B4926" i="11"/>
  <c r="B4942" i="11"/>
  <c r="B4958" i="11"/>
  <c r="D4958" i="11" s="1"/>
  <c r="B4974" i="11"/>
  <c r="B4990" i="11"/>
  <c r="D4990" i="11" s="1"/>
  <c r="B5006" i="11"/>
  <c r="B5022" i="11"/>
  <c r="D5022" i="11" s="1"/>
  <c r="B5038" i="11"/>
  <c r="D5038" i="11" s="1"/>
  <c r="B5054" i="11"/>
  <c r="B5070" i="11"/>
  <c r="D5070" i="11" s="1"/>
  <c r="B5086" i="11"/>
  <c r="C5086" i="11" s="1"/>
  <c r="B5102" i="11"/>
  <c r="B5118" i="11"/>
  <c r="D5118" i="11" s="1"/>
  <c r="B5130" i="11"/>
  <c r="D5130" i="11" s="1"/>
  <c r="B5140" i="11"/>
  <c r="C5140" i="11" s="1"/>
  <c r="B5151" i="11"/>
  <c r="B5162" i="11"/>
  <c r="B5172" i="11"/>
  <c r="B5183" i="11"/>
  <c r="B5194" i="11"/>
  <c r="D5194" i="11" s="1"/>
  <c r="B5204" i="11"/>
  <c r="B5215" i="11"/>
  <c r="D5215" i="11" s="1"/>
  <c r="B5226" i="11"/>
  <c r="B5236" i="11"/>
  <c r="C5236" i="11" s="1"/>
  <c r="B5246" i="11"/>
  <c r="B5254" i="11"/>
  <c r="B5262" i="11"/>
  <c r="C5262" i="11" s="1"/>
  <c r="B5270" i="11"/>
  <c r="B5278" i="11"/>
  <c r="C5278" i="11" s="1"/>
  <c r="B5286" i="11"/>
  <c r="B5294" i="11"/>
  <c r="D5294" i="11" s="1"/>
  <c r="B5302" i="11"/>
  <c r="D5302" i="11" s="1"/>
  <c r="B5310" i="11"/>
  <c r="B5318" i="11"/>
  <c r="B5326" i="11"/>
  <c r="C5326" i="11" s="1"/>
  <c r="B5334" i="11"/>
  <c r="D5334" i="11" s="1"/>
  <c r="B5342" i="11"/>
  <c r="C5342" i="11" s="1"/>
  <c r="B5350" i="11"/>
  <c r="B5358" i="11"/>
  <c r="D5358" i="11" s="1"/>
  <c r="B5366" i="11"/>
  <c r="B5374" i="11"/>
  <c r="B5382" i="11"/>
  <c r="C5382" i="11" s="1"/>
  <c r="B5390" i="11"/>
  <c r="C5390" i="11" s="1"/>
  <c r="B5398" i="11"/>
  <c r="B5406" i="11"/>
  <c r="C5406" i="11" s="1"/>
  <c r="B5414" i="11"/>
  <c r="B5422" i="11"/>
  <c r="D5422" i="11" s="1"/>
  <c r="B5430" i="11"/>
  <c r="D5430" i="11" s="1"/>
  <c r="B5438" i="11"/>
  <c r="C5438" i="11" s="1"/>
  <c r="B5446" i="11"/>
  <c r="C5446" i="11" s="1"/>
  <c r="B5454" i="11"/>
  <c r="C5454" i="11" s="1"/>
  <c r="B5462" i="11"/>
  <c r="D5462" i="11" s="1"/>
  <c r="B5470" i="11"/>
  <c r="B5478" i="11"/>
  <c r="C5478" i="11" s="1"/>
  <c r="B5486" i="11"/>
  <c r="D5486" i="11" s="1"/>
  <c r="B5494" i="11"/>
  <c r="B5502" i="11"/>
  <c r="D5502" i="11" s="1"/>
  <c r="B5510" i="11"/>
  <c r="B5518" i="11"/>
  <c r="C5518" i="11" s="1"/>
  <c r="B5526" i="11"/>
  <c r="B5534" i="11"/>
  <c r="B5542" i="11"/>
  <c r="B5550" i="11"/>
  <c r="B5558" i="11"/>
  <c r="D5558" i="11" s="1"/>
  <c r="B5566" i="11"/>
  <c r="B5574" i="11"/>
  <c r="C5574" i="11" s="1"/>
  <c r="B5582" i="11"/>
  <c r="D5582" i="11" s="1"/>
  <c r="B5590" i="11"/>
  <c r="D5590" i="11" s="1"/>
  <c r="B5598" i="11"/>
  <c r="B5606" i="11"/>
  <c r="D5606" i="11" s="1"/>
  <c r="B5614" i="11"/>
  <c r="B5622" i="11"/>
  <c r="C5622" i="11" s="1"/>
  <c r="B5630" i="11"/>
  <c r="C5630" i="11" s="1"/>
  <c r="B5638" i="11"/>
  <c r="B5646" i="11"/>
  <c r="D5646" i="11" s="1"/>
  <c r="B5654" i="11"/>
  <c r="C5654" i="11" s="1"/>
  <c r="B5662" i="11"/>
  <c r="C5662" i="11" s="1"/>
  <c r="B5670" i="11"/>
  <c r="B5678" i="11"/>
  <c r="B5686" i="11"/>
  <c r="D5686" i="11" s="1"/>
  <c r="B5694" i="11"/>
  <c r="B5702" i="11"/>
  <c r="D5702" i="11" s="1"/>
  <c r="B5710" i="11"/>
  <c r="B5718" i="11"/>
  <c r="B5726" i="11"/>
  <c r="C5726" i="11" s="1"/>
  <c r="B5734" i="11"/>
  <c r="B5742" i="11"/>
  <c r="B5750" i="11"/>
  <c r="B5758" i="11"/>
  <c r="C5758" i="11" s="1"/>
  <c r="B5766" i="11"/>
  <c r="B5774" i="11"/>
  <c r="B5782" i="11"/>
  <c r="D5782" i="11" s="1"/>
  <c r="B5790" i="11"/>
  <c r="B5798" i="11"/>
  <c r="B5806" i="11"/>
  <c r="B5814" i="11"/>
  <c r="B5822" i="11"/>
  <c r="B5830" i="11"/>
  <c r="D5830" i="11" s="1"/>
  <c r="B5838" i="11"/>
  <c r="B5846" i="11"/>
  <c r="B5854" i="11"/>
  <c r="B5862" i="11"/>
  <c r="B5870" i="11"/>
  <c r="B5878" i="11"/>
  <c r="B5886" i="11"/>
  <c r="B5894" i="11"/>
  <c r="D5894" i="11" s="1"/>
  <c r="B5902" i="11"/>
  <c r="B5910" i="11"/>
  <c r="D5910" i="11" s="1"/>
  <c r="B5918" i="11"/>
  <c r="D5918" i="11" s="1"/>
  <c r="B5926" i="11"/>
  <c r="B5934" i="11"/>
  <c r="B5942" i="11"/>
  <c r="B5950" i="11"/>
  <c r="B5958" i="11"/>
  <c r="D5958" i="11" s="1"/>
  <c r="B5966" i="11"/>
  <c r="B5974" i="11"/>
  <c r="B5982" i="11"/>
  <c r="B5990" i="11"/>
  <c r="B5998" i="11"/>
  <c r="B6006" i="11"/>
  <c r="B6014" i="11"/>
  <c r="B6022" i="11"/>
  <c r="D6022" i="11" s="1"/>
  <c r="B6030" i="11"/>
  <c r="B6038" i="11"/>
  <c r="B6046" i="11"/>
  <c r="B6054" i="11"/>
  <c r="B6062" i="11"/>
  <c r="B6070" i="11"/>
  <c r="C6070" i="11" s="1"/>
  <c r="B6078" i="11"/>
  <c r="D6078" i="11" s="1"/>
  <c r="B6086" i="11"/>
  <c r="D6086" i="11" s="1"/>
  <c r="B6094" i="11"/>
  <c r="B6102" i="11"/>
  <c r="B6110" i="11"/>
  <c r="B6118" i="11"/>
  <c r="C6118" i="11" s="1"/>
  <c r="B6126" i="11"/>
  <c r="B6134" i="11"/>
  <c r="B6142" i="11"/>
  <c r="B6150" i="11"/>
  <c r="D6150" i="11" s="1"/>
  <c r="B6158" i="11"/>
  <c r="B6166" i="11"/>
  <c r="B6174" i="11"/>
  <c r="B6182" i="11"/>
  <c r="B6190" i="11"/>
  <c r="B6198" i="11"/>
  <c r="B6206" i="11"/>
  <c r="B6214" i="11"/>
  <c r="D6214" i="11" s="1"/>
  <c r="B6222" i="11"/>
  <c r="B6230" i="11"/>
  <c r="D6230" i="11" s="1"/>
  <c r="B6238" i="11"/>
  <c r="B6246" i="11"/>
  <c r="C6246" i="11" s="1"/>
  <c r="B6254" i="11"/>
  <c r="B6262" i="11"/>
  <c r="B6270" i="11"/>
  <c r="B6278" i="11"/>
  <c r="D6278" i="11" s="1"/>
  <c r="B6286" i="11"/>
  <c r="B6294" i="11"/>
  <c r="B6302" i="11"/>
  <c r="B6310" i="11"/>
  <c r="B6318" i="11"/>
  <c r="B6326" i="11"/>
  <c r="B6334" i="11"/>
  <c r="D6334" i="11" s="1"/>
  <c r="B6342" i="11"/>
  <c r="D6342" i="11" s="1"/>
  <c r="B6350" i="11"/>
  <c r="D6350" i="11" s="1"/>
  <c r="B6358" i="11"/>
  <c r="B6366" i="11"/>
  <c r="B6374" i="11"/>
  <c r="B6382" i="11"/>
  <c r="B6390" i="11"/>
  <c r="B6398" i="11"/>
  <c r="B6406" i="11"/>
  <c r="D6406" i="11" s="1"/>
  <c r="B6414" i="11"/>
  <c r="B6422" i="11"/>
  <c r="B6430" i="11"/>
  <c r="B6438" i="11"/>
  <c r="B6446" i="11"/>
  <c r="B6454" i="11"/>
  <c r="C6454" i="11" s="1"/>
  <c r="B6462" i="11"/>
  <c r="B6470" i="11"/>
  <c r="D6470" i="11" s="1"/>
  <c r="B6478" i="11"/>
  <c r="B6486" i="11"/>
  <c r="B6494" i="11"/>
  <c r="D6494" i="11" s="1"/>
  <c r="B6502" i="11"/>
  <c r="B6510" i="11"/>
  <c r="B6518" i="11"/>
  <c r="B6526" i="11"/>
  <c r="B6534" i="11"/>
  <c r="D6534" i="11" s="1"/>
  <c r="B6542" i="11"/>
  <c r="B6550" i="11"/>
  <c r="D6550" i="11" s="1"/>
  <c r="B6558" i="11"/>
  <c r="D6558" i="11" s="1"/>
  <c r="B6566" i="11"/>
  <c r="B6574" i="11"/>
  <c r="B6580" i="11"/>
  <c r="B6585" i="11"/>
  <c r="C6585" i="11" s="1"/>
  <c r="B6590" i="11"/>
  <c r="B6596" i="11"/>
  <c r="B6601" i="11"/>
  <c r="B6606" i="11"/>
  <c r="B6612" i="11"/>
  <c r="D6612" i="11" s="1"/>
  <c r="B6617" i="11"/>
  <c r="B6622" i="11"/>
  <c r="B6628" i="11"/>
  <c r="B6633" i="11"/>
  <c r="D6633" i="11" s="1"/>
  <c r="B6638" i="11"/>
  <c r="B6644" i="11"/>
  <c r="B6649" i="11"/>
  <c r="C6649" i="11" s="1"/>
  <c r="B6654" i="11"/>
  <c r="B6660" i="11"/>
  <c r="B6665" i="11"/>
  <c r="B6670" i="11"/>
  <c r="B6676" i="11"/>
  <c r="B6681" i="11"/>
  <c r="B6686" i="11"/>
  <c r="B6692" i="11"/>
  <c r="D6692" i="11" s="1"/>
  <c r="B6697" i="11"/>
  <c r="D6697" i="11" s="1"/>
  <c r="B6702" i="11"/>
  <c r="B6708" i="11"/>
  <c r="B6713" i="11"/>
  <c r="B6718" i="11"/>
  <c r="B6724" i="11"/>
  <c r="B6729" i="11"/>
  <c r="B6734" i="11"/>
  <c r="B6740" i="11"/>
  <c r="B6745" i="11"/>
  <c r="C6745" i="11" s="1"/>
  <c r="B6750" i="11"/>
  <c r="B6756" i="11"/>
  <c r="D6756" i="11" s="1"/>
  <c r="B6761" i="11"/>
  <c r="D6761" i="11" s="1"/>
  <c r="B6766" i="11"/>
  <c r="B6772" i="11"/>
  <c r="B6777" i="11"/>
  <c r="B6782" i="11"/>
  <c r="B6788" i="11"/>
  <c r="B6793" i="11"/>
  <c r="B6798" i="11"/>
  <c r="D6798" i="11" s="1"/>
  <c r="B6804" i="11"/>
  <c r="B6809" i="11"/>
  <c r="D6809" i="11" s="1"/>
  <c r="B6814" i="11"/>
  <c r="B6820" i="11"/>
  <c r="B6825" i="11"/>
  <c r="D6825" i="11" s="1"/>
  <c r="B6830" i="11"/>
  <c r="B6836" i="11"/>
  <c r="B6841" i="11"/>
  <c r="B6846" i="11"/>
  <c r="B6852" i="11"/>
  <c r="B6857" i="11"/>
  <c r="D6857" i="11" s="1"/>
  <c r="B6862" i="11"/>
  <c r="B6868" i="11"/>
  <c r="B6873" i="11"/>
  <c r="B6878" i="11"/>
  <c r="B6884" i="11"/>
  <c r="B6889" i="11"/>
  <c r="D6889" i="11" s="1"/>
  <c r="B6894" i="11"/>
  <c r="B6900" i="11"/>
  <c r="B6905" i="11"/>
  <c r="B6910" i="11"/>
  <c r="B6916" i="11"/>
  <c r="B6921" i="11"/>
  <c r="B6926" i="11"/>
  <c r="B6932" i="11"/>
  <c r="B6937" i="11"/>
  <c r="B6942" i="11"/>
  <c r="B6948" i="11"/>
  <c r="B6953" i="11"/>
  <c r="D6953" i="11" s="1"/>
  <c r="B6958" i="11"/>
  <c r="B6964" i="11"/>
  <c r="B6969" i="11"/>
  <c r="C6969" i="11" s="1"/>
  <c r="B6974" i="11"/>
  <c r="B6980" i="11"/>
  <c r="B6985" i="11"/>
  <c r="B6990" i="11"/>
  <c r="B6996" i="11"/>
  <c r="B7001" i="11"/>
  <c r="D7001" i="11" s="1"/>
  <c r="B7006" i="11"/>
  <c r="B7012" i="11"/>
  <c r="B7017" i="11"/>
  <c r="D7017" i="11" s="1"/>
  <c r="B7022" i="11"/>
  <c r="B7028" i="11"/>
  <c r="B7033" i="11"/>
  <c r="D7033" i="11" s="1"/>
  <c r="B7038" i="11"/>
  <c r="B7044" i="11"/>
  <c r="B7049" i="11"/>
  <c r="B7054" i="11"/>
  <c r="B7060" i="11"/>
  <c r="B7065" i="11"/>
  <c r="B7070" i="11"/>
  <c r="B7076" i="11"/>
  <c r="B7081" i="11"/>
  <c r="D7081" i="11" s="1"/>
  <c r="B7086" i="11"/>
  <c r="B7092" i="11"/>
  <c r="B7097" i="11"/>
  <c r="B7102" i="11"/>
  <c r="B7108" i="11"/>
  <c r="B7113" i="11"/>
  <c r="B7118" i="11"/>
  <c r="B7124" i="11"/>
  <c r="B7129" i="11"/>
  <c r="C7129" i="11" s="1"/>
  <c r="B7134" i="11"/>
  <c r="B7140" i="11"/>
  <c r="B7145" i="11"/>
  <c r="D7145" i="11" s="1"/>
  <c r="B7150" i="11"/>
  <c r="B7156" i="11"/>
  <c r="B7161" i="11"/>
  <c r="B7166" i="11"/>
  <c r="B7172" i="11"/>
  <c r="B7177" i="11"/>
  <c r="B7182" i="11"/>
  <c r="B7188" i="11"/>
  <c r="B7193" i="11"/>
  <c r="C7193" i="11" s="1"/>
  <c r="B7198" i="11"/>
  <c r="B7204" i="11"/>
  <c r="B7209" i="11"/>
  <c r="D7209" i="11" s="1"/>
  <c r="B7214" i="11"/>
  <c r="B7220" i="11"/>
  <c r="B7225" i="11"/>
  <c r="B7230" i="11"/>
  <c r="B7236" i="11"/>
  <c r="B7241" i="11"/>
  <c r="B7246" i="11"/>
  <c r="B7252" i="11"/>
  <c r="B7257" i="11"/>
  <c r="C7257" i="11" s="1"/>
  <c r="B7262" i="11"/>
  <c r="D7262" i="11" s="1"/>
  <c r="B7268" i="11"/>
  <c r="B7273" i="11"/>
  <c r="C7273" i="11" s="1"/>
  <c r="B7278" i="11"/>
  <c r="B7284" i="11"/>
  <c r="B7289" i="11"/>
  <c r="B7294" i="11"/>
  <c r="B7300" i="11"/>
  <c r="C7300" i="11" s="1"/>
  <c r="B7305" i="11"/>
  <c r="C7305" i="11" s="1"/>
  <c r="B7309" i="11"/>
  <c r="B7313" i="11"/>
  <c r="C7313" i="11" s="1"/>
  <c r="B7317" i="11"/>
  <c r="C7317" i="11" s="1"/>
  <c r="B7321" i="11"/>
  <c r="C7321" i="11" s="1"/>
  <c r="B7325" i="11"/>
  <c r="B7329" i="11"/>
  <c r="C7329" i="11" s="1"/>
  <c r="B7333" i="11"/>
  <c r="C7333" i="11" s="1"/>
  <c r="B7337" i="11"/>
  <c r="C7337" i="11" s="1"/>
  <c r="B7341" i="11"/>
  <c r="B7345" i="11"/>
  <c r="C7345" i="11" s="1"/>
  <c r="B7349" i="11"/>
  <c r="C7349" i="11" s="1"/>
  <c r="B7353" i="11"/>
  <c r="C7353" i="11" s="1"/>
  <c r="B7357" i="11"/>
  <c r="C7357" i="11" s="1"/>
  <c r="B7361" i="11"/>
  <c r="C7361" i="11" s="1"/>
  <c r="B7365" i="11"/>
  <c r="C7365" i="11" s="1"/>
  <c r="B7369" i="11"/>
  <c r="C7369" i="11" s="1"/>
  <c r="B7373" i="11"/>
  <c r="C7373" i="11" s="1"/>
  <c r="B7377" i="11"/>
  <c r="C7377" i="11" s="1"/>
  <c r="B7381" i="11"/>
  <c r="C7381" i="11" s="1"/>
  <c r="B7385" i="11"/>
  <c r="C7385" i="11" s="1"/>
  <c r="B7389" i="11"/>
  <c r="C7389" i="11" s="1"/>
  <c r="B7393" i="11"/>
  <c r="C7393" i="11" s="1"/>
  <c r="B7397" i="11"/>
  <c r="C7397" i="11" s="1"/>
  <c r="B7401" i="11"/>
  <c r="C7401" i="11" s="1"/>
  <c r="B7405" i="11"/>
  <c r="C7405" i="11" s="1"/>
  <c r="B7409" i="11"/>
  <c r="C7409" i="11" s="1"/>
  <c r="B7413" i="11"/>
  <c r="C7413" i="11" s="1"/>
  <c r="B7417" i="11"/>
  <c r="C7417" i="11" s="1"/>
  <c r="B7421" i="11"/>
  <c r="C7421" i="11" s="1"/>
  <c r="B7425" i="11"/>
  <c r="C7425" i="11" s="1"/>
  <c r="B7429" i="11"/>
  <c r="B7433" i="11"/>
  <c r="C7433" i="11" s="1"/>
  <c r="B7437" i="11"/>
  <c r="B7441" i="11"/>
  <c r="C7441" i="11" s="1"/>
  <c r="B7445" i="11"/>
  <c r="B7449" i="11"/>
  <c r="C7449" i="11" s="1"/>
  <c r="B7453" i="11"/>
  <c r="B7457" i="11"/>
  <c r="C7457" i="11" s="1"/>
  <c r="B7461" i="11"/>
  <c r="B7465" i="11"/>
  <c r="C7465" i="11" s="1"/>
  <c r="B7469" i="11"/>
  <c r="B7473" i="11"/>
  <c r="C7473" i="11" s="1"/>
  <c r="B7477" i="11"/>
  <c r="B7481" i="11"/>
  <c r="C7481" i="11" s="1"/>
  <c r="B7485" i="11"/>
  <c r="B7489" i="11"/>
  <c r="C7489" i="11" s="1"/>
  <c r="B7493" i="11"/>
  <c r="B7497" i="11"/>
  <c r="C7497" i="11" s="1"/>
  <c r="B7501" i="11"/>
  <c r="B7505" i="11"/>
  <c r="C7505" i="11" s="1"/>
  <c r="B7509" i="11"/>
  <c r="B7513" i="11"/>
  <c r="C7513" i="11" s="1"/>
  <c r="B7517" i="11"/>
  <c r="C7517" i="11" s="1"/>
  <c r="B7521" i="11"/>
  <c r="C7521" i="11" s="1"/>
  <c r="B7525" i="11"/>
  <c r="B7529" i="11"/>
  <c r="C7529" i="11" s="1"/>
  <c r="B7533" i="11"/>
  <c r="C7533" i="11" s="1"/>
  <c r="B7537" i="11"/>
  <c r="C7537" i="11" s="1"/>
  <c r="B7541" i="11"/>
  <c r="C7541" i="11" s="1"/>
  <c r="B7545" i="11"/>
  <c r="C7545" i="11" s="1"/>
  <c r="B7549" i="11"/>
  <c r="C7549" i="11" s="1"/>
  <c r="B7553" i="11"/>
  <c r="C7553" i="11" s="1"/>
  <c r="B7557" i="11"/>
  <c r="B7561" i="11"/>
  <c r="C7561" i="11" s="1"/>
  <c r="B7565" i="11"/>
  <c r="C7565" i="11" s="1"/>
  <c r="B7569" i="11"/>
  <c r="C7569" i="11" s="1"/>
  <c r="B7573" i="11"/>
  <c r="C7573" i="11" s="1"/>
  <c r="B7577" i="11"/>
  <c r="C7577" i="11" s="1"/>
  <c r="B7581" i="11"/>
  <c r="C7581" i="11" s="1"/>
  <c r="B7585" i="11"/>
  <c r="C7585" i="11" s="1"/>
  <c r="B7589" i="11"/>
  <c r="B7593" i="11"/>
  <c r="C7593" i="11" s="1"/>
  <c r="B7597" i="11"/>
  <c r="C7597" i="11" s="1"/>
  <c r="B7601" i="11"/>
  <c r="C7601" i="11" s="1"/>
  <c r="B7605" i="11"/>
  <c r="B7609" i="11"/>
  <c r="C7609" i="11" s="1"/>
  <c r="B7613" i="11"/>
  <c r="B7617" i="11"/>
  <c r="C7617" i="11" s="1"/>
  <c r="B7621" i="11"/>
  <c r="B7625" i="11"/>
  <c r="C7625" i="11" s="1"/>
  <c r="B7629" i="11"/>
  <c r="B7633" i="11"/>
  <c r="C7633" i="11" s="1"/>
  <c r="B7637" i="11"/>
  <c r="C7637" i="11" s="1"/>
  <c r="B7641" i="11"/>
  <c r="C7641" i="11" s="1"/>
  <c r="B7645" i="11"/>
  <c r="C7645" i="11" s="1"/>
  <c r="B7649" i="11"/>
  <c r="C7649" i="11" s="1"/>
  <c r="B7653" i="11"/>
  <c r="C7653" i="11" s="1"/>
  <c r="B7657" i="11"/>
  <c r="C7657" i="11" s="1"/>
  <c r="B7661" i="11"/>
  <c r="C7661" i="11" s="1"/>
  <c r="B7665" i="11"/>
  <c r="C7665" i="11" s="1"/>
  <c r="B7669" i="11"/>
  <c r="C7669" i="11" s="1"/>
  <c r="B7673" i="11"/>
  <c r="C7673" i="11" s="1"/>
  <c r="B7677" i="11"/>
  <c r="C7677" i="11" s="1"/>
  <c r="B7681" i="11"/>
  <c r="C7681" i="11" s="1"/>
  <c r="B7685" i="11"/>
  <c r="C7685" i="11" s="1"/>
  <c r="B7689" i="11"/>
  <c r="C7689" i="11" s="1"/>
  <c r="B7693" i="11"/>
  <c r="C7693" i="11" s="1"/>
  <c r="B7697" i="11"/>
  <c r="C7697" i="11" s="1"/>
  <c r="B7701" i="11"/>
  <c r="C7701" i="11" s="1"/>
  <c r="B7705" i="11"/>
  <c r="C7705" i="11" s="1"/>
  <c r="B7709" i="11"/>
  <c r="B7713" i="11"/>
  <c r="C7713" i="11" s="1"/>
  <c r="B7717" i="11"/>
  <c r="C7717" i="11" s="1"/>
  <c r="B7721" i="11"/>
  <c r="C7721" i="11" s="1"/>
  <c r="B7725" i="11"/>
  <c r="C7725" i="11" s="1"/>
  <c r="B7729" i="11"/>
  <c r="C7729" i="11" s="1"/>
  <c r="B7733" i="11"/>
  <c r="C7733" i="11" s="1"/>
  <c r="B7737" i="11"/>
  <c r="C7737" i="11" s="1"/>
  <c r="B7741" i="11"/>
  <c r="C7741" i="11" s="1"/>
  <c r="B7745" i="11"/>
  <c r="C7745" i="11" s="1"/>
  <c r="B7749" i="11"/>
  <c r="C7749" i="11" s="1"/>
  <c r="B7753" i="11"/>
  <c r="C7753" i="11" s="1"/>
  <c r="B7757" i="11"/>
  <c r="C7757" i="11" s="1"/>
  <c r="B7761" i="11"/>
  <c r="C7761" i="11" s="1"/>
  <c r="B7765" i="11"/>
  <c r="C7765" i="11" s="1"/>
  <c r="B7769" i="11"/>
  <c r="C7769" i="11" s="1"/>
  <c r="B7773" i="11"/>
  <c r="C7773" i="11" s="1"/>
  <c r="B7777" i="11"/>
  <c r="C7777" i="11" s="1"/>
  <c r="B7781" i="11"/>
  <c r="C7781" i="11" s="1"/>
  <c r="B7785" i="11"/>
  <c r="C7785" i="11" s="1"/>
  <c r="B7789" i="11"/>
  <c r="C7789" i="11" s="1"/>
  <c r="B7793" i="11"/>
  <c r="C7793" i="11" s="1"/>
  <c r="B7797" i="11"/>
  <c r="C7797" i="11" s="1"/>
  <c r="B7801" i="11"/>
  <c r="C7801" i="11" s="1"/>
  <c r="B7805" i="11"/>
  <c r="C7805" i="11" s="1"/>
  <c r="B7809" i="11"/>
  <c r="C7809" i="11" s="1"/>
  <c r="B7813" i="11"/>
  <c r="C7813" i="11" s="1"/>
  <c r="B7817" i="11"/>
  <c r="C7817" i="11" s="1"/>
  <c r="B7821" i="11"/>
  <c r="C7821" i="11" s="1"/>
  <c r="B7825" i="11"/>
  <c r="C7825" i="11" s="1"/>
  <c r="B7829" i="11"/>
  <c r="B7833" i="11"/>
  <c r="C7833" i="11" s="1"/>
  <c r="B7837" i="11"/>
  <c r="B7841" i="11"/>
  <c r="C7841" i="11" s="1"/>
  <c r="B7845" i="11"/>
  <c r="B7849" i="11"/>
  <c r="C7849" i="11" s="1"/>
  <c r="B7853" i="11"/>
  <c r="B7857" i="11"/>
  <c r="C7857" i="11" s="1"/>
  <c r="B7861" i="11"/>
  <c r="B7865" i="11"/>
  <c r="C7865" i="11" s="1"/>
  <c r="B7869" i="11"/>
  <c r="B7873" i="11"/>
  <c r="C7873" i="11" s="1"/>
  <c r="B7877" i="11"/>
  <c r="C7877" i="11" s="1"/>
  <c r="B7881" i="11"/>
  <c r="C7881" i="11" s="1"/>
  <c r="B7885" i="11"/>
  <c r="C7885" i="11" s="1"/>
  <c r="B7889" i="11"/>
  <c r="C7889" i="11" s="1"/>
  <c r="B7893" i="11"/>
  <c r="C7893" i="11" s="1"/>
  <c r="B7897" i="11"/>
  <c r="C7897" i="11" s="1"/>
  <c r="B7901" i="11"/>
  <c r="C7901" i="11" s="1"/>
  <c r="B7905" i="11"/>
  <c r="C7905" i="11" s="1"/>
  <c r="B7909" i="11"/>
  <c r="C7909" i="11" s="1"/>
  <c r="B7913" i="11"/>
  <c r="C7913" i="11" s="1"/>
  <c r="B7917" i="11"/>
  <c r="C7917" i="11" s="1"/>
  <c r="B7921" i="11"/>
  <c r="C7921" i="11" s="1"/>
  <c r="B7925" i="11"/>
  <c r="C7925" i="11" s="1"/>
  <c r="B7929" i="11"/>
  <c r="C7929" i="11" s="1"/>
  <c r="B7933" i="11"/>
  <c r="B7937" i="11"/>
  <c r="C7937" i="11" s="1"/>
  <c r="B7941" i="11"/>
  <c r="B7945" i="11"/>
  <c r="C7945" i="11" s="1"/>
  <c r="B7949" i="11"/>
  <c r="B7953" i="11"/>
  <c r="C7953" i="11" s="1"/>
  <c r="B7957" i="11"/>
  <c r="B7961" i="11"/>
  <c r="C7961" i="11" s="1"/>
  <c r="B7965" i="11"/>
  <c r="B7969" i="11"/>
  <c r="C7969" i="11" s="1"/>
  <c r="B7973" i="11"/>
  <c r="B7977" i="11"/>
  <c r="C7977" i="11" s="1"/>
  <c r="B7981" i="11"/>
  <c r="B7985" i="11"/>
  <c r="C7985" i="11" s="1"/>
  <c r="B7989" i="11"/>
  <c r="B7993" i="11"/>
  <c r="C7993" i="11" s="1"/>
  <c r="B7997" i="11"/>
  <c r="C7997" i="11" s="1"/>
  <c r="B8001" i="11"/>
  <c r="C8001" i="11" s="1"/>
  <c r="B8005" i="11"/>
  <c r="B8009" i="11"/>
  <c r="C8009" i="11" s="1"/>
  <c r="B8013" i="11"/>
  <c r="C8013" i="11" s="1"/>
  <c r="B8017" i="11"/>
  <c r="C8017" i="11" s="1"/>
  <c r="B8021" i="11"/>
  <c r="C8021" i="11" s="1"/>
  <c r="B8025" i="11"/>
  <c r="C8025" i="11" s="1"/>
  <c r="B8029" i="11"/>
  <c r="C8029" i="11" s="1"/>
  <c r="B8033" i="11"/>
  <c r="C8033" i="11" s="1"/>
  <c r="B8037" i="11"/>
  <c r="B8041" i="11"/>
  <c r="C8041" i="11" s="1"/>
  <c r="B8045" i="11"/>
  <c r="C8045" i="11" s="1"/>
  <c r="B8049" i="11"/>
  <c r="C8049" i="11" s="1"/>
  <c r="B8053" i="11"/>
  <c r="B8057" i="11"/>
  <c r="C8057" i="11" s="1"/>
  <c r="B8061" i="11"/>
  <c r="B8065" i="11"/>
  <c r="C8065" i="11" s="1"/>
  <c r="B8069" i="11"/>
  <c r="B8073" i="11"/>
  <c r="C8073" i="11" s="1"/>
  <c r="B8077" i="11"/>
  <c r="B8081" i="11"/>
  <c r="C8081" i="11" s="1"/>
  <c r="B8085" i="11"/>
  <c r="C8085" i="11" s="1"/>
  <c r="B8089" i="11"/>
  <c r="C8089" i="11" s="1"/>
  <c r="B8093" i="11"/>
  <c r="B8097" i="11"/>
  <c r="C8097" i="11" s="1"/>
  <c r="B8101" i="11"/>
  <c r="C8101" i="11" s="1"/>
  <c r="B8105" i="11"/>
  <c r="C8105" i="11" s="1"/>
  <c r="B8109" i="11"/>
  <c r="C8109" i="11" s="1"/>
  <c r="B8113" i="11"/>
  <c r="C8113" i="11" s="1"/>
  <c r="B8117" i="11"/>
  <c r="C8117" i="11" s="1"/>
  <c r="B8121" i="11"/>
  <c r="C8121" i="11" s="1"/>
  <c r="B8125" i="11"/>
  <c r="C8125" i="11" s="1"/>
  <c r="B8129" i="11"/>
  <c r="C8129" i="11" s="1"/>
  <c r="B8133" i="11"/>
  <c r="C8133" i="11" s="1"/>
  <c r="B8137" i="11"/>
  <c r="C8137" i="11" s="1"/>
  <c r="B8141" i="11"/>
  <c r="C8141" i="11" s="1"/>
  <c r="B8145" i="11"/>
  <c r="C8145" i="11" s="1"/>
  <c r="B8149" i="11"/>
  <c r="C8149" i="11" s="1"/>
  <c r="B8153" i="11"/>
  <c r="C8153" i="11" s="1"/>
  <c r="B8157" i="11"/>
  <c r="C8157" i="11" s="1"/>
  <c r="B8161" i="11"/>
  <c r="C8161" i="11" s="1"/>
  <c r="B8165" i="11"/>
  <c r="C8165" i="11" s="1"/>
  <c r="B8169" i="11"/>
  <c r="C8169" i="11" s="1"/>
  <c r="B8173" i="11"/>
  <c r="C8173" i="11" s="1"/>
  <c r="B8177" i="11"/>
  <c r="C8177" i="11" s="1"/>
  <c r="B8181" i="11"/>
  <c r="C8181" i="11" s="1"/>
  <c r="B8185" i="11"/>
  <c r="C8185" i="11" s="1"/>
  <c r="B8189" i="11"/>
  <c r="C8189" i="11" s="1"/>
  <c r="B8193" i="11"/>
  <c r="C8193" i="11" s="1"/>
  <c r="B8197" i="11"/>
  <c r="C8197" i="11" s="1"/>
  <c r="B8201" i="11"/>
  <c r="C8201" i="11" s="1"/>
  <c r="B8205" i="11"/>
  <c r="B8209" i="11"/>
  <c r="C8209" i="11" s="1"/>
  <c r="B8213" i="11"/>
  <c r="C8213" i="11" s="1"/>
  <c r="B8217" i="11"/>
  <c r="C8217" i="11" s="1"/>
  <c r="B8221" i="11"/>
  <c r="B8225" i="11"/>
  <c r="C8225" i="11" s="1"/>
  <c r="B8229" i="11"/>
  <c r="C8229" i="11" s="1"/>
  <c r="B8233" i="11"/>
  <c r="C8233" i="11" s="1"/>
  <c r="B8237" i="11"/>
  <c r="C8237" i="11" s="1"/>
  <c r="B8241" i="11"/>
  <c r="C8241" i="11" s="1"/>
  <c r="B8245" i="11"/>
  <c r="C8245" i="11" s="1"/>
  <c r="B8249" i="11"/>
  <c r="C8249" i="11" s="1"/>
  <c r="B8253" i="11"/>
  <c r="B8257" i="11"/>
  <c r="C8257" i="11" s="1"/>
  <c r="B8261" i="11"/>
  <c r="B8265" i="11"/>
  <c r="C8265" i="11" s="1"/>
  <c r="B8269" i="11"/>
  <c r="B8273" i="11"/>
  <c r="B8277" i="11"/>
  <c r="B8281" i="11"/>
  <c r="B8285" i="11"/>
  <c r="B8289" i="11"/>
  <c r="B8293" i="11"/>
  <c r="B8297" i="11"/>
  <c r="B8301" i="11"/>
  <c r="B8305" i="11"/>
  <c r="B8309" i="11"/>
  <c r="B8313" i="11"/>
  <c r="B8317" i="11"/>
  <c r="B8321" i="11"/>
  <c r="C8321" i="11" s="1"/>
  <c r="B8325" i="11"/>
  <c r="B8329" i="11"/>
  <c r="C8329" i="11" s="1"/>
  <c r="B8333" i="11"/>
  <c r="B8337" i="11"/>
  <c r="B8341" i="11"/>
  <c r="B8345" i="11"/>
  <c r="B8349" i="11"/>
  <c r="B8353" i="11"/>
  <c r="B8357" i="11"/>
  <c r="B8361" i="11"/>
  <c r="B8365" i="11"/>
  <c r="B8369" i="11"/>
  <c r="B8373" i="11"/>
  <c r="B8377" i="11"/>
  <c r="B8381" i="11"/>
  <c r="B8385" i="11"/>
  <c r="C8385" i="11" s="1"/>
  <c r="B8389" i="11"/>
  <c r="B8393" i="11"/>
  <c r="C8393" i="11" s="1"/>
  <c r="B8397" i="11"/>
  <c r="C8397" i="11" s="1"/>
  <c r="B8401" i="11"/>
  <c r="B8405" i="11"/>
  <c r="B8409" i="11"/>
  <c r="B8413" i="11"/>
  <c r="B8417" i="11"/>
  <c r="B8421" i="11"/>
  <c r="B8425" i="11"/>
  <c r="B8429" i="11"/>
  <c r="B8433" i="11"/>
  <c r="B8437" i="11"/>
  <c r="B8441" i="11"/>
  <c r="B8445" i="11"/>
  <c r="C8445" i="11" s="1"/>
  <c r="B8449" i="11"/>
  <c r="C8449" i="11" s="1"/>
  <c r="B8453" i="11"/>
  <c r="B8457" i="11"/>
  <c r="C8457" i="11" s="1"/>
  <c r="B8461" i="11"/>
  <c r="B8465" i="11"/>
  <c r="B8469" i="11"/>
  <c r="B8473" i="11"/>
  <c r="B8477" i="11"/>
  <c r="C8477" i="11" s="1"/>
  <c r="B8481" i="11"/>
  <c r="B8485" i="11"/>
  <c r="C8485" i="11" s="1"/>
  <c r="B8489" i="11"/>
  <c r="C8489" i="11" s="1"/>
  <c r="B8493" i="11"/>
  <c r="B8497" i="11"/>
  <c r="B8501" i="11"/>
  <c r="B8505" i="11"/>
  <c r="B8509" i="11"/>
  <c r="B8513" i="11"/>
  <c r="B8517" i="11"/>
  <c r="B8521" i="11"/>
  <c r="B8525" i="11"/>
  <c r="B8529" i="11"/>
  <c r="B8533" i="11"/>
  <c r="B8537" i="11"/>
  <c r="B8541" i="11"/>
  <c r="B8545" i="11"/>
  <c r="B8549" i="11"/>
  <c r="C8549" i="11" s="1"/>
  <c r="B8553" i="11"/>
  <c r="B8557" i="11"/>
  <c r="C8557" i="11" s="1"/>
  <c r="B8561" i="11"/>
  <c r="B8565" i="11"/>
  <c r="B8569" i="11"/>
  <c r="B8573" i="11"/>
  <c r="B8577" i="11"/>
  <c r="B8581" i="11"/>
  <c r="B8585" i="11"/>
  <c r="B8589" i="11"/>
  <c r="C8589" i="11" s="1"/>
  <c r="B8593" i="11"/>
  <c r="B8597" i="11"/>
  <c r="B8601" i="11"/>
  <c r="B8605" i="11"/>
  <c r="B8609" i="11"/>
  <c r="B8613" i="11"/>
  <c r="B8617" i="11"/>
  <c r="B8621" i="11"/>
  <c r="C8621" i="11" s="1"/>
  <c r="B8625" i="11"/>
  <c r="B8629" i="11"/>
  <c r="B8633" i="11"/>
  <c r="B8637" i="11"/>
  <c r="B8641" i="11"/>
  <c r="B8645" i="11"/>
  <c r="B8649" i="11"/>
  <c r="B8653" i="11"/>
  <c r="C8653" i="11" s="1"/>
  <c r="B8657" i="11"/>
  <c r="B8661" i="11"/>
  <c r="B8665" i="11"/>
  <c r="B8669" i="11"/>
  <c r="B8673" i="11"/>
  <c r="B8677" i="11"/>
  <c r="B8681" i="11"/>
  <c r="B8685" i="11"/>
  <c r="B8689" i="11"/>
  <c r="B8693" i="11"/>
  <c r="B8697" i="11"/>
  <c r="B8701" i="11"/>
  <c r="B8705" i="11"/>
  <c r="B8709" i="11"/>
  <c r="B8713" i="11"/>
  <c r="B8717" i="11"/>
  <c r="B8721" i="11"/>
  <c r="B8725" i="11"/>
  <c r="B8729" i="11"/>
  <c r="B8733" i="11"/>
  <c r="B8737" i="11"/>
  <c r="B8741" i="11"/>
  <c r="B8745" i="11"/>
  <c r="B8749" i="11"/>
  <c r="B8753" i="11"/>
  <c r="B8757" i="11"/>
  <c r="B8761" i="11"/>
  <c r="B8765" i="11"/>
  <c r="C8765" i="11" s="1"/>
  <c r="B8769" i="11"/>
  <c r="B8773" i="11"/>
  <c r="B8777" i="11"/>
  <c r="B8781" i="11"/>
  <c r="B8785" i="11"/>
  <c r="B8789" i="11"/>
  <c r="B8793" i="11"/>
  <c r="B8797" i="11"/>
  <c r="B8801" i="11"/>
  <c r="B8805" i="11"/>
  <c r="B8809" i="11"/>
  <c r="B8813" i="11"/>
  <c r="B8817" i="11"/>
  <c r="B8821" i="11"/>
  <c r="B8825" i="11"/>
  <c r="B8829" i="11"/>
  <c r="C8829" i="11" s="1"/>
  <c r="B8833" i="11"/>
  <c r="B8837" i="11"/>
  <c r="B8841" i="11"/>
  <c r="B8845" i="11"/>
  <c r="B8849" i="11"/>
  <c r="B8853" i="11"/>
  <c r="B8857" i="11"/>
  <c r="B8861" i="11"/>
  <c r="B8865" i="11"/>
  <c r="B8869" i="11"/>
  <c r="B8873" i="11"/>
  <c r="B8877" i="11"/>
  <c r="C8877" i="11" s="1"/>
  <c r="B8881" i="11"/>
  <c r="B8885" i="11"/>
  <c r="B8889" i="11"/>
  <c r="B8893" i="11"/>
  <c r="B8897" i="11"/>
  <c r="B8901" i="11"/>
  <c r="B8905" i="11"/>
  <c r="B8909" i="11"/>
  <c r="C8909" i="11" s="1"/>
  <c r="B8913" i="11"/>
  <c r="B8917" i="11"/>
  <c r="B8921" i="11"/>
  <c r="B8925" i="11"/>
  <c r="B8929" i="11"/>
  <c r="B8933" i="11"/>
  <c r="B8937" i="11"/>
  <c r="B8941" i="11"/>
  <c r="B8945" i="11"/>
  <c r="B8949" i="11"/>
  <c r="B8953" i="11"/>
  <c r="B8957" i="11"/>
  <c r="C8957" i="11" s="1"/>
  <c r="B8961" i="11"/>
  <c r="B8965" i="11"/>
  <c r="C8965" i="11" s="1"/>
  <c r="B8969" i="11"/>
  <c r="B8973" i="11"/>
  <c r="B8977" i="11"/>
  <c r="B8981" i="11"/>
  <c r="B8985" i="11"/>
  <c r="B8989" i="11"/>
  <c r="B8993" i="11"/>
  <c r="B8997" i="11"/>
  <c r="B9001" i="11"/>
  <c r="B9005" i="11"/>
  <c r="B9009" i="11"/>
  <c r="B9013" i="11"/>
  <c r="B9017" i="11"/>
  <c r="B9021" i="11"/>
  <c r="C9021" i="11" s="1"/>
  <c r="B9025" i="11"/>
  <c r="B9029" i="11"/>
  <c r="B9033" i="11"/>
  <c r="B9037" i="11"/>
  <c r="B9041" i="11"/>
  <c r="B9045" i="11"/>
  <c r="B9049" i="11"/>
  <c r="B9053" i="11"/>
  <c r="B9057" i="11"/>
  <c r="B9061" i="11"/>
  <c r="B9065" i="11"/>
  <c r="B9069" i="11"/>
  <c r="B9073" i="11"/>
  <c r="B9077" i="11"/>
  <c r="B9081" i="11"/>
  <c r="B9085" i="11"/>
  <c r="B9089" i="11"/>
  <c r="B9093" i="11"/>
  <c r="B9097" i="11"/>
  <c r="B9101" i="11"/>
  <c r="B9105" i="11"/>
  <c r="B9109" i="11"/>
  <c r="B9113" i="11"/>
  <c r="B9117" i="11"/>
  <c r="B9121" i="11"/>
  <c r="B9125" i="11"/>
  <c r="B9129" i="11"/>
  <c r="B9133" i="11"/>
  <c r="B9137" i="11"/>
  <c r="B9141" i="11"/>
  <c r="B9145" i="11"/>
  <c r="B9149" i="11"/>
  <c r="B9153" i="11"/>
  <c r="B9157" i="11"/>
  <c r="B9161" i="11"/>
  <c r="B9165" i="11"/>
  <c r="B9169" i="11"/>
  <c r="B9173" i="11"/>
  <c r="B9177" i="11"/>
  <c r="B9181" i="11"/>
  <c r="B9185" i="11"/>
  <c r="B9189" i="11"/>
  <c r="B9193" i="11"/>
  <c r="B9197" i="11"/>
  <c r="B9201" i="11"/>
  <c r="B9205" i="11"/>
  <c r="B9209" i="11"/>
  <c r="B9213" i="11"/>
  <c r="B9217" i="11"/>
  <c r="B9221" i="11"/>
  <c r="B9225" i="11"/>
  <c r="B9229" i="11"/>
  <c r="B9233" i="11"/>
  <c r="B9237" i="11"/>
  <c r="B9241" i="11"/>
  <c r="B9245" i="11"/>
  <c r="B9249" i="11"/>
  <c r="B9253" i="11"/>
  <c r="B9257" i="11"/>
  <c r="B9261" i="11"/>
  <c r="C9261" i="11" s="1"/>
  <c r="B9265" i="11"/>
  <c r="B9269" i="11"/>
  <c r="B9273" i="11"/>
  <c r="B9277" i="11"/>
  <c r="C9277" i="11" s="1"/>
  <c r="B9281" i="11"/>
  <c r="B9285" i="11"/>
  <c r="C9285" i="11" s="1"/>
  <c r="B9289" i="11"/>
  <c r="B9293" i="11"/>
  <c r="C9293" i="11" s="1"/>
  <c r="B9297" i="11"/>
  <c r="B9301" i="11"/>
  <c r="B9305" i="11"/>
  <c r="B9309" i="11"/>
  <c r="B9313" i="11"/>
  <c r="B9317" i="11"/>
  <c r="B9321" i="11"/>
  <c r="C9321" i="11" s="1"/>
  <c r="B9325" i="11"/>
  <c r="C9325" i="11" s="1"/>
  <c r="B9329" i="11"/>
  <c r="C9329" i="11" s="1"/>
  <c r="B9333" i="11"/>
  <c r="B9337" i="11"/>
  <c r="C9337" i="11" s="1"/>
  <c r="B9341" i="11"/>
  <c r="B9345" i="11"/>
  <c r="C9345" i="11" s="1"/>
  <c r="B9349" i="11"/>
  <c r="B9353" i="11"/>
  <c r="B9357" i="11"/>
  <c r="C9357" i="11" s="1"/>
  <c r="B9361" i="11"/>
  <c r="B9365" i="11"/>
  <c r="B9369" i="11"/>
  <c r="B9373" i="11"/>
  <c r="B9377" i="11"/>
  <c r="C9377" i="11" s="1"/>
  <c r="B9381" i="11"/>
  <c r="B9385" i="11"/>
  <c r="B9389" i="11"/>
  <c r="B9393" i="11"/>
  <c r="B9397" i="11"/>
  <c r="B9401" i="11"/>
  <c r="C9401" i="11" s="1"/>
  <c r="B9405" i="11"/>
  <c r="B9409" i="11"/>
  <c r="C9409" i="11" s="1"/>
  <c r="B9413" i="11"/>
  <c r="B9417" i="11"/>
  <c r="B9421" i="11"/>
  <c r="B9425" i="11"/>
  <c r="B9429" i="11"/>
  <c r="B9433" i="11"/>
  <c r="C9433" i="11" s="1"/>
  <c r="B9437" i="11"/>
  <c r="B9441" i="11"/>
  <c r="C9441" i="11" s="1"/>
  <c r="B9445" i="11"/>
  <c r="B9449" i="11"/>
  <c r="B9453" i="11"/>
  <c r="B9457" i="11"/>
  <c r="B9461" i="11"/>
  <c r="B9465" i="11"/>
  <c r="C9465" i="11" s="1"/>
  <c r="B9469" i="11"/>
  <c r="C9469" i="11" s="1"/>
  <c r="B9473" i="11"/>
  <c r="C9473" i="11" s="1"/>
  <c r="B9477" i="11"/>
  <c r="B9481" i="11"/>
  <c r="B9485" i="11"/>
  <c r="C9485" i="11" s="1"/>
  <c r="B9489" i="11"/>
  <c r="B9493" i="11"/>
  <c r="B9497" i="11"/>
  <c r="B9501" i="11"/>
  <c r="B9505" i="11"/>
  <c r="C9505" i="11" s="1"/>
  <c r="B9509" i="11"/>
  <c r="B9513" i="11"/>
  <c r="B9517" i="11"/>
  <c r="B9521" i="11"/>
  <c r="B9525" i="11"/>
  <c r="B9529" i="11"/>
  <c r="C9529" i="11" s="1"/>
  <c r="B9533" i="11"/>
  <c r="B9537" i="11"/>
  <c r="C9537" i="11" s="1"/>
  <c r="B9541" i="11"/>
  <c r="B9545" i="11"/>
  <c r="B9549" i="11"/>
  <c r="B9553" i="11"/>
  <c r="B9557" i="11"/>
  <c r="B9561" i="11"/>
  <c r="B9565" i="11"/>
  <c r="B9569" i="11"/>
  <c r="C9569" i="11" s="1"/>
  <c r="B9573" i="11"/>
  <c r="B9577" i="11"/>
  <c r="B9581" i="11"/>
  <c r="C9581" i="11" s="1"/>
  <c r="B9585" i="11"/>
  <c r="B9589" i="11"/>
  <c r="B9593" i="11"/>
  <c r="C9593" i="11" s="1"/>
  <c r="B9597" i="11"/>
  <c r="B9601" i="11"/>
  <c r="C9601" i="11" s="1"/>
  <c r="B9605" i="11"/>
  <c r="B9609" i="11"/>
  <c r="B9613" i="11"/>
  <c r="B9617" i="11"/>
  <c r="B9621" i="11"/>
  <c r="B9625" i="11"/>
  <c r="B9629" i="11"/>
  <c r="C9629" i="11" s="1"/>
  <c r="B9633" i="11"/>
  <c r="C9633" i="11" s="1"/>
  <c r="B9637" i="11"/>
  <c r="B9641" i="11"/>
  <c r="B9645" i="11"/>
  <c r="B9649" i="11"/>
  <c r="B9653" i="11"/>
  <c r="B9657" i="11"/>
  <c r="C9657" i="11" s="1"/>
  <c r="B9661" i="11"/>
  <c r="B9665" i="11"/>
  <c r="C9665" i="11" s="1"/>
  <c r="B9669" i="11"/>
  <c r="B9673" i="11"/>
  <c r="B9677" i="11"/>
  <c r="B9681" i="11"/>
  <c r="B9685" i="11"/>
  <c r="B9689" i="11"/>
  <c r="B9693" i="11"/>
  <c r="B9697" i="11"/>
  <c r="C9697" i="11" s="1"/>
  <c r="B9701" i="11"/>
  <c r="B9705" i="11"/>
  <c r="B9709" i="11"/>
  <c r="B9713" i="11"/>
  <c r="B9717" i="11"/>
  <c r="B9721" i="11"/>
  <c r="C9721" i="11" s="1"/>
  <c r="B9725" i="11"/>
  <c r="B9729" i="11"/>
  <c r="C9729" i="11" s="1"/>
  <c r="B9733" i="11"/>
  <c r="B9737" i="11"/>
  <c r="B9741" i="11"/>
  <c r="B9745" i="11"/>
  <c r="B9749" i="11"/>
  <c r="B9753" i="11"/>
  <c r="B9757" i="11"/>
  <c r="B9761" i="11"/>
  <c r="C9761" i="11" s="1"/>
  <c r="B9765" i="11"/>
  <c r="B9769" i="11"/>
  <c r="B9773" i="11"/>
  <c r="B9777" i="11"/>
  <c r="B9781" i="11"/>
  <c r="B9785" i="11"/>
  <c r="C9785" i="11" s="1"/>
  <c r="B9789" i="11"/>
  <c r="B9793" i="11"/>
  <c r="C9793" i="11" s="1"/>
  <c r="B9797" i="11"/>
  <c r="C9797" i="11" s="1"/>
  <c r="B9801" i="11"/>
  <c r="B9805" i="11"/>
  <c r="B9809" i="11"/>
  <c r="B9813" i="11"/>
  <c r="B9817" i="11"/>
  <c r="B9821" i="11"/>
  <c r="C9821" i="11" s="1"/>
  <c r="B9825" i="11"/>
  <c r="C9825" i="11" s="1"/>
  <c r="B9829" i="11"/>
  <c r="B9833" i="11"/>
  <c r="B9837" i="11"/>
  <c r="B9841" i="11"/>
  <c r="B9845" i="11"/>
  <c r="B9849" i="11"/>
  <c r="C9849" i="11" s="1"/>
  <c r="B9853" i="11"/>
  <c r="B9857" i="11"/>
  <c r="C9857" i="11" s="1"/>
  <c r="B9861" i="11"/>
  <c r="B9865" i="11"/>
  <c r="B9869" i="11"/>
  <c r="B9873" i="11"/>
  <c r="B9877" i="11"/>
  <c r="B9881" i="11"/>
  <c r="B9885" i="11"/>
  <c r="B9889" i="11"/>
  <c r="C9889" i="11" s="1"/>
  <c r="B9893" i="11"/>
  <c r="B9897" i="11"/>
  <c r="B9901" i="11"/>
  <c r="B9905" i="11"/>
  <c r="B9909" i="11"/>
  <c r="B9913" i="11"/>
  <c r="C9913" i="11" s="1"/>
  <c r="B9917" i="11"/>
  <c r="B9921" i="11"/>
  <c r="C9921" i="11" s="1"/>
  <c r="B9925" i="11"/>
  <c r="B9929" i="11"/>
  <c r="B9933" i="11"/>
  <c r="B9937" i="11"/>
  <c r="B9941" i="11"/>
  <c r="B9945" i="11"/>
  <c r="C9945" i="11" s="1"/>
  <c r="B9949" i="11"/>
  <c r="B9953" i="11"/>
  <c r="C9953" i="11" s="1"/>
  <c r="B9957" i="11"/>
  <c r="B9961" i="11"/>
  <c r="B9965" i="11"/>
  <c r="B9969" i="11"/>
  <c r="B9973" i="11"/>
  <c r="B9977" i="11"/>
  <c r="C9977" i="11" s="1"/>
  <c r="B9981" i="11"/>
  <c r="B9985" i="11"/>
  <c r="C9985" i="11" s="1"/>
  <c r="B9989" i="11"/>
  <c r="B9993" i="11"/>
  <c r="B9997" i="11"/>
  <c r="B10001" i="11"/>
  <c r="B10005" i="11"/>
  <c r="B10009" i="11"/>
  <c r="B10008" i="11"/>
  <c r="B10000" i="11"/>
  <c r="B9992" i="11"/>
  <c r="B9984" i="11"/>
  <c r="B9976" i="11"/>
  <c r="B9968" i="11"/>
  <c r="B9960" i="11"/>
  <c r="B9952" i="11"/>
  <c r="B9944" i="11"/>
  <c r="B9936" i="11"/>
  <c r="D9936" i="11" s="1"/>
  <c r="B9928" i="11"/>
  <c r="B9920" i="11"/>
  <c r="D9920" i="11" s="1"/>
  <c r="B9912" i="11"/>
  <c r="B9904" i="11"/>
  <c r="B9896" i="11"/>
  <c r="B9888" i="11"/>
  <c r="D9888" i="11" s="1"/>
  <c r="B9880" i="11"/>
  <c r="B9872" i="11"/>
  <c r="B9864" i="11"/>
  <c r="B9856" i="11"/>
  <c r="B9848" i="11"/>
  <c r="D9848" i="11" s="1"/>
  <c r="B9840" i="11"/>
  <c r="B9832" i="11"/>
  <c r="B9824" i="11"/>
  <c r="B9816" i="11"/>
  <c r="B9808" i="11"/>
  <c r="B9800" i="11"/>
  <c r="B9792" i="11"/>
  <c r="B9784" i="11"/>
  <c r="B9776" i="11"/>
  <c r="B9768" i="11"/>
  <c r="B9760" i="11"/>
  <c r="B9752" i="11"/>
  <c r="B9744" i="11"/>
  <c r="B9736" i="11"/>
  <c r="B9728" i="11"/>
  <c r="B9720" i="11"/>
  <c r="B9712" i="11"/>
  <c r="B9704" i="11"/>
  <c r="B9696" i="11"/>
  <c r="B9688" i="11"/>
  <c r="B9680" i="11"/>
  <c r="B9672" i="11"/>
  <c r="B9664" i="11"/>
  <c r="D9664" i="11" s="1"/>
  <c r="B9656" i="11"/>
  <c r="B9648" i="11"/>
  <c r="B9640" i="11"/>
  <c r="B9632" i="11"/>
  <c r="B9624" i="11"/>
  <c r="B9616" i="11"/>
  <c r="B9608" i="11"/>
  <c r="B9600" i="11"/>
  <c r="B9592" i="11"/>
  <c r="D9592" i="11" s="1"/>
  <c r="B9584" i="11"/>
  <c r="B9576" i="11"/>
  <c r="B9568" i="11"/>
  <c r="B9560" i="11"/>
  <c r="B9552" i="11"/>
  <c r="B9544" i="11"/>
  <c r="B9536" i="11"/>
  <c r="B9528" i="11"/>
  <c r="B9520" i="11"/>
  <c r="B9512" i="11"/>
  <c r="B9504" i="11"/>
  <c r="B9496" i="11"/>
  <c r="B9488" i="11"/>
  <c r="B9480" i="11"/>
  <c r="B9472" i="11"/>
  <c r="B9464" i="11"/>
  <c r="B9456" i="11"/>
  <c r="B9448" i="11"/>
  <c r="B9440" i="11"/>
  <c r="B9432" i="11"/>
  <c r="B9424" i="11"/>
  <c r="B9416" i="11"/>
  <c r="B9408" i="11"/>
  <c r="D9408" i="11" s="1"/>
  <c r="B9400" i="11"/>
  <c r="B9392" i="11"/>
  <c r="B9384" i="11"/>
  <c r="B9376" i="11"/>
  <c r="D9376" i="11" s="1"/>
  <c r="B9368" i="11"/>
  <c r="B9360" i="11"/>
  <c r="B9352" i="11"/>
  <c r="B9344" i="11"/>
  <c r="B9336" i="11"/>
  <c r="B9328" i="11"/>
  <c r="B9320" i="11"/>
  <c r="B9312" i="11"/>
  <c r="D9312" i="11" s="1"/>
  <c r="B9304" i="11"/>
  <c r="B9296" i="11"/>
  <c r="B9288" i="11"/>
  <c r="B9280" i="11"/>
  <c r="D9280" i="11" s="1"/>
  <c r="B9272" i="11"/>
  <c r="B9264" i="11"/>
  <c r="B9256" i="11"/>
  <c r="B9248" i="11"/>
  <c r="C9248" i="11" s="1"/>
  <c r="B9240" i="11"/>
  <c r="D9240" i="11" s="1"/>
  <c r="B9232" i="11"/>
  <c r="B9224" i="11"/>
  <c r="B9216" i="11"/>
  <c r="B9208" i="11"/>
  <c r="B9200" i="11"/>
  <c r="B9192" i="11"/>
  <c r="B9184" i="11"/>
  <c r="B9176" i="11"/>
  <c r="B9168" i="11"/>
  <c r="B9160" i="11"/>
  <c r="B9152" i="11"/>
  <c r="B9144" i="11"/>
  <c r="B9136" i="11"/>
  <c r="B9128" i="11"/>
  <c r="B9120" i="11"/>
  <c r="B9112" i="11"/>
  <c r="B9104" i="11"/>
  <c r="B9096" i="11"/>
  <c r="D9096" i="11" s="1"/>
  <c r="B9088" i="11"/>
  <c r="B9080" i="11"/>
  <c r="B9072" i="11"/>
  <c r="B9064" i="11"/>
  <c r="B9056" i="11"/>
  <c r="B9048" i="11"/>
  <c r="B9040" i="11"/>
  <c r="B9032" i="11"/>
  <c r="D9032" i="11" s="1"/>
  <c r="B9024" i="11"/>
  <c r="B9016" i="11"/>
  <c r="B9008" i="11"/>
  <c r="B9000" i="11"/>
  <c r="D9000" i="11" s="1"/>
  <c r="B8992" i="11"/>
  <c r="B8984" i="11"/>
  <c r="B8976" i="11"/>
  <c r="B8968" i="11"/>
  <c r="B8960" i="11"/>
  <c r="B8952" i="11"/>
  <c r="B8944" i="11"/>
  <c r="B8936" i="11"/>
  <c r="B8928" i="11"/>
  <c r="B8920" i="11"/>
  <c r="B8912" i="11"/>
  <c r="B8904" i="11"/>
  <c r="B8896" i="11"/>
  <c r="D8896" i="11" s="1"/>
  <c r="B8888" i="11"/>
  <c r="B8880" i="11"/>
  <c r="B8872" i="11"/>
  <c r="B8864" i="11"/>
  <c r="C8864" i="11" s="1"/>
  <c r="B8856" i="11"/>
  <c r="D8856" i="11" s="1"/>
  <c r="B8848" i="11"/>
  <c r="B8840" i="11"/>
  <c r="B8832" i="11"/>
  <c r="B8824" i="11"/>
  <c r="B8816" i="11"/>
  <c r="D8816" i="11" s="1"/>
  <c r="B8808" i="11"/>
  <c r="B8800" i="11"/>
  <c r="B8792" i="11"/>
  <c r="B8784" i="11"/>
  <c r="B8776" i="11"/>
  <c r="D8776" i="11" s="1"/>
  <c r="B8768" i="11"/>
  <c r="B8760" i="11"/>
  <c r="B8752" i="11"/>
  <c r="B8744" i="11"/>
  <c r="B8736" i="11"/>
  <c r="B8728" i="11"/>
  <c r="D8728" i="11" s="1"/>
  <c r="B8720" i="11"/>
  <c r="B8712" i="11"/>
  <c r="B8704" i="11"/>
  <c r="B8696" i="11"/>
  <c r="B8688" i="11"/>
  <c r="B8680" i="11"/>
  <c r="D8680" i="11" s="1"/>
  <c r="B8672" i="11"/>
  <c r="D8672" i="11" s="1"/>
  <c r="B8664" i="11"/>
  <c r="B8656" i="11"/>
  <c r="B8648" i="11"/>
  <c r="B8640" i="11"/>
  <c r="D8640" i="11" s="1"/>
  <c r="B8632" i="11"/>
  <c r="B8624" i="11"/>
  <c r="B8616" i="11"/>
  <c r="B8608" i="11"/>
  <c r="B8600" i="11"/>
  <c r="D8600" i="11" s="1"/>
  <c r="B8592" i="11"/>
  <c r="B8584" i="11"/>
  <c r="B8576" i="11"/>
  <c r="D8576" i="11" s="1"/>
  <c r="B8568" i="11"/>
  <c r="B8560" i="11"/>
  <c r="B8552" i="11"/>
  <c r="B8544" i="11"/>
  <c r="B8536" i="11"/>
  <c r="D8536" i="11" s="1"/>
  <c r="B8528" i="11"/>
  <c r="B8520" i="11"/>
  <c r="B8512" i="11"/>
  <c r="B8504" i="11"/>
  <c r="B8496" i="11"/>
  <c r="B8488" i="11"/>
  <c r="B8480" i="11"/>
  <c r="B8472" i="11"/>
  <c r="B8464" i="11"/>
  <c r="B8456" i="11"/>
  <c r="B8448" i="11"/>
  <c r="B8440" i="11"/>
  <c r="B8432" i="11"/>
  <c r="B8424" i="11"/>
  <c r="B8416" i="11"/>
  <c r="B8408" i="11"/>
  <c r="B8400" i="11"/>
  <c r="B8392" i="11"/>
  <c r="B8384" i="11"/>
  <c r="D8384" i="11" s="1"/>
  <c r="B8376" i="11"/>
  <c r="B8368" i="11"/>
  <c r="B8360" i="11"/>
  <c r="B8352" i="11"/>
  <c r="B8344" i="11"/>
  <c r="B8336" i="11"/>
  <c r="B8328" i="11"/>
  <c r="B8320" i="11"/>
  <c r="B8312" i="11"/>
  <c r="B8304" i="11"/>
  <c r="B8296" i="11"/>
  <c r="B8288" i="11"/>
  <c r="D8288" i="11" s="1"/>
  <c r="B8280" i="11"/>
  <c r="B8272" i="11"/>
  <c r="B8264" i="11"/>
  <c r="B8256" i="11"/>
  <c r="B8248" i="11"/>
  <c r="B8240" i="11"/>
  <c r="B8232" i="11"/>
  <c r="D8232" i="11" s="1"/>
  <c r="B8224" i="11"/>
  <c r="B8216" i="11"/>
  <c r="B8208" i="11"/>
  <c r="B8200" i="11"/>
  <c r="B8192" i="11"/>
  <c r="B8184" i="11"/>
  <c r="B8176" i="11"/>
  <c r="B8168" i="11"/>
  <c r="D8168" i="11" s="1"/>
  <c r="B8160" i="11"/>
  <c r="B8152" i="11"/>
  <c r="B8144" i="11"/>
  <c r="B8136" i="11"/>
  <c r="B8128" i="11"/>
  <c r="C8128" i="11" s="1"/>
  <c r="B8120" i="11"/>
  <c r="B8112" i="11"/>
  <c r="D8112" i="11" s="1"/>
  <c r="B8104" i="11"/>
  <c r="B8096" i="11"/>
  <c r="B8088" i="11"/>
  <c r="B8080" i="11"/>
  <c r="B8072" i="11"/>
  <c r="B8064" i="11"/>
  <c r="B8056" i="11"/>
  <c r="B8048" i="11"/>
  <c r="B8040" i="11"/>
  <c r="B8032" i="11"/>
  <c r="B8024" i="11"/>
  <c r="B8016" i="11"/>
  <c r="B8008" i="11"/>
  <c r="B8000" i="11"/>
  <c r="B7992" i="11"/>
  <c r="B7984" i="11"/>
  <c r="B7976" i="11"/>
  <c r="B7968" i="11"/>
  <c r="B7960" i="11"/>
  <c r="B7952" i="11"/>
  <c r="B7944" i="11"/>
  <c r="B7936" i="11"/>
  <c r="C7936" i="11" s="1"/>
  <c r="B7928" i="11"/>
  <c r="B7920" i="11"/>
  <c r="B7912" i="11"/>
  <c r="B7904" i="11"/>
  <c r="B7896" i="11"/>
  <c r="B7888" i="11"/>
  <c r="B7880" i="11"/>
  <c r="B7872" i="11"/>
  <c r="B7864" i="11"/>
  <c r="B7856" i="11"/>
  <c r="B7848" i="11"/>
  <c r="B7840" i="11"/>
  <c r="B7832" i="11"/>
  <c r="B7824" i="11"/>
  <c r="B7816" i="11"/>
  <c r="B7808" i="11"/>
  <c r="B7800" i="11"/>
  <c r="B7792" i="11"/>
  <c r="C7792" i="11" s="1"/>
  <c r="B7784" i="11"/>
  <c r="B7776" i="11"/>
  <c r="B7768" i="11"/>
  <c r="B7760" i="11"/>
  <c r="B7752" i="11"/>
  <c r="B7744" i="11"/>
  <c r="B7736" i="11"/>
  <c r="B7728" i="11"/>
  <c r="B7720" i="11"/>
  <c r="B7712" i="11"/>
  <c r="B7704" i="11"/>
  <c r="B7696" i="11"/>
  <c r="B7688" i="11"/>
  <c r="B7680" i="11"/>
  <c r="B7672" i="11"/>
  <c r="B7664" i="11"/>
  <c r="B7656" i="11"/>
  <c r="B7648" i="11"/>
  <c r="B7640" i="11"/>
  <c r="C7640" i="11" s="1"/>
  <c r="B7632" i="11"/>
  <c r="B7624" i="11"/>
  <c r="B7616" i="11"/>
  <c r="B7608" i="11"/>
  <c r="B7600" i="11"/>
  <c r="B7592" i="11"/>
  <c r="B7584" i="11"/>
  <c r="D7584" i="11" s="1"/>
  <c r="B7576" i="11"/>
  <c r="B7568" i="11"/>
  <c r="C7568" i="11" s="1"/>
  <c r="B7560" i="11"/>
  <c r="B7552" i="11"/>
  <c r="C7552" i="11" s="1"/>
  <c r="B7544" i="11"/>
  <c r="B7536" i="11"/>
  <c r="C7536" i="11" s="1"/>
  <c r="B7528" i="11"/>
  <c r="B7520" i="11"/>
  <c r="B7512" i="11"/>
  <c r="B7504" i="11"/>
  <c r="B7496" i="11"/>
  <c r="B7488" i="11"/>
  <c r="B7480" i="11"/>
  <c r="C7480" i="11" s="1"/>
  <c r="B7472" i="11"/>
  <c r="B7464" i="11"/>
  <c r="C7464" i="11" s="1"/>
  <c r="B7456" i="11"/>
  <c r="B7448" i="11"/>
  <c r="B7440" i="11"/>
  <c r="B7432" i="11"/>
  <c r="B7424" i="11"/>
  <c r="B7416" i="11"/>
  <c r="B7408" i="11"/>
  <c r="C7408" i="11" s="1"/>
  <c r="B7400" i="11"/>
  <c r="B7392" i="11"/>
  <c r="B7384" i="11"/>
  <c r="B7376" i="11"/>
  <c r="B7368" i="11"/>
  <c r="B7360" i="11"/>
  <c r="B7352" i="11"/>
  <c r="B7344" i="11"/>
  <c r="B7336" i="11"/>
  <c r="B7328" i="11"/>
  <c r="B7320" i="11"/>
  <c r="B7312" i="11"/>
  <c r="B7304" i="11"/>
  <c r="B7293" i="11"/>
  <c r="B7282" i="11"/>
  <c r="B7272" i="11"/>
  <c r="B7261" i="11"/>
  <c r="C7261" i="11" s="1"/>
  <c r="B7250" i="11"/>
  <c r="C7250" i="11" s="1"/>
  <c r="B7240" i="11"/>
  <c r="B7229" i="11"/>
  <c r="B7218" i="11"/>
  <c r="B7208" i="11"/>
  <c r="B7197" i="11"/>
  <c r="B7186" i="11"/>
  <c r="D7186" i="11" s="1"/>
  <c r="B7176" i="11"/>
  <c r="B7165" i="11"/>
  <c r="B7154" i="11"/>
  <c r="B7144" i="11"/>
  <c r="B7133" i="11"/>
  <c r="B7122" i="11"/>
  <c r="D7122" i="11" s="1"/>
  <c r="B7112" i="11"/>
  <c r="B7101" i="11"/>
  <c r="B7090" i="11"/>
  <c r="B7080" i="11"/>
  <c r="C7080" i="11" s="1"/>
  <c r="B7069" i="11"/>
  <c r="B7058" i="11"/>
  <c r="B7048" i="11"/>
  <c r="B7037" i="11"/>
  <c r="B7026" i="11"/>
  <c r="B7016" i="11"/>
  <c r="B7005" i="11"/>
  <c r="C7005" i="11" s="1"/>
  <c r="B6994" i="11"/>
  <c r="B6984" i="11"/>
  <c r="B6973" i="11"/>
  <c r="B6962" i="11"/>
  <c r="B6952" i="11"/>
  <c r="B6941" i="11"/>
  <c r="B6930" i="11"/>
  <c r="B6920" i="11"/>
  <c r="B6909" i="11"/>
  <c r="B6898" i="11"/>
  <c r="B6888" i="11"/>
  <c r="B6877" i="11"/>
  <c r="B6866" i="11"/>
  <c r="B6856" i="11"/>
  <c r="B6845" i="11"/>
  <c r="C6845" i="11" s="1"/>
  <c r="B6834" i="11"/>
  <c r="B6824" i="11"/>
  <c r="B6813" i="11"/>
  <c r="B6802" i="11"/>
  <c r="D6802" i="11" s="1"/>
  <c r="B6792" i="11"/>
  <c r="B6781" i="11"/>
  <c r="B6770" i="11"/>
  <c r="B6760" i="11"/>
  <c r="B6749" i="11"/>
  <c r="C6749" i="11" s="1"/>
  <c r="B6738" i="11"/>
  <c r="C6738" i="11" s="1"/>
  <c r="B6728" i="11"/>
  <c r="B6717" i="11"/>
  <c r="B6706" i="11"/>
  <c r="C6706" i="11" s="1"/>
  <c r="B6696" i="11"/>
  <c r="B6685" i="11"/>
  <c r="B6674" i="11"/>
  <c r="B6664" i="11"/>
  <c r="B6653" i="11"/>
  <c r="B6642" i="11"/>
  <c r="B6632" i="11"/>
  <c r="B6621" i="11"/>
  <c r="B6610" i="11"/>
  <c r="D6610" i="11" s="1"/>
  <c r="B6600" i="11"/>
  <c r="B6589" i="11"/>
  <c r="B6578" i="11"/>
  <c r="B6564" i="11"/>
  <c r="B6548" i="11"/>
  <c r="B6532" i="11"/>
  <c r="B6516" i="11"/>
  <c r="B6500" i="11"/>
  <c r="B6484" i="11"/>
  <c r="B6468" i="11"/>
  <c r="C6468" i="11" s="1"/>
  <c r="B6452" i="11"/>
  <c r="B6436" i="11"/>
  <c r="D6436" i="11" s="1"/>
  <c r="B6420" i="11"/>
  <c r="B6404" i="11"/>
  <c r="B6388" i="11"/>
  <c r="B6372" i="11"/>
  <c r="C6372" i="11" s="1"/>
  <c r="B6356" i="11"/>
  <c r="B6340" i="11"/>
  <c r="B6324" i="11"/>
  <c r="B6308" i="11"/>
  <c r="B6292" i="11"/>
  <c r="B6276" i="11"/>
  <c r="B6260" i="11"/>
  <c r="B6244" i="11"/>
  <c r="B6228" i="11"/>
  <c r="B6212" i="11"/>
  <c r="B6196" i="11"/>
  <c r="B6180" i="11"/>
  <c r="B6164" i="11"/>
  <c r="B6148" i="11"/>
  <c r="D6148" i="11" s="1"/>
  <c r="B6132" i="11"/>
  <c r="B6116" i="11"/>
  <c r="D6116" i="11" s="1"/>
  <c r="B6100" i="11"/>
  <c r="B6084" i="11"/>
  <c r="D6084" i="11" s="1"/>
  <c r="B6068" i="11"/>
  <c r="B6052" i="11"/>
  <c r="B6036" i="11"/>
  <c r="B6020" i="11"/>
  <c r="B6004" i="11"/>
  <c r="B5988" i="11"/>
  <c r="B5972" i="11"/>
  <c r="B5956" i="11"/>
  <c r="B5940" i="11"/>
  <c r="B5924" i="11"/>
  <c r="B5908" i="11"/>
  <c r="B5892" i="11"/>
  <c r="B5876" i="11"/>
  <c r="B5860" i="11"/>
  <c r="C5860" i="11" s="1"/>
  <c r="B5844" i="11"/>
  <c r="B5828" i="11"/>
  <c r="B5812" i="11"/>
  <c r="B5796" i="11"/>
  <c r="D5796" i="11" s="1"/>
  <c r="B5780" i="11"/>
  <c r="B5764" i="11"/>
  <c r="C5764" i="11" s="1"/>
  <c r="B5748" i="11"/>
  <c r="B5732" i="11"/>
  <c r="B5716" i="11"/>
  <c r="B5700" i="11"/>
  <c r="C5700" i="11" s="1"/>
  <c r="B5684" i="11"/>
  <c r="B5668" i="11"/>
  <c r="B5652" i="11"/>
  <c r="B5636" i="11"/>
  <c r="B5620" i="11"/>
  <c r="B5604" i="11"/>
  <c r="D5604" i="11" s="1"/>
  <c r="B5588" i="11"/>
  <c r="B5572" i="11"/>
  <c r="B5556" i="11"/>
  <c r="B5540" i="11"/>
  <c r="D5540" i="11" s="1"/>
  <c r="B5524" i="11"/>
  <c r="D5524" i="11" s="1"/>
  <c r="B5508" i="11"/>
  <c r="B5492" i="11"/>
  <c r="D5492" i="11" s="1"/>
  <c r="B5476" i="11"/>
  <c r="B5460" i="11"/>
  <c r="B5444" i="11"/>
  <c r="D5444" i="11" s="1"/>
  <c r="B5428" i="11"/>
  <c r="B5412" i="11"/>
  <c r="D5412" i="11" s="1"/>
  <c r="B5396" i="11"/>
  <c r="B5380" i="11"/>
  <c r="B5364" i="11"/>
  <c r="B5348" i="11"/>
  <c r="B5332" i="11"/>
  <c r="B5316" i="11"/>
  <c r="B5300" i="11"/>
  <c r="C5300" i="11" s="1"/>
  <c r="B5284" i="11"/>
  <c r="D5284" i="11" s="1"/>
  <c r="B5268" i="11"/>
  <c r="D5268" i="11" s="1"/>
  <c r="B5252" i="11"/>
  <c r="C5252" i="11" s="1"/>
  <c r="B5234" i="11"/>
  <c r="B5212" i="11"/>
  <c r="B5191" i="11"/>
  <c r="B5170" i="11"/>
  <c r="B5148" i="11"/>
  <c r="D5148" i="11" s="1"/>
  <c r="B5127" i="11"/>
  <c r="B5098" i="11"/>
  <c r="B5066" i="11"/>
  <c r="C5066" i="11" s="1"/>
  <c r="B5034" i="11"/>
  <c r="B5002" i="11"/>
  <c r="D5002" i="11" s="1"/>
  <c r="B4970" i="11"/>
  <c r="B4938" i="11"/>
  <c r="B4906" i="11"/>
  <c r="B4874" i="11"/>
  <c r="B4842" i="11"/>
  <c r="B4810" i="11"/>
  <c r="B4778" i="11"/>
  <c r="B4746" i="11"/>
  <c r="C4746" i="11" s="1"/>
  <c r="B4714" i="11"/>
  <c r="B4682" i="11"/>
  <c r="B4650" i="11"/>
  <c r="B4618" i="11"/>
  <c r="B4586" i="11"/>
  <c r="B4554" i="11"/>
  <c r="B4522" i="11"/>
  <c r="D4522" i="11" s="1"/>
  <c r="B4490" i="11"/>
  <c r="C4490" i="11" s="1"/>
  <c r="B4458" i="11"/>
  <c r="B4426" i="11"/>
  <c r="C4426" i="11" s="1"/>
  <c r="B4394" i="11"/>
  <c r="B4362" i="11"/>
  <c r="C4362" i="11" s="1"/>
  <c r="B4330" i="11"/>
  <c r="C4330" i="11" s="1"/>
  <c r="B4298" i="11"/>
  <c r="B4266" i="11"/>
  <c r="D4266" i="11" s="1"/>
  <c r="B4234" i="11"/>
  <c r="C4234" i="11" s="1"/>
  <c r="B4202" i="11"/>
  <c r="B4170" i="11"/>
  <c r="B4138" i="11"/>
  <c r="B4106" i="11"/>
  <c r="C4106" i="11" s="1"/>
  <c r="B4074" i="11"/>
  <c r="C4074" i="11" s="1"/>
  <c r="B4042" i="11"/>
  <c r="C4042" i="11" s="1"/>
  <c r="B4010" i="11"/>
  <c r="D4010" i="11" s="1"/>
  <c r="B3978" i="11"/>
  <c r="B3946" i="11"/>
  <c r="B3914" i="11"/>
  <c r="D3914" i="11" s="1"/>
  <c r="B3882" i="11"/>
  <c r="C3882" i="11" s="1"/>
  <c r="B3850" i="11"/>
  <c r="C3850" i="11" s="1"/>
  <c r="B3818" i="11"/>
  <c r="C3818" i="11" s="1"/>
  <c r="B3786" i="11"/>
  <c r="B3754" i="11"/>
  <c r="D3754" i="11" s="1"/>
  <c r="B3722" i="11"/>
  <c r="B3690" i="11"/>
  <c r="B3654" i="11"/>
  <c r="B3611" i="11"/>
  <c r="B3568" i="11"/>
  <c r="B3526" i="11"/>
  <c r="D3526" i="11" s="1"/>
  <c r="B3483" i="11"/>
  <c r="B3440" i="11"/>
  <c r="C3440" i="11" s="1"/>
  <c r="B3398" i="11"/>
  <c r="D3398" i="11" s="1"/>
  <c r="B3355" i="11"/>
  <c r="B3312" i="11"/>
  <c r="B3270" i="11"/>
  <c r="B3227" i="11"/>
  <c r="B3184" i="11"/>
  <c r="C3184" i="11" s="1"/>
  <c r="B3142" i="11"/>
  <c r="B3099" i="11"/>
  <c r="B3056" i="11"/>
  <c r="B3002" i="11"/>
  <c r="B2938" i="11"/>
  <c r="B2874" i="11"/>
  <c r="B2810" i="11"/>
  <c r="B2746" i="11"/>
  <c r="B2682" i="11"/>
  <c r="B2618" i="11"/>
  <c r="B2554" i="11"/>
  <c r="B2490" i="11"/>
  <c r="B2426" i="11"/>
  <c r="B2362" i="11"/>
  <c r="B2294" i="11"/>
  <c r="B2209" i="11"/>
  <c r="D2209" i="11" s="1"/>
  <c r="B2124" i="11"/>
  <c r="C2124" i="11" s="1"/>
  <c r="B2022" i="11"/>
  <c r="D2022" i="11" s="1"/>
  <c r="B1908" i="11"/>
  <c r="C1908" i="11" s="1"/>
  <c r="B1794" i="11"/>
  <c r="B1681" i="11"/>
  <c r="B1479" i="11"/>
  <c r="D1479" i="11" s="1"/>
  <c r="B1252" i="11"/>
  <c r="C1252" i="11" s="1"/>
  <c r="B866" i="11"/>
  <c r="B8916" i="11"/>
  <c r="B8908" i="11"/>
  <c r="B8900" i="11"/>
  <c r="C8900" i="11" s="1"/>
  <c r="B8892" i="11"/>
  <c r="B8884" i="11"/>
  <c r="B8876" i="11"/>
  <c r="B8868" i="11"/>
  <c r="D8868" i="11" s="1"/>
  <c r="B8860" i="11"/>
  <c r="B8852" i="11"/>
  <c r="C8852" i="11" s="1"/>
  <c r="B8844" i="11"/>
  <c r="B8836" i="11"/>
  <c r="C8836" i="11" s="1"/>
  <c r="B8828" i="11"/>
  <c r="B8820" i="11"/>
  <c r="B8812" i="11"/>
  <c r="B8804" i="11"/>
  <c r="B8796" i="11"/>
  <c r="B8788" i="11"/>
  <c r="B8780" i="11"/>
  <c r="B8772" i="11"/>
  <c r="B8764" i="11"/>
  <c r="B8756" i="11"/>
  <c r="C8756" i="11" s="1"/>
  <c r="B8748" i="11"/>
  <c r="B8740" i="11"/>
  <c r="D8740" i="11" s="1"/>
  <c r="B8732" i="11"/>
  <c r="B8724" i="11"/>
  <c r="B8716" i="11"/>
  <c r="B8708" i="11"/>
  <c r="C8708" i="11" s="1"/>
  <c r="B8700" i="11"/>
  <c r="B8692" i="11"/>
  <c r="C8692" i="11" s="1"/>
  <c r="B8684" i="11"/>
  <c r="B8676" i="11"/>
  <c r="D8676" i="11" s="1"/>
  <c r="B8668" i="11"/>
  <c r="B8660" i="11"/>
  <c r="B8652" i="11"/>
  <c r="B8644" i="11"/>
  <c r="D8644" i="11" s="1"/>
  <c r="B8636" i="11"/>
  <c r="B8628" i="11"/>
  <c r="B8620" i="11"/>
  <c r="D8620" i="11" s="1"/>
  <c r="B8612" i="11"/>
  <c r="C8612" i="11" s="1"/>
  <c r="B8604" i="11"/>
  <c r="B8596" i="11"/>
  <c r="B8588" i="11"/>
  <c r="B8580" i="11"/>
  <c r="C8580" i="11" s="1"/>
  <c r="B8572" i="11"/>
  <c r="B8564" i="11"/>
  <c r="B8556" i="11"/>
  <c r="B8548" i="11"/>
  <c r="D8548" i="11" s="1"/>
  <c r="B8540" i="11"/>
  <c r="B8532" i="11"/>
  <c r="B8524" i="11"/>
  <c r="B8516" i="11"/>
  <c r="D8516" i="11" s="1"/>
  <c r="B8508" i="11"/>
  <c r="B8500" i="11"/>
  <c r="B8492" i="11"/>
  <c r="B8484" i="11"/>
  <c r="D8484" i="11" s="1"/>
  <c r="B8476" i="11"/>
  <c r="B8468" i="11"/>
  <c r="D8468" i="11" s="1"/>
  <c r="B8460" i="11"/>
  <c r="B8452" i="11"/>
  <c r="D8452" i="11" s="1"/>
  <c r="B8444" i="11"/>
  <c r="D8444" i="11" s="1"/>
  <c r="B8436" i="11"/>
  <c r="B8428" i="11"/>
  <c r="B8420" i="11"/>
  <c r="D8420" i="11" s="1"/>
  <c r="B8412" i="11"/>
  <c r="D8412" i="11" s="1"/>
  <c r="B8404" i="11"/>
  <c r="B8396" i="11"/>
  <c r="B8388" i="11"/>
  <c r="D8388" i="11" s="1"/>
  <c r="B8380" i="11"/>
  <c r="B8372" i="11"/>
  <c r="D8372" i="11" s="1"/>
  <c r="B8364" i="11"/>
  <c r="B8356" i="11"/>
  <c r="B8348" i="11"/>
  <c r="B8340" i="11"/>
  <c r="B8332" i="11"/>
  <c r="B8324" i="11"/>
  <c r="B8316" i="11"/>
  <c r="D8316" i="11" s="1"/>
  <c r="B8308" i="11"/>
  <c r="B8300" i="11"/>
  <c r="B8292" i="11"/>
  <c r="D8292" i="11" s="1"/>
  <c r="B8284" i="11"/>
  <c r="B8276" i="11"/>
  <c r="D8276" i="11" s="1"/>
  <c r="B8268" i="11"/>
  <c r="B8260" i="11"/>
  <c r="B8252" i="11"/>
  <c r="B8244" i="11"/>
  <c r="D8244" i="11" s="1"/>
  <c r="B8236" i="11"/>
  <c r="B8228" i="11"/>
  <c r="B8220" i="11"/>
  <c r="B8212" i="11"/>
  <c r="B8204" i="11"/>
  <c r="B8196" i="11"/>
  <c r="B8188" i="11"/>
  <c r="B8180" i="11"/>
  <c r="B8172" i="11"/>
  <c r="B8164" i="11"/>
  <c r="B8156" i="11"/>
  <c r="B8148" i="11"/>
  <c r="B8140" i="11"/>
  <c r="B8132" i="11"/>
  <c r="B8124" i="11"/>
  <c r="B8116" i="11"/>
  <c r="B8108" i="11"/>
  <c r="B8100" i="11"/>
  <c r="B8092" i="11"/>
  <c r="D8092" i="11" s="1"/>
  <c r="B8084" i="11"/>
  <c r="B8076" i="11"/>
  <c r="D8076" i="11" s="1"/>
  <c r="B8068" i="11"/>
  <c r="B8060" i="11"/>
  <c r="B8052" i="11"/>
  <c r="D8052" i="11" s="1"/>
  <c r="B8044" i="11"/>
  <c r="B8036" i="11"/>
  <c r="B8028" i="11"/>
  <c r="B8020" i="11"/>
  <c r="B8012" i="11"/>
  <c r="B8004" i="11"/>
  <c r="B7996" i="11"/>
  <c r="B7988" i="11"/>
  <c r="B7980" i="11"/>
  <c r="B7972" i="11"/>
  <c r="B7964" i="11"/>
  <c r="B7956" i="11"/>
  <c r="B7948" i="11"/>
  <c r="B7940" i="11"/>
  <c r="B7932" i="11"/>
  <c r="B7924" i="11"/>
  <c r="D7924" i="11" s="1"/>
  <c r="B7916" i="11"/>
  <c r="B7908" i="11"/>
  <c r="B7900" i="11"/>
  <c r="B7892" i="11"/>
  <c r="B7884" i="11"/>
  <c r="B7876" i="11"/>
  <c r="B7868" i="11"/>
  <c r="B7860" i="11"/>
  <c r="C7860" i="11" s="1"/>
  <c r="B7852" i="11"/>
  <c r="B7844" i="11"/>
  <c r="B7836" i="11"/>
  <c r="B7828" i="11"/>
  <c r="B7820" i="11"/>
  <c r="B7812" i="11"/>
  <c r="B7804" i="11"/>
  <c r="D7804" i="11" s="1"/>
  <c r="B7796" i="11"/>
  <c r="C7796" i="11" s="1"/>
  <c r="B7788" i="11"/>
  <c r="B7780" i="11"/>
  <c r="B7772" i="11"/>
  <c r="B7764" i="11"/>
  <c r="B7756" i="11"/>
  <c r="B7748" i="11"/>
  <c r="D7748" i="11" s="1"/>
  <c r="B7740" i="11"/>
  <c r="B7732" i="11"/>
  <c r="B7724" i="11"/>
  <c r="B7716" i="11"/>
  <c r="B7708" i="11"/>
  <c r="B7700" i="11"/>
  <c r="B7692" i="11"/>
  <c r="B7684" i="11"/>
  <c r="D7684" i="11" s="1"/>
  <c r="B7676" i="11"/>
  <c r="B7668" i="11"/>
  <c r="D7668" i="11" s="1"/>
  <c r="B7660" i="11"/>
  <c r="B7652" i="11"/>
  <c r="B7644" i="11"/>
  <c r="B7636" i="11"/>
  <c r="B7628" i="11"/>
  <c r="B7620" i="11"/>
  <c r="D7620" i="11" s="1"/>
  <c r="B7612" i="11"/>
  <c r="B7604" i="11"/>
  <c r="B7596" i="11"/>
  <c r="D7596" i="11" s="1"/>
  <c r="B7588" i="11"/>
  <c r="B7580" i="11"/>
  <c r="B7572" i="11"/>
  <c r="B7564" i="11"/>
  <c r="B7556" i="11"/>
  <c r="D7556" i="11" s="1"/>
  <c r="B7548" i="11"/>
  <c r="B7540" i="11"/>
  <c r="B7532" i="11"/>
  <c r="B7524" i="11"/>
  <c r="C7524" i="11" s="1"/>
  <c r="B7516" i="11"/>
  <c r="B7508" i="11"/>
  <c r="D7508" i="11" s="1"/>
  <c r="B7500" i="11"/>
  <c r="B7492" i="11"/>
  <c r="B7484" i="11"/>
  <c r="B7476" i="11"/>
  <c r="B7468" i="11"/>
  <c r="B7460" i="11"/>
  <c r="B7452" i="11"/>
  <c r="B7444" i="11"/>
  <c r="B7436" i="11"/>
  <c r="C7436" i="11" s="1"/>
  <c r="B7428" i="11"/>
  <c r="D7428" i="11" s="1"/>
  <c r="B7420" i="11"/>
  <c r="B7412" i="11"/>
  <c r="D7412" i="11" s="1"/>
  <c r="B7404" i="11"/>
  <c r="B7396" i="11"/>
  <c r="D7396" i="11" s="1"/>
  <c r="B7388" i="11"/>
  <c r="B7380" i="11"/>
  <c r="D7380" i="11" s="1"/>
  <c r="B7372" i="11"/>
  <c r="B7364" i="11"/>
  <c r="C7364" i="11" s="1"/>
  <c r="B7356" i="11"/>
  <c r="B7348" i="11"/>
  <c r="B7340" i="11"/>
  <c r="B7332" i="11"/>
  <c r="B7324" i="11"/>
  <c r="B7316" i="11"/>
  <c r="B7308" i="11"/>
  <c r="B7298" i="11"/>
  <c r="B7288" i="11"/>
  <c r="B7277" i="11"/>
  <c r="B7266" i="11"/>
  <c r="B7256" i="11"/>
  <c r="B7245" i="11"/>
  <c r="B7234" i="11"/>
  <c r="C7234" i="11" s="1"/>
  <c r="B7224" i="11"/>
  <c r="D7224" i="11" s="1"/>
  <c r="B7213" i="11"/>
  <c r="B7202" i="11"/>
  <c r="B7192" i="11"/>
  <c r="C7192" i="11" s="1"/>
  <c r="B7181" i="11"/>
  <c r="B7170" i="11"/>
  <c r="D7170" i="11" s="1"/>
  <c r="B7160" i="11"/>
  <c r="B7149" i="11"/>
  <c r="C7149" i="11" s="1"/>
  <c r="B7138" i="11"/>
  <c r="B7128" i="11"/>
  <c r="B7117" i="11"/>
  <c r="B7106" i="11"/>
  <c r="C7106" i="11" s="1"/>
  <c r="B7096" i="11"/>
  <c r="B7085" i="11"/>
  <c r="B7074" i="11"/>
  <c r="C7074" i="11" s="1"/>
  <c r="B7064" i="11"/>
  <c r="B7053" i="11"/>
  <c r="B7042" i="11"/>
  <c r="B7032" i="11"/>
  <c r="B7021" i="11"/>
  <c r="C7021" i="11" s="1"/>
  <c r="B7010" i="11"/>
  <c r="B7000" i="11"/>
  <c r="B6989" i="11"/>
  <c r="B6978" i="11"/>
  <c r="C6978" i="11" s="1"/>
  <c r="B6968" i="11"/>
  <c r="D6968" i="11" s="1"/>
  <c r="B6957" i="11"/>
  <c r="B6946" i="11"/>
  <c r="B6936" i="11"/>
  <c r="B6925" i="11"/>
  <c r="B6914" i="11"/>
  <c r="D6914" i="11" s="1"/>
  <c r="B6904" i="11"/>
  <c r="B6893" i="11"/>
  <c r="C6893" i="11" s="1"/>
  <c r="B6882" i="11"/>
  <c r="B6872" i="11"/>
  <c r="B6861" i="11"/>
  <c r="B6850" i="11"/>
  <c r="C6850" i="11" s="1"/>
  <c r="B6840" i="11"/>
  <c r="B6829" i="11"/>
  <c r="B6818" i="11"/>
  <c r="C6818" i="11" s="1"/>
  <c r="B6808" i="11"/>
  <c r="B6797" i="11"/>
  <c r="B6786" i="11"/>
  <c r="B6776" i="11"/>
  <c r="B6765" i="11"/>
  <c r="C6765" i="11" s="1"/>
  <c r="B6754" i="11"/>
  <c r="B6744" i="11"/>
  <c r="B6733" i="11"/>
  <c r="B6722" i="11"/>
  <c r="C6722" i="11" s="1"/>
  <c r="B6712" i="11"/>
  <c r="D6712" i="11" s="1"/>
  <c r="B6701" i="11"/>
  <c r="B6690" i="11"/>
  <c r="B6680" i="11"/>
  <c r="B6669" i="11"/>
  <c r="B6658" i="11"/>
  <c r="D6658" i="11" s="1"/>
  <c r="B6648" i="11"/>
  <c r="B6637" i="11"/>
  <c r="C6637" i="11" s="1"/>
  <c r="B6626" i="11"/>
  <c r="B6616" i="11"/>
  <c r="B6605" i="11"/>
  <c r="B6594" i="11"/>
  <c r="C6594" i="11" s="1"/>
  <c r="B6584" i="11"/>
  <c r="B6572" i="11"/>
  <c r="B6556" i="11"/>
  <c r="B6540" i="11"/>
  <c r="B6524" i="11"/>
  <c r="B6508" i="11"/>
  <c r="B6492" i="11"/>
  <c r="B6476" i="11"/>
  <c r="B6460" i="11"/>
  <c r="B6444" i="11"/>
  <c r="B6428" i="11"/>
  <c r="B6412" i="11"/>
  <c r="B6396" i="11"/>
  <c r="B6380" i="11"/>
  <c r="B6364" i="11"/>
  <c r="B6348" i="11"/>
  <c r="B6332" i="11"/>
  <c r="B6316" i="11"/>
  <c r="B6300" i="11"/>
  <c r="B6284" i="11"/>
  <c r="B6268" i="11"/>
  <c r="B6252" i="11"/>
  <c r="B6236" i="11"/>
  <c r="B6220" i="11"/>
  <c r="C6220" i="11" s="1"/>
  <c r="B6204" i="11"/>
  <c r="B6188" i="11"/>
  <c r="B6172" i="11"/>
  <c r="B6156" i="11"/>
  <c r="B6140" i="11"/>
  <c r="B6124" i="11"/>
  <c r="B6108" i="11"/>
  <c r="B6092" i="11"/>
  <c r="C6092" i="11" s="1"/>
  <c r="B6076" i="11"/>
  <c r="D6076" i="11" s="1"/>
  <c r="B6060" i="11"/>
  <c r="B6044" i="11"/>
  <c r="B6028" i="11"/>
  <c r="B6012" i="11"/>
  <c r="B5996" i="11"/>
  <c r="B5980" i="11"/>
  <c r="B5964" i="11"/>
  <c r="C5964" i="11" s="1"/>
  <c r="B5948" i="11"/>
  <c r="B5932" i="11"/>
  <c r="B5916" i="11"/>
  <c r="B5900" i="11"/>
  <c r="C5900" i="11" s="1"/>
  <c r="B5884" i="11"/>
  <c r="B5868" i="11"/>
  <c r="C5868" i="11" s="1"/>
  <c r="B5852" i="11"/>
  <c r="D5852" i="11" s="1"/>
  <c r="B5836" i="11"/>
  <c r="C5836" i="11" s="1"/>
  <c r="B5820" i="11"/>
  <c r="B5804" i="11"/>
  <c r="B5788" i="11"/>
  <c r="B5772" i="11"/>
  <c r="B5756" i="11"/>
  <c r="B5740" i="11"/>
  <c r="B5724" i="11"/>
  <c r="B5708" i="11"/>
  <c r="D5708" i="11" s="1"/>
  <c r="B5692" i="11"/>
  <c r="B5676" i="11"/>
  <c r="B5660" i="11"/>
  <c r="B5644" i="11"/>
  <c r="C5644" i="11" s="1"/>
  <c r="B5628" i="11"/>
  <c r="B5612" i="11"/>
  <c r="C5612" i="11" s="1"/>
  <c r="B5596" i="11"/>
  <c r="B5580" i="11"/>
  <c r="D5580" i="11" s="1"/>
  <c r="B5564" i="11"/>
  <c r="C5564" i="11" s="1"/>
  <c r="B5548" i="11"/>
  <c r="B5532" i="11"/>
  <c r="C5532" i="11" s="1"/>
  <c r="B5516" i="11"/>
  <c r="D5516" i="11" s="1"/>
  <c r="B5500" i="11"/>
  <c r="D5500" i="11" s="1"/>
  <c r="B5484" i="11"/>
  <c r="B5468" i="11"/>
  <c r="C5468" i="11" s="1"/>
  <c r="B5452" i="11"/>
  <c r="B5436" i="11"/>
  <c r="D5436" i="11" s="1"/>
  <c r="B5420" i="11"/>
  <c r="C5420" i="11" s="1"/>
  <c r="B5404" i="11"/>
  <c r="C5404" i="11" s="1"/>
  <c r="B5388" i="11"/>
  <c r="B5372" i="11"/>
  <c r="D5372" i="11" s="1"/>
  <c r="B5356" i="11"/>
  <c r="D5356" i="11" s="1"/>
  <c r="B5340" i="11"/>
  <c r="C5340" i="11" s="1"/>
  <c r="B5324" i="11"/>
  <c r="B5308" i="11"/>
  <c r="D5308" i="11" s="1"/>
  <c r="B5292" i="11"/>
  <c r="C5292" i="11" s="1"/>
  <c r="B5276" i="11"/>
  <c r="C5276" i="11" s="1"/>
  <c r="B5260" i="11"/>
  <c r="B5244" i="11"/>
  <c r="D5244" i="11" s="1"/>
  <c r="B5223" i="11"/>
  <c r="B5202" i="11"/>
  <c r="B5180" i="11"/>
  <c r="B5159" i="11"/>
  <c r="B5138" i="11"/>
  <c r="C5138" i="11" s="1"/>
  <c r="B5114" i="11"/>
  <c r="B5082" i="11"/>
  <c r="C5082" i="11" s="1"/>
  <c r="B5050" i="11"/>
  <c r="B5018" i="11"/>
  <c r="B4986" i="11"/>
  <c r="D4986" i="11" s="1"/>
  <c r="B4954" i="11"/>
  <c r="B4922" i="11"/>
  <c r="B4890" i="11"/>
  <c r="B4858" i="11"/>
  <c r="B4826" i="11"/>
  <c r="B4794" i="11"/>
  <c r="B4762" i="11"/>
  <c r="D4762" i="11" s="1"/>
  <c r="B4730" i="11"/>
  <c r="B4698" i="11"/>
  <c r="B4666" i="11"/>
  <c r="B4634" i="11"/>
  <c r="C4634" i="11" s="1"/>
  <c r="B4602" i="11"/>
  <c r="B4570" i="11"/>
  <c r="B4538" i="11"/>
  <c r="D4538" i="11" s="1"/>
  <c r="B4506" i="11"/>
  <c r="C4506" i="11" s="1"/>
  <c r="B4474" i="11"/>
  <c r="C4474" i="11" s="1"/>
  <c r="B4442" i="11"/>
  <c r="C4442" i="11" s="1"/>
  <c r="B4410" i="11"/>
  <c r="C4410" i="11" s="1"/>
  <c r="B4378" i="11"/>
  <c r="C4378" i="11" s="1"/>
  <c r="B4346" i="11"/>
  <c r="B4314" i="11"/>
  <c r="B4282" i="11"/>
  <c r="D4282" i="11" s="1"/>
  <c r="B4250" i="11"/>
  <c r="C4250" i="11" s="1"/>
  <c r="B4218" i="11"/>
  <c r="C4218" i="11" s="1"/>
  <c r="B4186" i="11"/>
  <c r="B4154" i="11"/>
  <c r="C4154" i="11" s="1"/>
  <c r="B4122" i="11"/>
  <c r="C4122" i="11" s="1"/>
  <c r="B4090" i="11"/>
  <c r="B4058" i="11"/>
  <c r="B4026" i="11"/>
  <c r="D4026" i="11" s="1"/>
  <c r="B3994" i="11"/>
  <c r="C3994" i="11" s="1"/>
  <c r="B3962" i="11"/>
  <c r="B3930" i="11"/>
  <c r="B3898" i="11"/>
  <c r="C3898" i="11" s="1"/>
  <c r="B3866" i="11"/>
  <c r="C3866" i="11" s="1"/>
  <c r="B3834" i="11"/>
  <c r="D3834" i="11" s="1"/>
  <c r="B3802" i="11"/>
  <c r="B3770" i="11"/>
  <c r="D3770" i="11" s="1"/>
  <c r="B3738" i="11"/>
  <c r="C3738" i="11" s="1"/>
  <c r="B3706" i="11"/>
  <c r="C3706" i="11" s="1"/>
  <c r="B3674" i="11"/>
  <c r="C3674" i="11" s="1"/>
  <c r="B3632" i="11"/>
  <c r="C3632" i="11" s="1"/>
  <c r="B3590" i="11"/>
  <c r="D3590" i="11" s="1"/>
  <c r="B3547" i="11"/>
  <c r="B3504" i="11"/>
  <c r="C3504" i="11" s="1"/>
  <c r="B3462" i="11"/>
  <c r="B3419" i="11"/>
  <c r="B3376" i="11"/>
  <c r="D3376" i="11" s="1"/>
  <c r="B3334" i="11"/>
  <c r="B3291" i="11"/>
  <c r="C3291" i="11" s="1"/>
  <c r="B3248" i="11"/>
  <c r="D3248" i="11" s="1"/>
  <c r="B3206" i="11"/>
  <c r="D3206" i="11" s="1"/>
  <c r="B3163" i="11"/>
  <c r="D3163" i="11" s="1"/>
  <c r="B3120" i="11"/>
  <c r="C3120" i="11" s="1"/>
  <c r="B3078" i="11"/>
  <c r="B3034" i="11"/>
  <c r="B2970" i="11"/>
  <c r="B2906" i="11"/>
  <c r="D2906" i="11" s="1"/>
  <c r="B2842" i="11"/>
  <c r="B2778" i="11"/>
  <c r="B2714" i="11"/>
  <c r="B2650" i="11"/>
  <c r="B2586" i="11"/>
  <c r="B2522" i="11"/>
  <c r="B2458" i="11"/>
  <c r="B2394" i="11"/>
  <c r="B2330" i="11"/>
  <c r="B2252" i="11"/>
  <c r="D2252" i="11" s="1"/>
  <c r="B2166" i="11"/>
  <c r="B2078" i="11"/>
  <c r="B1965" i="11"/>
  <c r="C1965" i="11" s="1"/>
  <c r="B1852" i="11"/>
  <c r="B1737" i="11"/>
  <c r="C1737" i="11" s="1"/>
  <c r="B1594" i="11"/>
  <c r="B1367" i="11"/>
  <c r="B1122" i="11"/>
  <c r="D1122" i="11" s="1"/>
  <c r="B470" i="11"/>
  <c r="C2984" i="11"/>
  <c r="D6640" i="11"/>
  <c r="H11" i="11"/>
  <c r="B12" i="11"/>
  <c r="D12" i="11" s="1"/>
  <c r="F22" i="4" l="1"/>
  <c r="F22" i="10"/>
  <c r="G23" i="10" s="1"/>
  <c r="F20" i="10"/>
  <c r="F16" i="3"/>
  <c r="G13" i="10"/>
  <c r="H10" i="4"/>
  <c r="E11" i="3"/>
  <c r="F12" i="3" s="1"/>
  <c r="F16" i="9"/>
  <c r="G17" i="9" s="1"/>
  <c r="H18" i="9" s="1"/>
  <c r="I19" i="9" s="1"/>
  <c r="J20" i="9" s="1"/>
  <c r="F14" i="9"/>
  <c r="F16" i="4"/>
  <c r="G17" i="4" s="1"/>
  <c r="H18" i="4" s="1"/>
  <c r="F14" i="4"/>
  <c r="F24" i="3"/>
  <c r="G23" i="4"/>
  <c r="G21" i="4"/>
  <c r="F22" i="3"/>
  <c r="F10" i="3"/>
  <c r="G11" i="3" s="1"/>
  <c r="F18" i="3"/>
  <c r="G19" i="3" s="1"/>
  <c r="F14" i="3"/>
  <c r="G15" i="3" s="1"/>
  <c r="D937" i="11"/>
  <c r="D8694" i="11"/>
  <c r="C7814" i="11"/>
  <c r="C8290" i="11"/>
  <c r="C5421" i="11"/>
  <c r="D9548" i="11"/>
  <c r="D465" i="11"/>
  <c r="D1727" i="11"/>
  <c r="C2180" i="11"/>
  <c r="D4834" i="11"/>
  <c r="D129" i="11"/>
  <c r="C5040" i="11"/>
  <c r="D6306" i="11"/>
  <c r="C10002" i="11"/>
  <c r="D5920" i="11"/>
  <c r="D1332" i="11"/>
  <c r="D4098" i="11"/>
  <c r="C8034" i="11"/>
  <c r="D9140" i="11"/>
  <c r="C9810" i="11"/>
  <c r="D4274" i="11"/>
  <c r="D5132" i="11"/>
  <c r="C2346" i="11"/>
  <c r="D4386" i="11"/>
  <c r="C5280" i="11"/>
  <c r="C10012" i="11"/>
  <c r="C3306" i="11"/>
  <c r="C5336" i="11"/>
  <c r="C4610" i="11"/>
  <c r="C9916" i="11"/>
  <c r="C133" i="11"/>
  <c r="D1948" i="11"/>
  <c r="D4242" i="11"/>
  <c r="D4354" i="11"/>
  <c r="D4981" i="11"/>
  <c r="C7362" i="11"/>
  <c r="C7462" i="11"/>
  <c r="D3558" i="11"/>
  <c r="C1165" i="11"/>
  <c r="D8972" i="11"/>
  <c r="D9074" i="11"/>
  <c r="C5122" i="11"/>
  <c r="D2480" i="11"/>
  <c r="C3874" i="11"/>
  <c r="C5256" i="11"/>
  <c r="C7842" i="11"/>
  <c r="C4676" i="11"/>
  <c r="C7686" i="11"/>
  <c r="D8542" i="11"/>
  <c r="D9030" i="11"/>
  <c r="D8270" i="11"/>
  <c r="D9282" i="11"/>
  <c r="D6040" i="11"/>
  <c r="C9586" i="11"/>
  <c r="C9894" i="11"/>
  <c r="C1232" i="11"/>
  <c r="D3762" i="11"/>
  <c r="D4130" i="11"/>
  <c r="D6613" i="11"/>
  <c r="C8058" i="11"/>
  <c r="C7382" i="11"/>
  <c r="D3238" i="11"/>
  <c r="D8710" i="11"/>
  <c r="D9164" i="11"/>
  <c r="D8722" i="11"/>
  <c r="C9362" i="11"/>
  <c r="C9998" i="11"/>
  <c r="D3842" i="11"/>
  <c r="C4952" i="11"/>
  <c r="C8242" i="11"/>
  <c r="C558" i="11"/>
  <c r="D9238" i="11"/>
  <c r="C9490" i="11"/>
  <c r="D6192" i="11"/>
  <c r="D4112" i="11"/>
  <c r="D6109" i="11"/>
  <c r="D7077" i="11"/>
  <c r="D5238" i="11"/>
  <c r="C5216" i="11"/>
  <c r="D6789" i="11"/>
  <c r="D1132" i="11"/>
  <c r="D5084" i="11"/>
  <c r="D5454" i="11"/>
  <c r="D7317" i="11"/>
  <c r="D7583" i="11"/>
  <c r="D3850" i="11"/>
  <c r="C4510" i="11"/>
  <c r="C3442" i="11"/>
  <c r="D4669" i="11"/>
  <c r="D8478" i="11"/>
  <c r="D9099" i="11"/>
  <c r="C9474" i="11"/>
  <c r="C9500" i="11"/>
  <c r="C250" i="11"/>
  <c r="D8940" i="11"/>
  <c r="D4258" i="11"/>
  <c r="D6853" i="11"/>
  <c r="C7506" i="11"/>
  <c r="C1576" i="11"/>
  <c r="D3457" i="11"/>
  <c r="D2833" i="11"/>
  <c r="D8646" i="11"/>
  <c r="D2737" i="11"/>
  <c r="D1019" i="11"/>
  <c r="D3698" i="11"/>
  <c r="D4829" i="11"/>
  <c r="D413" i="11"/>
  <c r="D3617" i="11"/>
  <c r="C2442" i="11"/>
  <c r="D9170" i="11"/>
  <c r="C6682" i="11"/>
  <c r="C3210" i="11"/>
  <c r="C8046" i="11"/>
  <c r="C2844" i="11"/>
  <c r="D5616" i="11"/>
  <c r="D9236" i="11"/>
  <c r="D1183" i="11"/>
  <c r="D2588" i="11"/>
  <c r="C4178" i="11"/>
  <c r="C7834" i="11"/>
  <c r="D2336" i="11"/>
  <c r="C8462" i="11"/>
  <c r="C5576" i="11"/>
  <c r="D139" i="11"/>
  <c r="D900" i="11"/>
  <c r="D3430" i="11"/>
  <c r="D3089" i="11"/>
  <c r="C2058" i="11"/>
  <c r="C9518" i="11"/>
  <c r="C807" i="11"/>
  <c r="D3794" i="11"/>
  <c r="C4530" i="11"/>
  <c r="D5085" i="11"/>
  <c r="D5472" i="11"/>
  <c r="C4456" i="11"/>
  <c r="D5529" i="11"/>
  <c r="C7550" i="11"/>
  <c r="D2318" i="11"/>
  <c r="D3281" i="11"/>
  <c r="D1648" i="11"/>
  <c r="C3548" i="11"/>
  <c r="D997" i="11"/>
  <c r="D8726" i="11"/>
  <c r="D9132" i="11"/>
  <c r="C2625" i="11"/>
  <c r="C9296" i="11"/>
  <c r="D9296" i="11"/>
  <c r="C5318" i="11"/>
  <c r="D5318" i="11"/>
  <c r="C5254" i="11"/>
  <c r="D5254" i="11"/>
  <c r="D4942" i="11"/>
  <c r="C4942" i="11"/>
  <c r="D2562" i="11"/>
  <c r="C2562" i="11"/>
  <c r="C9995" i="11"/>
  <c r="D9995" i="11"/>
  <c r="C9547" i="11"/>
  <c r="D9547" i="11"/>
  <c r="C9371" i="11"/>
  <c r="D9371" i="11"/>
  <c r="C9275" i="11"/>
  <c r="D9275" i="11"/>
  <c r="C9211" i="11"/>
  <c r="D9211" i="11"/>
  <c r="C8923" i="11"/>
  <c r="D8923" i="11"/>
  <c r="C8859" i="11"/>
  <c r="D8859" i="11"/>
  <c r="C8779" i="11"/>
  <c r="D8779" i="11"/>
  <c r="C8635" i="11"/>
  <c r="D8635" i="11"/>
  <c r="C8539" i="11"/>
  <c r="D8539" i="11"/>
  <c r="C8411" i="11"/>
  <c r="D8411" i="11"/>
  <c r="C8331" i="11"/>
  <c r="D8331" i="11"/>
  <c r="C8203" i="11"/>
  <c r="D8203" i="11"/>
  <c r="C8091" i="11"/>
  <c r="D8091" i="11"/>
  <c r="C7995" i="11"/>
  <c r="D7995" i="11"/>
  <c r="C7947" i="11"/>
  <c r="D7947" i="11"/>
  <c r="C7867" i="11"/>
  <c r="D7867" i="11"/>
  <c r="C7755" i="11"/>
  <c r="D7755" i="11"/>
  <c r="C7499" i="11"/>
  <c r="D7499" i="11"/>
  <c r="D5046" i="11"/>
  <c r="C5046" i="11"/>
  <c r="D4790" i="11"/>
  <c r="C4790" i="11"/>
  <c r="D4470" i="11"/>
  <c r="C4470" i="11"/>
  <c r="D3456" i="11"/>
  <c r="C3456" i="11"/>
  <c r="C7251" i="11"/>
  <c r="D7251" i="11"/>
  <c r="C7187" i="11"/>
  <c r="D7187" i="11"/>
  <c r="C7107" i="11"/>
  <c r="D7107" i="11"/>
  <c r="D6963" i="11"/>
  <c r="C6963" i="11"/>
  <c r="C6787" i="11"/>
  <c r="D6787" i="11"/>
  <c r="D6627" i="11"/>
  <c r="C6627" i="11"/>
  <c r="D6243" i="11"/>
  <c r="C6243" i="11"/>
  <c r="D5923" i="11"/>
  <c r="C5923" i="11"/>
  <c r="D5603" i="11"/>
  <c r="C5603" i="11"/>
  <c r="C5523" i="11"/>
  <c r="D5523" i="11"/>
  <c r="D5168" i="11"/>
  <c r="C5168" i="11"/>
  <c r="D4520" i="11"/>
  <c r="C4520" i="11"/>
  <c r="D3608" i="11"/>
  <c r="C3608" i="11"/>
  <c r="C3182" i="11"/>
  <c r="D3182" i="11"/>
  <c r="D3096" i="11"/>
  <c r="C3096" i="11"/>
  <c r="C2614" i="11"/>
  <c r="D2614" i="11"/>
  <c r="C2422" i="11"/>
  <c r="D2422" i="11"/>
  <c r="D6009" i="11"/>
  <c r="C6009" i="11"/>
  <c r="C5561" i="11"/>
  <c r="D5561" i="11"/>
  <c r="C5481" i="11"/>
  <c r="D5481" i="11"/>
  <c r="C5289" i="11"/>
  <c r="D5289" i="11"/>
  <c r="C5076" i="11"/>
  <c r="D5076" i="11"/>
  <c r="C4884" i="11"/>
  <c r="D4884" i="11"/>
  <c r="C3667" i="11"/>
  <c r="D3667" i="11"/>
  <c r="D3496" i="11"/>
  <c r="C3496" i="11"/>
  <c r="C4008" i="11"/>
  <c r="D7835" i="11"/>
  <c r="D7728" i="11"/>
  <c r="C7728" i="11"/>
  <c r="D4750" i="11"/>
  <c r="C4750" i="11"/>
  <c r="C2946" i="11"/>
  <c r="D2946" i="11"/>
  <c r="D1282" i="11"/>
  <c r="C1282" i="11"/>
  <c r="C9611" i="11"/>
  <c r="D9611" i="11"/>
  <c r="C9435" i="11"/>
  <c r="D9435" i="11"/>
  <c r="C9035" i="11"/>
  <c r="D9035" i="11"/>
  <c r="C8763" i="11"/>
  <c r="D8763" i="11"/>
  <c r="C8667" i="11"/>
  <c r="D8667" i="11"/>
  <c r="C8523" i="11"/>
  <c r="D8523" i="11"/>
  <c r="C8283" i="11"/>
  <c r="D8283" i="11"/>
  <c r="C8187" i="11"/>
  <c r="D8187" i="11"/>
  <c r="C8075" i="11"/>
  <c r="D8075" i="11"/>
  <c r="C7739" i="11"/>
  <c r="D7739" i="11"/>
  <c r="C7643" i="11"/>
  <c r="D7643" i="11"/>
  <c r="C7611" i="11"/>
  <c r="D7611" i="11"/>
  <c r="C7515" i="11"/>
  <c r="D7515" i="11"/>
  <c r="C7419" i="11"/>
  <c r="D7419" i="11"/>
  <c r="C7387" i="11"/>
  <c r="D7387" i="11"/>
  <c r="C7307" i="11"/>
  <c r="D7307" i="11"/>
  <c r="D7286" i="11"/>
  <c r="C7286" i="11"/>
  <c r="D6458" i="11"/>
  <c r="C6458" i="11"/>
  <c r="D6330" i="11"/>
  <c r="C6330" i="11"/>
  <c r="D6074" i="11"/>
  <c r="C6074" i="11"/>
  <c r="C5402" i="11"/>
  <c r="D5402" i="11"/>
  <c r="D5156" i="11"/>
  <c r="C5156" i="11"/>
  <c r="D4918" i="11"/>
  <c r="C4918" i="11"/>
  <c r="D4662" i="11"/>
  <c r="C4662" i="11"/>
  <c r="D4406" i="11"/>
  <c r="C4406" i="11"/>
  <c r="D3830" i="11"/>
  <c r="C3830" i="11"/>
  <c r="D3702" i="11"/>
  <c r="C3702" i="11"/>
  <c r="D6563" i="11"/>
  <c r="C6563" i="11"/>
  <c r="D6275" i="11"/>
  <c r="C6275" i="11"/>
  <c r="D5891" i="11"/>
  <c r="C5891" i="11"/>
  <c r="D5571" i="11"/>
  <c r="C5571" i="11"/>
  <c r="D4296" i="11"/>
  <c r="C4296" i="11"/>
  <c r="D4232" i="11"/>
  <c r="C4232" i="11"/>
  <c r="D4072" i="11"/>
  <c r="C4072" i="11"/>
  <c r="D3912" i="11"/>
  <c r="C3912" i="11"/>
  <c r="D3688" i="11"/>
  <c r="C3688" i="11"/>
  <c r="C3267" i="11"/>
  <c r="D3267" i="11"/>
  <c r="D6361" i="11"/>
  <c r="C6361" i="11"/>
  <c r="D6233" i="11"/>
  <c r="C6233" i="11"/>
  <c r="D5881" i="11"/>
  <c r="C5881" i="11"/>
  <c r="C5433" i="11"/>
  <c r="D5433" i="11"/>
  <c r="C5401" i="11"/>
  <c r="D5401" i="11"/>
  <c r="C5273" i="11"/>
  <c r="D5273" i="11"/>
  <c r="D5198" i="11"/>
  <c r="C5198" i="11"/>
  <c r="C5108" i="11"/>
  <c r="D5108" i="11"/>
  <c r="C4788" i="11"/>
  <c r="D4788" i="11"/>
  <c r="C4564" i="11"/>
  <c r="D4564" i="11"/>
  <c r="D3624" i="11"/>
  <c r="C3624" i="11"/>
  <c r="D3368" i="11"/>
  <c r="C3368" i="11"/>
  <c r="D2894" i="11"/>
  <c r="C2894" i="11"/>
  <c r="C2638" i="11"/>
  <c r="D2638" i="11"/>
  <c r="D2236" i="11"/>
  <c r="C2236" i="11"/>
  <c r="D5478" i="11"/>
  <c r="D8443" i="11"/>
  <c r="C5229" i="11"/>
  <c r="D5229" i="11"/>
  <c r="C5197" i="11"/>
  <c r="D5197" i="11"/>
  <c r="C5133" i="11"/>
  <c r="D5133" i="11"/>
  <c r="C5101" i="11"/>
  <c r="D5101" i="11"/>
  <c r="C5037" i="11"/>
  <c r="D5037" i="11"/>
  <c r="C5021" i="11"/>
  <c r="D5021" i="11"/>
  <c r="C4989" i="11"/>
  <c r="D4989" i="11"/>
  <c r="C4957" i="11"/>
  <c r="D4957" i="11"/>
  <c r="C4893" i="11"/>
  <c r="D4893" i="11"/>
  <c r="C4861" i="11"/>
  <c r="D4861" i="11"/>
  <c r="C4797" i="11"/>
  <c r="D4797" i="11"/>
  <c r="C4781" i="11"/>
  <c r="D4781" i="11"/>
  <c r="C4749" i="11"/>
  <c r="D4749" i="11"/>
  <c r="C4717" i="11"/>
  <c r="D4717" i="11"/>
  <c r="C4653" i="11"/>
  <c r="D4653" i="11"/>
  <c r="C4589" i="11"/>
  <c r="D4589" i="11"/>
  <c r="C4493" i="11"/>
  <c r="D4493" i="11"/>
  <c r="D4461" i="11"/>
  <c r="C4461" i="11"/>
  <c r="D4333" i="11"/>
  <c r="C4333" i="11"/>
  <c r="D3885" i="11"/>
  <c r="C3885" i="11"/>
  <c r="D3837" i="11"/>
  <c r="C3837" i="11"/>
  <c r="D3615" i="11"/>
  <c r="C3615" i="11"/>
  <c r="D3594" i="11"/>
  <c r="C3594" i="11"/>
  <c r="C3551" i="11"/>
  <c r="D3551" i="11"/>
  <c r="D3466" i="11"/>
  <c r="C3466" i="11"/>
  <c r="D3338" i="11"/>
  <c r="C3338" i="11"/>
  <c r="C2976" i="11"/>
  <c r="D2976" i="11"/>
  <c r="D2528" i="11"/>
  <c r="C2528" i="11"/>
  <c r="C1805" i="11"/>
  <c r="D1805" i="11"/>
  <c r="D4923" i="11"/>
  <c r="C4923" i="11"/>
  <c r="C4859" i="11"/>
  <c r="D4859" i="11"/>
  <c r="D4763" i="11"/>
  <c r="C4763" i="11"/>
  <c r="C4635" i="11"/>
  <c r="D4635" i="11"/>
  <c r="D4219" i="11"/>
  <c r="C4219" i="11"/>
  <c r="D4107" i="11"/>
  <c r="C4107" i="11"/>
  <c r="D3634" i="11"/>
  <c r="C3634" i="11"/>
  <c r="D3399" i="11"/>
  <c r="C3399" i="11"/>
  <c r="D3356" i="11"/>
  <c r="C3356" i="11"/>
  <c r="D3292" i="11"/>
  <c r="C3292" i="11"/>
  <c r="D2780" i="11"/>
  <c r="C2780" i="11"/>
  <c r="C2748" i="11"/>
  <c r="D2748" i="11"/>
  <c r="C2556" i="11"/>
  <c r="D2556" i="11"/>
  <c r="D2254" i="11"/>
  <c r="C2254" i="11"/>
  <c r="D2169" i="11"/>
  <c r="C2169" i="11"/>
  <c r="C2082" i="11"/>
  <c r="D2082" i="11"/>
  <c r="C1969" i="11"/>
  <c r="D1969" i="11"/>
  <c r="D1602" i="11"/>
  <c r="C1602" i="11"/>
  <c r="C3649" i="11"/>
  <c r="D3649" i="11"/>
  <c r="C3585" i="11"/>
  <c r="D3585" i="11"/>
  <c r="C3553" i="11"/>
  <c r="D3553" i="11"/>
  <c r="C3489" i="11"/>
  <c r="D3489" i="11"/>
  <c r="C3473" i="11"/>
  <c r="D3473" i="11"/>
  <c r="C3393" i="11"/>
  <c r="D3393" i="11"/>
  <c r="C3329" i="11"/>
  <c r="D3329" i="11"/>
  <c r="C3297" i="11"/>
  <c r="D3297" i="11"/>
  <c r="C3233" i="11"/>
  <c r="D3233" i="11"/>
  <c r="C3217" i="11"/>
  <c r="D3217" i="11"/>
  <c r="C3185" i="11"/>
  <c r="D3185" i="11"/>
  <c r="C3153" i="11"/>
  <c r="D3153" i="11"/>
  <c r="C3121" i="11"/>
  <c r="D3121" i="11"/>
  <c r="D3057" i="11"/>
  <c r="C3057" i="11"/>
  <c r="D3041" i="11"/>
  <c r="C3041" i="11"/>
  <c r="D2929" i="11"/>
  <c r="C2929" i="11"/>
  <c r="C2705" i="11"/>
  <c r="D2705" i="11"/>
  <c r="D2609" i="11"/>
  <c r="C2609" i="11"/>
  <c r="D2481" i="11"/>
  <c r="C2481" i="11"/>
  <c r="D2385" i="11"/>
  <c r="C2385" i="11"/>
  <c r="D2321" i="11"/>
  <c r="C2321" i="11"/>
  <c r="C2282" i="11"/>
  <c r="D2282" i="11"/>
  <c r="D2197" i="11"/>
  <c r="C2197" i="11"/>
  <c r="C2112" i="11"/>
  <c r="D2112" i="11"/>
  <c r="C2062" i="11"/>
  <c r="D2062" i="11"/>
  <c r="D1721" i="11"/>
  <c r="C1721" i="11"/>
  <c r="C3011" i="11"/>
  <c r="D3011" i="11"/>
  <c r="D2979" i="11"/>
  <c r="C2979" i="11"/>
  <c r="D2947" i="11"/>
  <c r="C2947" i="11"/>
  <c r="D2563" i="11"/>
  <c r="C2563" i="11"/>
  <c r="C2531" i="11"/>
  <c r="D2531" i="11"/>
  <c r="C2499" i="11"/>
  <c r="D2499" i="11"/>
  <c r="D2339" i="11"/>
  <c r="C2339" i="11"/>
  <c r="C2306" i="11"/>
  <c r="D2306" i="11"/>
  <c r="D2009" i="11"/>
  <c r="C2009" i="11"/>
  <c r="D1070" i="11"/>
  <c r="C1070" i="11"/>
  <c r="D1802" i="11"/>
  <c r="C1802" i="11"/>
  <c r="C1717" i="11"/>
  <c r="D1717" i="11"/>
  <c r="D1439" i="11"/>
  <c r="C1439" i="11"/>
  <c r="D483" i="11"/>
  <c r="C483" i="11"/>
  <c r="D2203" i="11"/>
  <c r="C2203" i="11"/>
  <c r="D2107" i="11"/>
  <c r="C2107" i="11"/>
  <c r="D2075" i="11"/>
  <c r="C2075" i="11"/>
  <c r="C1867" i="11"/>
  <c r="D1867" i="11"/>
  <c r="C1384" i="11"/>
  <c r="D1384" i="11"/>
  <c r="C920" i="11"/>
  <c r="D920" i="11"/>
  <c r="D768" i="11"/>
  <c r="C768" i="11"/>
  <c r="D1456" i="11"/>
  <c r="C1456" i="11"/>
  <c r="D1371" i="11"/>
  <c r="C1371" i="11"/>
  <c r="D1243" i="11"/>
  <c r="C1243" i="11"/>
  <c r="C742" i="11"/>
  <c r="D742" i="11"/>
  <c r="C416" i="11"/>
  <c r="D416" i="11"/>
  <c r="C1573" i="11"/>
  <c r="D1573" i="11"/>
  <c r="C1541" i="11"/>
  <c r="D1541" i="11"/>
  <c r="C1493" i="11"/>
  <c r="D1493" i="11"/>
  <c r="D418" i="11"/>
  <c r="C418" i="11"/>
  <c r="C1115" i="11"/>
  <c r="D1115" i="11"/>
  <c r="D1083" i="11"/>
  <c r="C1083" i="11"/>
  <c r="C987" i="11"/>
  <c r="D987" i="11"/>
  <c r="C955" i="11"/>
  <c r="D955" i="11"/>
  <c r="D599" i="11"/>
  <c r="C599" i="11"/>
  <c r="C232" i="11"/>
  <c r="D232" i="11"/>
  <c r="C580" i="11"/>
  <c r="D580" i="11"/>
  <c r="D452" i="11"/>
  <c r="C452" i="11"/>
  <c r="C196" i="11"/>
  <c r="D196" i="11"/>
  <c r="C845" i="11"/>
  <c r="D845" i="11"/>
  <c r="D829" i="11"/>
  <c r="C829" i="11"/>
  <c r="D381" i="11"/>
  <c r="C381" i="11"/>
  <c r="D317" i="11"/>
  <c r="C317" i="11"/>
  <c r="D285" i="11"/>
  <c r="C285" i="11"/>
  <c r="D7290" i="11"/>
  <c r="C7290" i="11"/>
  <c r="D6906" i="11"/>
  <c r="C6906" i="11"/>
  <c r="D7794" i="11"/>
  <c r="C7794" i="11"/>
  <c r="D8134" i="11"/>
  <c r="C8134" i="11"/>
  <c r="C8966" i="11"/>
  <c r="D8966" i="11"/>
  <c r="C9116" i="11"/>
  <c r="D9116" i="11"/>
  <c r="C9194" i="11"/>
  <c r="D9194" i="11"/>
  <c r="C9334" i="11"/>
  <c r="D9334" i="11"/>
  <c r="D9450" i="11"/>
  <c r="C9450" i="11"/>
  <c r="D9564" i="11"/>
  <c r="C9564" i="11"/>
  <c r="D9954" i="11"/>
  <c r="C9954" i="11"/>
  <c r="D9902" i="11"/>
  <c r="C9902" i="11"/>
  <c r="D9818" i="11"/>
  <c r="C9818" i="11"/>
  <c r="D9774" i="11"/>
  <c r="C9774" i="11"/>
  <c r="D9690" i="11"/>
  <c r="C9690" i="11"/>
  <c r="D9604" i="11"/>
  <c r="C9604" i="11"/>
  <c r="D9562" i="11"/>
  <c r="C9562" i="11"/>
  <c r="D9476" i="11"/>
  <c r="C9476" i="11"/>
  <c r="D9390" i="11"/>
  <c r="C9390" i="11"/>
  <c r="C9302" i="11"/>
  <c r="D9302" i="11"/>
  <c r="D9020" i="11"/>
  <c r="C9020" i="11"/>
  <c r="C8962" i="11"/>
  <c r="D8962" i="11"/>
  <c r="C8814" i="11"/>
  <c r="D8814" i="11"/>
  <c r="C8642" i="11"/>
  <c r="D8642" i="11"/>
  <c r="D8470" i="11"/>
  <c r="C8470" i="11"/>
  <c r="D8302" i="11"/>
  <c r="C8302" i="11"/>
  <c r="D7874" i="11"/>
  <c r="C7874" i="11"/>
  <c r="D7618" i="11"/>
  <c r="C7618" i="11"/>
  <c r="D6890" i="11"/>
  <c r="C6890" i="11"/>
  <c r="C5704" i="11"/>
  <c r="D5704" i="11"/>
  <c r="C8638" i="11"/>
  <c r="D8638" i="11"/>
  <c r="D8210" i="11"/>
  <c r="C8210" i="11"/>
  <c r="D7870" i="11"/>
  <c r="C7870" i="11"/>
  <c r="D7606" i="11"/>
  <c r="C7606" i="11"/>
  <c r="D7178" i="11"/>
  <c r="C7178" i="11"/>
  <c r="C6552" i="11"/>
  <c r="D6552" i="11"/>
  <c r="C9262" i="11"/>
  <c r="D9262" i="11"/>
  <c r="C9178" i="11"/>
  <c r="D9178" i="11"/>
  <c r="C9134" i="11"/>
  <c r="D9134" i="11"/>
  <c r="C9050" i="11"/>
  <c r="D9050" i="11"/>
  <c r="D8964" i="11"/>
  <c r="C8964" i="11"/>
  <c r="C8858" i="11"/>
  <c r="D8858" i="11"/>
  <c r="C8730" i="11"/>
  <c r="D8730" i="11"/>
  <c r="C8602" i="11"/>
  <c r="D8602" i="11"/>
  <c r="D8474" i="11"/>
  <c r="C8474" i="11"/>
  <c r="D8218" i="11"/>
  <c r="C8218" i="11"/>
  <c r="D7674" i="11"/>
  <c r="C7674" i="11"/>
  <c r="C7296" i="11"/>
  <c r="D7296" i="11"/>
  <c r="C6693" i="11"/>
  <c r="D6693" i="11"/>
  <c r="D7730" i="11"/>
  <c r="C7730" i="11"/>
  <c r="D7370" i="11"/>
  <c r="C7370" i="11"/>
  <c r="C7093" i="11"/>
  <c r="D7093" i="11"/>
  <c r="C6784" i="11"/>
  <c r="D6784" i="11"/>
  <c r="C6296" i="11"/>
  <c r="D6296" i="11"/>
  <c r="D7614" i="11"/>
  <c r="C7614" i="11"/>
  <c r="D7226" i="11"/>
  <c r="C7226" i="11"/>
  <c r="C6773" i="11"/>
  <c r="D6773" i="11"/>
  <c r="D6488" i="11"/>
  <c r="C6488" i="11"/>
  <c r="D5800" i="11"/>
  <c r="C5800" i="11"/>
  <c r="D7414" i="11"/>
  <c r="C7414" i="11"/>
  <c r="C7280" i="11"/>
  <c r="D7280" i="11"/>
  <c r="C7109" i="11"/>
  <c r="D7109" i="11"/>
  <c r="C6392" i="11"/>
  <c r="D6392" i="11"/>
  <c r="C5042" i="11"/>
  <c r="D5042" i="11"/>
  <c r="C6112" i="11"/>
  <c r="D6112" i="11"/>
  <c r="C5856" i="11"/>
  <c r="D5856" i="11"/>
  <c r="C5600" i="11"/>
  <c r="D5600" i="11"/>
  <c r="C3046" i="11"/>
  <c r="D3046" i="11"/>
  <c r="D2538" i="11"/>
  <c r="C2538" i="11"/>
  <c r="D6512" i="11"/>
  <c r="C6512" i="11"/>
  <c r="C6256" i="11"/>
  <c r="D6256" i="11"/>
  <c r="C5872" i="11"/>
  <c r="D5872" i="11"/>
  <c r="C5360" i="11"/>
  <c r="D5360" i="11"/>
  <c r="D5026" i="11"/>
  <c r="C5026" i="11"/>
  <c r="C3088" i="11"/>
  <c r="D3088" i="11"/>
  <c r="D9900" i="11"/>
  <c r="C9900" i="11"/>
  <c r="C9318" i="11"/>
  <c r="D9318" i="11"/>
  <c r="C7157" i="11"/>
  <c r="D7157" i="11"/>
  <c r="C9054" i="11"/>
  <c r="D9054" i="11"/>
  <c r="D9948" i="11"/>
  <c r="C9948" i="11"/>
  <c r="D9470" i="11"/>
  <c r="C9470" i="11"/>
  <c r="D9922" i="11"/>
  <c r="C9922" i="11"/>
  <c r="D9516" i="11"/>
  <c r="C9516" i="11"/>
  <c r="C6928" i="11"/>
  <c r="D6928" i="11"/>
  <c r="D9794" i="11"/>
  <c r="C9794" i="11"/>
  <c r="C8526" i="11"/>
  <c r="D8526" i="11"/>
  <c r="D8070" i="11"/>
  <c r="C8070" i="11"/>
  <c r="D9638" i="11"/>
  <c r="C9638" i="11"/>
  <c r="D9410" i="11"/>
  <c r="C9410" i="11"/>
  <c r="C9130" i="11"/>
  <c r="D9130" i="11"/>
  <c r="D9950" i="11"/>
  <c r="C9950" i="11"/>
  <c r="D9756" i="11"/>
  <c r="C9756" i="11"/>
  <c r="D9556" i="11"/>
  <c r="C9556" i="11"/>
  <c r="D9354" i="11"/>
  <c r="C9354" i="11"/>
  <c r="C9066" i="11"/>
  <c r="D9066" i="11"/>
  <c r="C7232" i="11"/>
  <c r="D7232" i="11"/>
  <c r="D9930" i="11"/>
  <c r="C9930" i="11"/>
  <c r="D9780" i="11"/>
  <c r="C9780" i="11"/>
  <c r="D9628" i="11"/>
  <c r="C9628" i="11"/>
  <c r="D9324" i="11"/>
  <c r="C9324" i="11"/>
  <c r="C9126" i="11"/>
  <c r="D9126" i="11"/>
  <c r="C8924" i="11"/>
  <c r="D8924" i="11"/>
  <c r="C8610" i="11"/>
  <c r="D8610" i="11"/>
  <c r="D8374" i="11"/>
  <c r="C8374" i="11"/>
  <c r="D6778" i="11"/>
  <c r="C6778" i="11"/>
  <c r="D530" i="11"/>
  <c r="C3530" i="11"/>
  <c r="D4114" i="11"/>
  <c r="D4226" i="11"/>
  <c r="D4434" i="11"/>
  <c r="D4685" i="11"/>
  <c r="D4973" i="11"/>
  <c r="D5400" i="11"/>
  <c r="D6997" i="11"/>
  <c r="C7594" i="11"/>
  <c r="C7422" i="11"/>
  <c r="C7822" i="11"/>
  <c r="D1060" i="11"/>
  <c r="D3345" i="11"/>
  <c r="C3164" i="11"/>
  <c r="C5768" i="11"/>
  <c r="D8758" i="11"/>
  <c r="C9044" i="11"/>
  <c r="D8802" i="11"/>
  <c r="C6586" i="11"/>
  <c r="C7008" i="11"/>
  <c r="C4395" i="11"/>
  <c r="C6842" i="11"/>
  <c r="D155" i="11"/>
  <c r="D456" i="11"/>
  <c r="D1147" i="11"/>
  <c r="D1253" i="11"/>
  <c r="D3746" i="11"/>
  <c r="C4002" i="11"/>
  <c r="D4370" i="11"/>
  <c r="C4482" i="11"/>
  <c r="D4605" i="11"/>
  <c r="D4733" i="11"/>
  <c r="D4909" i="11"/>
  <c r="D5005" i="11"/>
  <c r="D5165" i="11"/>
  <c r="C7410" i="11"/>
  <c r="C7682" i="11"/>
  <c r="C7962" i="11"/>
  <c r="C8090" i="11"/>
  <c r="D5228" i="11"/>
  <c r="C7446" i="11"/>
  <c r="C7678" i="11"/>
  <c r="C7926" i="11"/>
  <c r="C8198" i="11"/>
  <c r="D376" i="11"/>
  <c r="C1534" i="11"/>
  <c r="C1977" i="11"/>
  <c r="D1819" i="11"/>
  <c r="D1782" i="11"/>
  <c r="D3201" i="11"/>
  <c r="D3361" i="11"/>
  <c r="D3537" i="11"/>
  <c r="C3228" i="11"/>
  <c r="C4994" i="11"/>
  <c r="C4738" i="11"/>
  <c r="C1883" i="11"/>
  <c r="C5115" i="11"/>
  <c r="C8466" i="11"/>
  <c r="D8870" i="11"/>
  <c r="C9268" i="11"/>
  <c r="D9026" i="11"/>
  <c r="D5099" i="11"/>
  <c r="C1260" i="11"/>
  <c r="C2235" i="11"/>
  <c r="C9434" i="11"/>
  <c r="C8346" i="11"/>
  <c r="D2515" i="11"/>
  <c r="C9846" i="11"/>
  <c r="D6472" i="11"/>
  <c r="D6368" i="11"/>
  <c r="C4203" i="11"/>
  <c r="D4690" i="11"/>
  <c r="C5181" i="11"/>
  <c r="D5181" i="11"/>
  <c r="C5117" i="11"/>
  <c r="D5117" i="11"/>
  <c r="C5053" i="11"/>
  <c r="D5053" i="11"/>
  <c r="C4941" i="11"/>
  <c r="D4941" i="11"/>
  <c r="C4877" i="11"/>
  <c r="D4877" i="11"/>
  <c r="C4813" i="11"/>
  <c r="D4813" i="11"/>
  <c r="C4701" i="11"/>
  <c r="D4701" i="11"/>
  <c r="C4637" i="11"/>
  <c r="D4637" i="11"/>
  <c r="C4573" i="11"/>
  <c r="D4573" i="11"/>
  <c r="C4445" i="11"/>
  <c r="D4445" i="11"/>
  <c r="D4317" i="11"/>
  <c r="C4317" i="11"/>
  <c r="D4093" i="11"/>
  <c r="C4093" i="11"/>
  <c r="D3965" i="11"/>
  <c r="C3965" i="11"/>
  <c r="C3359" i="11"/>
  <c r="D3359" i="11"/>
  <c r="D3274" i="11"/>
  <c r="C3274" i="11"/>
  <c r="C3231" i="11"/>
  <c r="D3231" i="11"/>
  <c r="D3146" i="11"/>
  <c r="C3146" i="11"/>
  <c r="C2432" i="11"/>
  <c r="D2432" i="11"/>
  <c r="C2033" i="11"/>
  <c r="D2033" i="11"/>
  <c r="C4939" i="11"/>
  <c r="D4939" i="11"/>
  <c r="C4891" i="11"/>
  <c r="D4891" i="11"/>
  <c r="C4731" i="11"/>
  <c r="D4731" i="11"/>
  <c r="D4523" i="11"/>
  <c r="C4523" i="11"/>
  <c r="C4363" i="11"/>
  <c r="D4363" i="11"/>
  <c r="D4267" i="11"/>
  <c r="C4267" i="11"/>
  <c r="D4251" i="11"/>
  <c r="C4251" i="11"/>
  <c r="C3947" i="11"/>
  <c r="D3947" i="11"/>
  <c r="C3883" i="11"/>
  <c r="D3883" i="11"/>
  <c r="C3691" i="11"/>
  <c r="D3691" i="11"/>
  <c r="D3655" i="11"/>
  <c r="C3655" i="11"/>
  <c r="D3612" i="11"/>
  <c r="C3612" i="11"/>
  <c r="D3506" i="11"/>
  <c r="C3506" i="11"/>
  <c r="D3420" i="11"/>
  <c r="C3420" i="11"/>
  <c r="D3378" i="11"/>
  <c r="C3378" i="11"/>
  <c r="D3250" i="11"/>
  <c r="C3250" i="11"/>
  <c r="D3122" i="11"/>
  <c r="C3122" i="11"/>
  <c r="D3079" i="11"/>
  <c r="C3079" i="11"/>
  <c r="D2684" i="11"/>
  <c r="C2684" i="11"/>
  <c r="D2428" i="11"/>
  <c r="C2428" i="11"/>
  <c r="D2364" i="11"/>
  <c r="C2364" i="11"/>
  <c r="D2212" i="11"/>
  <c r="C2212" i="11"/>
  <c r="C2126" i="11"/>
  <c r="D2126" i="11"/>
  <c r="C1854" i="11"/>
  <c r="D1854" i="11"/>
  <c r="C3665" i="11"/>
  <c r="D3665" i="11"/>
  <c r="C3633" i="11"/>
  <c r="D3633" i="11"/>
  <c r="C3569" i="11"/>
  <c r="D3569" i="11"/>
  <c r="C3505" i="11"/>
  <c r="D3505" i="11"/>
  <c r="C3441" i="11"/>
  <c r="D3441" i="11"/>
  <c r="C3409" i="11"/>
  <c r="D3409" i="11"/>
  <c r="C3377" i="11"/>
  <c r="D3377" i="11"/>
  <c r="C3313" i="11"/>
  <c r="D3313" i="11"/>
  <c r="C3249" i="11"/>
  <c r="D3249" i="11"/>
  <c r="C3137" i="11"/>
  <c r="D3137" i="11"/>
  <c r="C3073" i="11"/>
  <c r="D3073" i="11"/>
  <c r="C2977" i="11"/>
  <c r="D2977" i="11"/>
  <c r="D2945" i="11"/>
  <c r="C2945" i="11"/>
  <c r="C2913" i="11"/>
  <c r="D2913" i="11"/>
  <c r="D2721" i="11"/>
  <c r="C2721" i="11"/>
  <c r="D2689" i="11"/>
  <c r="C2689" i="11"/>
  <c r="C2465" i="11"/>
  <c r="D2465" i="11"/>
  <c r="D2369" i="11"/>
  <c r="C2369" i="11"/>
  <c r="C2304" i="11"/>
  <c r="D2304" i="11"/>
  <c r="D2261" i="11"/>
  <c r="C2261" i="11"/>
  <c r="C2176" i="11"/>
  <c r="D2176" i="11"/>
  <c r="D2133" i="11"/>
  <c r="C2133" i="11"/>
  <c r="C1806" i="11"/>
  <c r="D1806" i="11"/>
  <c r="C1693" i="11"/>
  <c r="D1693" i="11"/>
  <c r="C1391" i="11"/>
  <c r="D1391" i="11"/>
  <c r="C1276" i="11"/>
  <c r="D1276" i="11"/>
  <c r="D576" i="11"/>
  <c r="C576" i="11"/>
  <c r="D2899" i="11"/>
  <c r="C2899" i="11"/>
  <c r="D2803" i="11"/>
  <c r="C2803" i="11"/>
  <c r="C2643" i="11"/>
  <c r="D2643" i="11"/>
  <c r="C2627" i="11"/>
  <c r="D2627" i="11"/>
  <c r="C2595" i="11"/>
  <c r="D2595" i="11"/>
  <c r="C2323" i="11"/>
  <c r="D2323" i="11"/>
  <c r="C2242" i="11"/>
  <c r="D2242" i="11"/>
  <c r="C1511" i="11"/>
  <c r="D1511" i="11"/>
  <c r="D1994" i="11"/>
  <c r="C1994" i="11"/>
  <c r="D1888" i="11"/>
  <c r="C1888" i="11"/>
  <c r="D1567" i="11"/>
  <c r="C1567" i="11"/>
  <c r="C2219" i="11"/>
  <c r="D2219" i="11"/>
  <c r="C2091" i="11"/>
  <c r="D2091" i="11"/>
  <c r="D1963" i="11"/>
  <c r="C1963" i="11"/>
  <c r="D1755" i="11"/>
  <c r="C1755" i="11"/>
  <c r="C1675" i="11"/>
  <c r="D1675" i="11"/>
  <c r="C1278" i="11"/>
  <c r="D1278" i="11"/>
  <c r="D1256" i="11"/>
  <c r="C1256" i="11"/>
  <c r="C1171" i="11"/>
  <c r="D1171" i="11"/>
  <c r="D1016" i="11"/>
  <c r="C1016" i="11"/>
  <c r="D1307" i="11"/>
  <c r="C1307" i="11"/>
  <c r="C1179" i="11"/>
  <c r="D1179" i="11"/>
  <c r="D1028" i="11"/>
  <c r="C1028" i="11"/>
  <c r="D964" i="11"/>
  <c r="C964" i="11"/>
  <c r="D868" i="11"/>
  <c r="C868" i="11"/>
  <c r="D587" i="11"/>
  <c r="C587" i="11"/>
  <c r="D1621" i="11"/>
  <c r="C1621" i="11"/>
  <c r="D1589" i="11"/>
  <c r="C1589" i="11"/>
  <c r="D1477" i="11"/>
  <c r="C1477" i="11"/>
  <c r="D1285" i="11"/>
  <c r="C1285" i="11"/>
  <c r="C1077" i="11"/>
  <c r="D1077" i="11"/>
  <c r="C933" i="11"/>
  <c r="D933" i="11"/>
  <c r="C917" i="11"/>
  <c r="D917" i="11"/>
  <c r="C885" i="11"/>
  <c r="D885" i="11"/>
  <c r="D588" i="11"/>
  <c r="C588" i="11"/>
  <c r="C390" i="11"/>
  <c r="D390" i="11"/>
  <c r="D627" i="11"/>
  <c r="C627" i="11"/>
  <c r="C400" i="11"/>
  <c r="D400" i="11"/>
  <c r="C687" i="11"/>
  <c r="D687" i="11"/>
  <c r="C781" i="11"/>
  <c r="D781" i="11"/>
  <c r="C525" i="11"/>
  <c r="D525" i="11"/>
  <c r="C445" i="11"/>
  <c r="D445" i="11"/>
  <c r="C6677" i="11"/>
  <c r="D6677" i="11"/>
  <c r="D7458" i="11"/>
  <c r="C7458" i="11"/>
  <c r="D7966" i="11"/>
  <c r="C7966" i="11"/>
  <c r="D8306" i="11"/>
  <c r="C8306" i="11"/>
  <c r="C9042" i="11"/>
  <c r="D9042" i="11"/>
  <c r="D9394" i="11"/>
  <c r="C9394" i="11"/>
  <c r="D9506" i="11"/>
  <c r="C9506" i="11"/>
  <c r="D9620" i="11"/>
  <c r="C9620" i="11"/>
  <c r="D9734" i="11"/>
  <c r="C9734" i="11"/>
  <c r="D9790" i="11"/>
  <c r="C9790" i="11"/>
  <c r="D9906" i="11"/>
  <c r="C9906" i="11"/>
  <c r="D9996" i="11"/>
  <c r="C9996" i="11"/>
  <c r="D9860" i="11"/>
  <c r="C9860" i="11"/>
  <c r="D9646" i="11"/>
  <c r="C9646" i="11"/>
  <c r="D9348" i="11"/>
  <c r="C9348" i="11"/>
  <c r="C9246" i="11"/>
  <c r="D9246" i="11"/>
  <c r="C9190" i="11"/>
  <c r="D9190" i="11"/>
  <c r="D9076" i="11"/>
  <c r="C9076" i="11"/>
  <c r="C8898" i="11"/>
  <c r="D8898" i="11"/>
  <c r="C8558" i="11"/>
  <c r="D8558" i="11"/>
  <c r="D8386" i="11"/>
  <c r="C8386" i="11"/>
  <c r="D8214" i="11"/>
  <c r="C8214" i="11"/>
  <c r="D8130" i="11"/>
  <c r="C8130" i="11"/>
  <c r="D7958" i="11"/>
  <c r="C7958" i="11"/>
  <c r="D7786" i="11"/>
  <c r="C7786" i="11"/>
  <c r="C8550" i="11"/>
  <c r="D8550" i="11"/>
  <c r="D8382" i="11"/>
  <c r="C8382" i="11"/>
  <c r="D8294" i="11"/>
  <c r="C8294" i="11"/>
  <c r="D8126" i="11"/>
  <c r="C8126" i="11"/>
  <c r="D7954" i="11"/>
  <c r="C7954" i="11"/>
  <c r="D7778" i="11"/>
  <c r="C7778" i="11"/>
  <c r="D7434" i="11"/>
  <c r="C7434" i="11"/>
  <c r="C6869" i="11"/>
  <c r="D6869" i="11"/>
  <c r="C9306" i="11"/>
  <c r="D9306" i="11"/>
  <c r="C9220" i="11"/>
  <c r="D9220" i="11"/>
  <c r="C8922" i="11"/>
  <c r="D8922" i="11"/>
  <c r="C8794" i="11"/>
  <c r="D8794" i="11"/>
  <c r="C8666" i="11"/>
  <c r="D8666" i="11"/>
  <c r="D8410" i="11"/>
  <c r="C8410" i="11"/>
  <c r="D8282" i="11"/>
  <c r="C8282" i="11"/>
  <c r="D8026" i="11"/>
  <c r="C8026" i="11"/>
  <c r="D7898" i="11"/>
  <c r="C7898" i="11"/>
  <c r="D7590" i="11"/>
  <c r="C7590" i="11"/>
  <c r="D7146" i="11"/>
  <c r="C7146" i="11"/>
  <c r="C6992" i="11"/>
  <c r="D6992" i="11"/>
  <c r="C6024" i="11"/>
  <c r="D6024" i="11"/>
  <c r="C5010" i="11"/>
  <c r="D5010" i="11"/>
  <c r="C3067" i="11"/>
  <c r="D3067" i="11"/>
  <c r="D7642" i="11"/>
  <c r="C7642" i="11"/>
  <c r="D7474" i="11"/>
  <c r="C7474" i="11"/>
  <c r="D7242" i="11"/>
  <c r="C7242" i="11"/>
  <c r="C6933" i="11"/>
  <c r="D6933" i="11"/>
  <c r="D6634" i="11"/>
  <c r="C6634" i="11"/>
  <c r="C5848" i="11"/>
  <c r="D5848" i="11"/>
  <c r="D7742" i="11"/>
  <c r="C7742" i="11"/>
  <c r="D7486" i="11"/>
  <c r="C7486" i="11"/>
  <c r="D7330" i="11"/>
  <c r="C7330" i="11"/>
  <c r="D7114" i="11"/>
  <c r="C7114" i="11"/>
  <c r="C6885" i="11"/>
  <c r="D6885" i="11"/>
  <c r="C6656" i="11"/>
  <c r="D6656" i="11"/>
  <c r="C6152" i="11"/>
  <c r="D6152" i="11"/>
  <c r="C5464" i="11"/>
  <c r="D5464" i="11"/>
  <c r="C5074" i="11"/>
  <c r="D5074" i="11"/>
  <c r="D7194" i="11"/>
  <c r="C7194" i="11"/>
  <c r="C7024" i="11"/>
  <c r="D7024" i="11"/>
  <c r="D6938" i="11"/>
  <c r="C6938" i="11"/>
  <c r="C6768" i="11"/>
  <c r="D6768" i="11"/>
  <c r="C6597" i="11"/>
  <c r="D6597" i="11"/>
  <c r="C6136" i="11"/>
  <c r="D6136" i="11"/>
  <c r="C5880" i="11"/>
  <c r="D5880" i="11"/>
  <c r="C5368" i="11"/>
  <c r="D5368" i="11"/>
  <c r="D3451" i="11"/>
  <c r="C3451" i="11"/>
  <c r="D3018" i="11"/>
  <c r="C3018" i="11"/>
  <c r="C6496" i="11"/>
  <c r="D6496" i="11"/>
  <c r="C6240" i="11"/>
  <c r="D6240" i="11"/>
  <c r="C5984" i="11"/>
  <c r="D5984" i="11"/>
  <c r="C5728" i="11"/>
  <c r="D5728" i="11"/>
  <c r="D3387" i="11"/>
  <c r="C3387" i="11"/>
  <c r="C6384" i="11"/>
  <c r="D6384" i="11"/>
  <c r="C6128" i="11"/>
  <c r="D6128" i="11"/>
  <c r="C6000" i="11"/>
  <c r="D6000" i="11"/>
  <c r="C5744" i="11"/>
  <c r="D5744" i="11"/>
  <c r="C5488" i="11"/>
  <c r="D5488" i="11"/>
  <c r="C4770" i="11"/>
  <c r="D4770" i="11"/>
  <c r="C8334" i="11"/>
  <c r="D8334" i="11"/>
  <c r="D9726" i="11"/>
  <c r="C9726" i="11"/>
  <c r="D9546" i="11"/>
  <c r="C9546" i="11"/>
  <c r="D9878" i="11"/>
  <c r="C9878" i="11"/>
  <c r="D9716" i="11"/>
  <c r="C9716" i="11"/>
  <c r="C9314" i="11"/>
  <c r="D9314" i="11"/>
  <c r="D9980" i="11"/>
  <c r="C9980" i="11"/>
  <c r="D9596" i="11"/>
  <c r="C9596" i="11"/>
  <c r="D9388" i="11"/>
  <c r="C9388" i="11"/>
  <c r="C8866" i="11"/>
  <c r="D8866" i="11"/>
  <c r="D9956" i="11"/>
  <c r="C9956" i="11"/>
  <c r="D9766" i="11"/>
  <c r="C9766" i="11"/>
  <c r="D9538" i="11"/>
  <c r="C9538" i="11"/>
  <c r="C9310" i="11"/>
  <c r="D9310" i="11"/>
  <c r="C8930" i="11"/>
  <c r="D8930" i="11"/>
  <c r="C6848" i="11"/>
  <c r="D6848" i="11"/>
  <c r="D9858" i="11"/>
  <c r="C9858" i="11"/>
  <c r="D9654" i="11"/>
  <c r="C9654" i="11"/>
  <c r="D9452" i="11"/>
  <c r="C9452" i="11"/>
  <c r="C8830" i="11"/>
  <c r="D8830" i="11"/>
  <c r="D8014" i="11"/>
  <c r="C8014" i="11"/>
  <c r="D9854" i="11"/>
  <c r="C9854" i="11"/>
  <c r="D9702" i="11"/>
  <c r="C9702" i="11"/>
  <c r="D9554" i="11"/>
  <c r="C9554" i="11"/>
  <c r="D9398" i="11"/>
  <c r="C9398" i="11"/>
  <c r="C9226" i="11"/>
  <c r="D9226" i="11"/>
  <c r="C8774" i="11"/>
  <c r="D8774" i="11"/>
  <c r="C9142" i="11"/>
  <c r="D9142" i="11"/>
  <c r="D8418" i="11"/>
  <c r="C8418" i="11"/>
  <c r="D1051" i="11"/>
  <c r="C1221" i="11"/>
  <c r="D1131" i="11"/>
  <c r="D1189" i="11"/>
  <c r="C3714" i="11"/>
  <c r="D3970" i="11"/>
  <c r="D4557" i="11"/>
  <c r="D4845" i="11"/>
  <c r="D5149" i="11"/>
  <c r="D3152" i="11"/>
  <c r="C7558" i="11"/>
  <c r="C8158" i="11"/>
  <c r="C751" i="11"/>
  <c r="D1798" i="11"/>
  <c r="D1491" i="11"/>
  <c r="D3169" i="11"/>
  <c r="D3521" i="11"/>
  <c r="D4779" i="11"/>
  <c r="D2218" i="11"/>
  <c r="C2634" i="11"/>
  <c r="D8654" i="11"/>
  <c r="D8956" i="11"/>
  <c r="C1880" i="11"/>
  <c r="D602" i="11"/>
  <c r="C9732" i="11"/>
  <c r="C4715" i="11"/>
  <c r="D3915" i="11"/>
  <c r="D875" i="11"/>
  <c r="C1320" i="11"/>
  <c r="C1427" i="11"/>
  <c r="D2332" i="11"/>
  <c r="C3314" i="11"/>
  <c r="C3570" i="11"/>
  <c r="C192" i="11"/>
  <c r="D923" i="11"/>
  <c r="D472" i="11"/>
  <c r="C1328" i="11"/>
  <c r="C2460" i="11"/>
  <c r="C3186" i="11"/>
  <c r="C3402" i="11"/>
  <c r="C3658" i="11"/>
  <c r="D4018" i="11"/>
  <c r="D4306" i="11"/>
  <c r="D4514" i="11"/>
  <c r="D4621" i="11"/>
  <c r="D4765" i="11"/>
  <c r="D4925" i="11"/>
  <c r="D5069" i="11"/>
  <c r="D5344" i="11"/>
  <c r="D7189" i="11"/>
  <c r="C7418" i="11"/>
  <c r="C7762" i="11"/>
  <c r="C7970" i="11"/>
  <c r="C8154" i="11"/>
  <c r="C7350" i="11"/>
  <c r="C8038" i="11"/>
  <c r="C2174" i="11"/>
  <c r="C347" i="11"/>
  <c r="C798" i="11"/>
  <c r="D2240" i="11"/>
  <c r="C3008" i="11"/>
  <c r="D3265" i="11"/>
  <c r="D3425" i="11"/>
  <c r="D3601" i="11"/>
  <c r="D1487" i="11"/>
  <c r="C2602" i="11"/>
  <c r="C3484" i="11"/>
  <c r="C4978" i="11"/>
  <c r="D1952" i="11"/>
  <c r="D5624" i="11"/>
  <c r="D8894" i="11"/>
  <c r="D9006" i="11"/>
  <c r="C9092" i="11"/>
  <c r="D9182" i="11"/>
  <c r="D8538" i="11"/>
  <c r="C1605" i="11"/>
  <c r="C9866" i="11"/>
  <c r="D5656" i="11"/>
  <c r="D808" i="11"/>
  <c r="C2467" i="11"/>
  <c r="C9988" i="11"/>
  <c r="C3931" i="11"/>
  <c r="C8502" i="11"/>
  <c r="D5207" i="11"/>
  <c r="C5852" i="11"/>
  <c r="D165" i="11"/>
  <c r="D1149" i="11"/>
  <c r="C2700" i="11"/>
  <c r="C1308" i="11"/>
  <c r="D5352" i="11"/>
  <c r="D5496" i="11"/>
  <c r="C5296" i="11"/>
  <c r="D7013" i="11"/>
  <c r="C7626" i="11"/>
  <c r="C7690" i="11"/>
  <c r="C3216" i="11"/>
  <c r="D3600" i="11"/>
  <c r="C3896" i="11"/>
  <c r="C7766" i="11"/>
  <c r="C7878" i="11"/>
  <c r="C8078" i="11"/>
  <c r="D3630" i="11"/>
  <c r="D4866" i="11"/>
  <c r="C8338" i="11"/>
  <c r="C9180" i="11"/>
  <c r="D9284" i="11"/>
  <c r="C4626" i="11"/>
  <c r="D5857" i="11"/>
  <c r="D9154" i="11"/>
  <c r="D9218" i="11"/>
  <c r="C9674" i="11"/>
  <c r="C9898" i="11"/>
  <c r="C9666" i="11"/>
  <c r="C9812" i="11"/>
  <c r="D3259" i="11"/>
  <c r="D5239" i="11"/>
  <c r="D6520" i="11"/>
  <c r="C8484" i="11"/>
  <c r="D536" i="11"/>
  <c r="C4632" i="11"/>
  <c r="C5112" i="11"/>
  <c r="D4725" i="11"/>
  <c r="C5200" i="11"/>
  <c r="C5408" i="11"/>
  <c r="C7546" i="11"/>
  <c r="C5028" i="11"/>
  <c r="D5521" i="11"/>
  <c r="D4722" i="11"/>
  <c r="D5552" i="11"/>
  <c r="D8890" i="11"/>
  <c r="C8342" i="11"/>
  <c r="C229" i="11"/>
  <c r="C1275" i="11"/>
  <c r="C2020" i="11"/>
  <c r="C2476" i="11"/>
  <c r="C3562" i="11"/>
  <c r="D4050" i="11"/>
  <c r="D4498" i="11"/>
  <c r="D5288" i="11"/>
  <c r="D5013" i="11"/>
  <c r="C5424" i="11"/>
  <c r="D6981" i="11"/>
  <c r="D7221" i="11"/>
  <c r="C7466" i="11"/>
  <c r="C8186" i="11"/>
  <c r="C8250" i="11"/>
  <c r="C3328" i="11"/>
  <c r="C3584" i="11"/>
  <c r="D3664" i="11"/>
  <c r="C4536" i="11"/>
  <c r="C4836" i="11"/>
  <c r="C7702" i="11"/>
  <c r="D1950" i="11"/>
  <c r="D1856" i="11"/>
  <c r="C4228" i="11"/>
  <c r="C6043" i="11"/>
  <c r="C4898" i="11"/>
  <c r="D8678" i="11"/>
  <c r="C8868" i="11"/>
  <c r="D9292" i="11"/>
  <c r="D2971" i="11"/>
  <c r="D8514" i="11"/>
  <c r="D8634" i="11"/>
  <c r="D8850" i="11"/>
  <c r="D8986" i="11"/>
  <c r="D5143" i="11"/>
  <c r="C9514" i="11"/>
  <c r="C9618" i="11"/>
  <c r="C9524" i="11"/>
  <c r="C9686" i="11"/>
  <c r="C6714" i="11"/>
  <c r="C9502" i="11"/>
  <c r="C9822" i="11"/>
  <c r="C6504" i="11"/>
  <c r="D747" i="11"/>
  <c r="D893" i="11"/>
  <c r="D1139" i="11"/>
  <c r="D1395" i="11"/>
  <c r="C3370" i="11"/>
  <c r="D4661" i="11"/>
  <c r="C5536" i="11"/>
  <c r="D6709" i="11"/>
  <c r="D7285" i="11"/>
  <c r="C7338" i="11"/>
  <c r="C7770" i="11"/>
  <c r="C7802" i="11"/>
  <c r="C8122" i="11"/>
  <c r="C4024" i="11"/>
  <c r="C1878" i="11"/>
  <c r="C2506" i="11"/>
  <c r="D8934" i="11"/>
  <c r="D9198" i="11"/>
  <c r="D5752" i="11"/>
  <c r="D8762" i="11"/>
  <c r="D9242" i="11"/>
  <c r="D5664" i="11"/>
  <c r="D5640" i="11"/>
  <c r="C8422" i="11"/>
  <c r="D5392" i="11"/>
  <c r="C7438" i="11"/>
  <c r="D4678" i="11"/>
  <c r="D8662" i="11"/>
  <c r="D8910" i="11"/>
  <c r="C1188" i="11"/>
  <c r="D1248" i="11"/>
  <c r="D1321" i="11"/>
  <c r="D1353" i="11"/>
  <c r="D3696" i="11"/>
  <c r="C4593" i="11"/>
  <c r="C5105" i="11"/>
  <c r="C7510" i="11"/>
  <c r="D2654" i="11"/>
  <c r="D4801" i="11"/>
  <c r="D3809" i="11"/>
  <c r="C4028" i="11"/>
  <c r="C5444" i="11"/>
  <c r="D5066" i="11"/>
  <c r="D1033" i="11"/>
  <c r="C2284" i="11"/>
  <c r="D3170" i="11"/>
  <c r="C4592" i="11"/>
  <c r="D7733" i="11"/>
  <c r="D3448" i="11"/>
  <c r="C3576" i="11"/>
  <c r="D4817" i="11"/>
  <c r="D3236" i="11"/>
  <c r="C457" i="11"/>
  <c r="C2439" i="11"/>
  <c r="C2567" i="11"/>
  <c r="C3205" i="11"/>
  <c r="C458" i="11"/>
  <c r="C2532" i="11"/>
  <c r="C5152" i="11"/>
  <c r="D5248" i="11"/>
  <c r="D5326" i="11"/>
  <c r="C7986" i="11"/>
  <c r="C3464" i="11"/>
  <c r="D4689" i="11"/>
  <c r="D4161" i="11"/>
  <c r="D7471" i="11"/>
  <c r="C6399" i="11"/>
  <c r="D6399" i="11"/>
  <c r="C4825" i="11"/>
  <c r="D4825" i="11"/>
  <c r="D7390" i="11"/>
  <c r="C7390" i="11"/>
  <c r="C6661" i="11"/>
  <c r="D6661" i="11"/>
  <c r="C5456" i="11"/>
  <c r="D5456" i="11"/>
  <c r="C7938" i="11"/>
  <c r="C8804" i="11"/>
  <c r="D8804" i="11"/>
  <c r="C3722" i="11"/>
  <c r="D3722" i="11"/>
  <c r="C3978" i="11"/>
  <c r="D3978" i="11"/>
  <c r="C7259" i="11"/>
  <c r="D7259" i="11"/>
  <c r="D4696" i="11"/>
  <c r="C4696" i="11"/>
  <c r="D4612" i="11"/>
  <c r="C4612" i="11"/>
  <c r="D3716" i="11"/>
  <c r="C3716" i="11"/>
  <c r="C2276" i="11"/>
  <c r="D2276" i="11"/>
  <c r="D2571" i="11"/>
  <c r="C2571" i="11"/>
  <c r="C821" i="11"/>
  <c r="D821" i="11"/>
  <c r="D2826" i="11"/>
  <c r="C2826" i="11"/>
  <c r="D6608" i="11"/>
  <c r="C6608" i="11"/>
  <c r="C8562" i="11"/>
  <c r="D8562" i="11"/>
  <c r="D9308" i="11"/>
  <c r="C9308" i="11"/>
  <c r="D9876" i="11"/>
  <c r="C9876" i="11"/>
  <c r="D8430" i="11"/>
  <c r="C8430" i="11"/>
  <c r="D8174" i="11"/>
  <c r="C8174" i="11"/>
  <c r="D8086" i="11"/>
  <c r="C8086" i="11"/>
  <c r="D7830" i="11"/>
  <c r="C7830" i="11"/>
  <c r="D7530" i="11"/>
  <c r="C7530" i="11"/>
  <c r="C3408" i="11"/>
  <c r="D3408" i="11"/>
  <c r="D7322" i="11"/>
  <c r="C7322" i="11"/>
  <c r="C8942" i="11"/>
  <c r="D8942" i="11"/>
  <c r="C7056" i="11"/>
  <c r="D7056" i="11"/>
  <c r="C5976" i="11"/>
  <c r="D5976" i="11"/>
  <c r="C7237" i="11"/>
  <c r="D7237" i="11"/>
  <c r="D6810" i="11"/>
  <c r="C6810" i="11"/>
  <c r="C6725" i="11"/>
  <c r="D6725" i="11"/>
  <c r="C6448" i="11"/>
  <c r="D6448" i="11"/>
  <c r="C5808" i="11"/>
  <c r="D5808" i="11"/>
  <c r="D8226" i="11"/>
  <c r="C8226" i="11"/>
  <c r="D9698" i="11"/>
  <c r="C9698" i="11"/>
  <c r="C9010" i="11"/>
  <c r="D9010" i="11"/>
  <c r="D9346" i="11"/>
  <c r="C9346" i="11"/>
  <c r="D9750" i="11"/>
  <c r="C9750" i="11"/>
  <c r="D8114" i="11"/>
  <c r="C8114" i="11"/>
  <c r="D9414" i="11"/>
  <c r="C9414" i="11"/>
  <c r="C8286" i="11"/>
  <c r="D8286" i="11"/>
  <c r="D9036" i="11"/>
  <c r="C9036" i="11"/>
  <c r="C8718" i="11"/>
  <c r="D8718" i="11"/>
  <c r="D8162" i="11"/>
  <c r="C8162" i="11"/>
  <c r="C9298" i="11"/>
  <c r="D9298" i="11"/>
  <c r="D9958" i="11"/>
  <c r="C9958" i="11"/>
  <c r="D9740" i="11"/>
  <c r="C9740" i="11"/>
  <c r="D9438" i="11"/>
  <c r="C9438" i="11"/>
  <c r="C9278" i="11"/>
  <c r="D9278" i="11"/>
  <c r="D8498" i="11"/>
  <c r="C8498" i="11"/>
  <c r="C9094" i="11"/>
  <c r="D9094" i="11"/>
  <c r="C8882" i="11"/>
  <c r="D8882" i="11"/>
  <c r="D7858" i="11"/>
  <c r="C7858" i="11"/>
  <c r="D4441" i="11"/>
  <c r="C4441" i="11"/>
  <c r="D9212" i="11"/>
  <c r="C9212" i="11"/>
  <c r="C5312" i="11"/>
  <c r="D5312" i="11"/>
  <c r="D903" i="11"/>
  <c r="D5384" i="11"/>
  <c r="C7562" i="11"/>
  <c r="D5563" i="11"/>
  <c r="C5563" i="11"/>
  <c r="D5499" i="11"/>
  <c r="C5499" i="11"/>
  <c r="D4600" i="11"/>
  <c r="C4600" i="11"/>
  <c r="D4248" i="11"/>
  <c r="C4248" i="11"/>
  <c r="C6561" i="11"/>
  <c r="D6561" i="11"/>
  <c r="D5060" i="11"/>
  <c r="C5060" i="11"/>
  <c r="D4740" i="11"/>
  <c r="C4740" i="11"/>
  <c r="C5109" i="11"/>
  <c r="D5109" i="11"/>
  <c r="C4917" i="11"/>
  <c r="D4917" i="11"/>
  <c r="C4693" i="11"/>
  <c r="D4693" i="11"/>
  <c r="C4565" i="11"/>
  <c r="D4565" i="11"/>
  <c r="D2512" i="11"/>
  <c r="C2512" i="11"/>
  <c r="C1591" i="11"/>
  <c r="D1591" i="11"/>
  <c r="C1476" i="11"/>
  <c r="D1476" i="11"/>
  <c r="D1710" i="11"/>
  <c r="C1710" i="11"/>
  <c r="C146" i="11"/>
  <c r="C1288" i="11"/>
  <c r="C1211" i="11"/>
  <c r="D1443" i="11"/>
  <c r="C2052" i="11"/>
  <c r="C4760" i="11"/>
  <c r="C4856" i="11"/>
  <c r="C5016" i="11"/>
  <c r="D4821" i="11"/>
  <c r="C3992" i="11"/>
  <c r="C4376" i="11"/>
  <c r="C4580" i="11"/>
  <c r="C5092" i="11"/>
  <c r="D5361" i="11"/>
  <c r="D1375" i="11"/>
  <c r="C2892" i="11"/>
  <c r="D5649" i="11"/>
  <c r="D6049" i="11"/>
  <c r="C5307" i="11"/>
  <c r="C5659" i="11"/>
  <c r="D2307" i="11"/>
  <c r="C4261" i="11"/>
  <c r="C4245" i="11"/>
  <c r="C2937" i="11"/>
  <c r="D85" i="11"/>
  <c r="D261" i="11"/>
  <c r="D1128" i="11"/>
  <c r="C1319" i="11"/>
  <c r="C1387" i="11"/>
  <c r="C1459" i="11"/>
  <c r="D2156" i="11"/>
  <c r="C2444" i="11"/>
  <c r="C3434" i="11"/>
  <c r="C3626" i="11"/>
  <c r="D3922" i="11"/>
  <c r="C4728" i="11"/>
  <c r="C4824" i="11"/>
  <c r="D5480" i="11"/>
  <c r="D4597" i="11"/>
  <c r="D4853" i="11"/>
  <c r="C3768" i="11"/>
  <c r="C4152" i="11"/>
  <c r="C4964" i="11"/>
  <c r="C7918" i="11"/>
  <c r="D2326" i="11"/>
  <c r="D238" i="11"/>
  <c r="D688" i="11"/>
  <c r="D3035" i="11"/>
  <c r="C3260" i="11"/>
  <c r="C4068" i="11"/>
  <c r="D8990" i="11"/>
  <c r="D9156" i="11"/>
  <c r="C9228" i="11"/>
  <c r="D9270" i="11"/>
  <c r="C2907" i="11"/>
  <c r="D8698" i="11"/>
  <c r="D8770" i="11"/>
  <c r="D9002" i="11"/>
  <c r="C762" i="11"/>
  <c r="D323" i="11"/>
  <c r="D6736" i="11"/>
  <c r="C9478" i="11"/>
  <c r="C9838" i="11"/>
  <c r="C3914" i="11"/>
  <c r="D4442" i="11"/>
  <c r="D6845" i="11"/>
  <c r="C7186" i="11"/>
  <c r="C440" i="11"/>
  <c r="D729" i="11"/>
  <c r="D1279" i="11"/>
  <c r="C2372" i="11"/>
  <c r="C3826" i="11"/>
  <c r="C5245" i="11"/>
  <c r="C5104" i="11"/>
  <c r="C4796" i="11"/>
  <c r="D5925" i="11"/>
  <c r="D8181" i="11"/>
  <c r="C3792" i="11"/>
  <c r="C4304" i="11"/>
  <c r="D5252" i="11"/>
  <c r="C4638" i="11"/>
  <c r="C5516" i="11"/>
  <c r="D1553" i="11"/>
  <c r="D3905" i="11"/>
  <c r="C2138" i="11"/>
  <c r="C1766" i="11"/>
  <c r="C2023" i="11"/>
  <c r="D8031" i="11"/>
  <c r="D9286" i="11"/>
  <c r="C2903" i="11"/>
  <c r="D8485" i="11"/>
  <c r="D2124" i="11"/>
  <c r="D3504" i="11"/>
  <c r="D3898" i="11"/>
  <c r="C8620" i="11"/>
  <c r="D5803" i="11"/>
  <c r="C5803" i="11"/>
  <c r="D5595" i="11"/>
  <c r="C5595" i="11"/>
  <c r="C3587" i="11"/>
  <c r="D3587" i="11"/>
  <c r="C3118" i="11"/>
  <c r="D3118" i="11"/>
  <c r="C5393" i="11"/>
  <c r="D5393" i="11"/>
  <c r="D4900" i="11"/>
  <c r="C4900" i="11"/>
  <c r="D4804" i="11"/>
  <c r="C4804" i="11"/>
  <c r="D4420" i="11"/>
  <c r="C4420" i="11"/>
  <c r="D4101" i="11"/>
  <c r="C4101" i="11"/>
  <c r="C3829" i="11"/>
  <c r="D3829" i="11"/>
  <c r="D2992" i="11"/>
  <c r="C2992" i="11"/>
  <c r="D4499" i="11"/>
  <c r="C4499" i="11"/>
  <c r="C4147" i="11"/>
  <c r="D4147" i="11"/>
  <c r="D3068" i="11"/>
  <c r="C3068" i="11"/>
  <c r="D1608" i="11"/>
  <c r="C1608" i="11"/>
  <c r="D603" i="11"/>
  <c r="C603" i="11"/>
  <c r="D837" i="11"/>
  <c r="C837" i="11"/>
  <c r="D9706" i="11"/>
  <c r="C9706" i="11"/>
  <c r="C9276" i="11"/>
  <c r="D9276" i="11"/>
  <c r="C8686" i="11"/>
  <c r="D8686" i="11"/>
  <c r="D7910" i="11"/>
  <c r="C7910" i="11"/>
  <c r="C6104" i="11"/>
  <c r="D6104" i="11"/>
  <c r="C9070" i="11"/>
  <c r="D9070" i="11"/>
  <c r="C8570" i="11"/>
  <c r="D8570" i="11"/>
  <c r="D7718" i="11"/>
  <c r="C7718" i="11"/>
  <c r="D7162" i="11"/>
  <c r="C7162" i="11"/>
  <c r="C6864" i="11"/>
  <c r="D6864" i="11"/>
  <c r="D3195" i="11"/>
  <c r="C3195" i="11"/>
  <c r="D6826" i="11"/>
  <c r="C6826" i="11"/>
  <c r="D7318" i="11"/>
  <c r="C7318" i="11"/>
  <c r="C6560" i="11"/>
  <c r="D6560" i="11"/>
  <c r="C6048" i="11"/>
  <c r="D6048" i="11"/>
  <c r="D5936" i="11"/>
  <c r="C5936" i="11"/>
  <c r="D4642" i="11"/>
  <c r="C4642" i="11"/>
  <c r="D2858" i="11"/>
  <c r="C2858" i="11"/>
  <c r="D9926" i="11"/>
  <c r="C9926" i="11"/>
  <c r="D8454" i="11"/>
  <c r="C8454" i="11"/>
  <c r="C9258" i="11"/>
  <c r="D9258" i="11"/>
  <c r="D9714" i="11"/>
  <c r="C9714" i="11"/>
  <c r="D7406" i="11"/>
  <c r="C7406" i="11"/>
  <c r="D9694" i="11"/>
  <c r="C9694" i="11"/>
  <c r="D9484" i="11"/>
  <c r="C9484" i="11"/>
  <c r="D9356" i="11"/>
  <c r="C9356" i="11"/>
  <c r="D9990" i="11"/>
  <c r="C9990" i="11"/>
  <c r="D9908" i="11"/>
  <c r="C9908" i="11"/>
  <c r="D9708" i="11"/>
  <c r="C9708" i="11"/>
  <c r="D9602" i="11"/>
  <c r="C9602" i="11"/>
  <c r="D9404" i="11"/>
  <c r="C9404" i="11"/>
  <c r="C8958" i="11"/>
  <c r="D8958" i="11"/>
  <c r="D9814" i="11"/>
  <c r="C9814" i="11"/>
  <c r="D9588" i="11"/>
  <c r="C9588" i="11"/>
  <c r="C8994" i="11"/>
  <c r="D8994" i="11"/>
  <c r="D8310" i="11"/>
  <c r="C8310" i="11"/>
  <c r="C9775" i="11"/>
  <c r="D9775" i="11"/>
  <c r="D7078" i="11"/>
  <c r="C7078" i="11"/>
  <c r="C3307" i="11"/>
  <c r="D3307" i="11"/>
  <c r="D5319" i="11"/>
  <c r="C5319" i="11"/>
  <c r="D3900" i="11"/>
  <c r="C3900" i="11"/>
  <c r="C2257" i="11"/>
  <c r="D2257" i="11"/>
  <c r="C4769" i="11"/>
  <c r="D4769" i="11"/>
  <c r="C4033" i="11"/>
  <c r="D4033" i="11"/>
  <c r="D4527" i="11"/>
  <c r="C4527" i="11"/>
  <c r="C2775" i="11"/>
  <c r="D2775" i="11"/>
  <c r="D1902" i="11"/>
  <c r="C1902" i="11"/>
  <c r="D2143" i="11"/>
  <c r="C2143" i="11"/>
  <c r="D1398" i="11"/>
  <c r="C1398" i="11"/>
  <c r="C1151" i="11"/>
  <c r="D1151" i="11"/>
  <c r="C436" i="11"/>
  <c r="D436" i="11"/>
  <c r="D785" i="11"/>
  <c r="C785" i="11"/>
  <c r="D258" i="11"/>
  <c r="C258" i="11"/>
  <c r="C546" i="11"/>
  <c r="C1160" i="11"/>
  <c r="D1101" i="11"/>
  <c r="D1236" i="11"/>
  <c r="D1347" i="11"/>
  <c r="D1291" i="11"/>
  <c r="C711" i="11"/>
  <c r="D1155" i="11"/>
  <c r="C1449" i="11"/>
  <c r="D1419" i="11"/>
  <c r="D1940" i="11"/>
  <c r="C2604" i="11"/>
  <c r="C3130" i="11"/>
  <c r="C3498" i="11"/>
  <c r="D4106" i="11"/>
  <c r="D4490" i="11"/>
  <c r="C4568" i="11"/>
  <c r="C4888" i="11"/>
  <c r="C4984" i="11"/>
  <c r="C5080" i="11"/>
  <c r="C5325" i="11"/>
  <c r="C5517" i="11"/>
  <c r="C4656" i="11"/>
  <c r="D4757" i="11"/>
  <c r="D4949" i="11"/>
  <c r="D5077" i="11"/>
  <c r="D5157" i="11"/>
  <c r="D5221" i="11"/>
  <c r="C4910" i="11"/>
  <c r="C5230" i="11"/>
  <c r="C7442" i="11"/>
  <c r="C7490" i="11"/>
  <c r="D7877" i="11"/>
  <c r="D8117" i="11"/>
  <c r="C3360" i="11"/>
  <c r="C3560" i="11"/>
  <c r="D3888" i="11"/>
  <c r="D4144" i="11"/>
  <c r="C4280" i="11"/>
  <c r="C4408" i="11"/>
  <c r="C4548" i="11"/>
  <c r="C4772" i="11"/>
  <c r="C4868" i="11"/>
  <c r="C5547" i="11"/>
  <c r="C5611" i="11"/>
  <c r="D7005" i="11"/>
  <c r="D1966" i="11"/>
  <c r="C2190" i="11"/>
  <c r="D2414" i="11"/>
  <c r="C2104" i="11"/>
  <c r="D3681" i="11"/>
  <c r="D4257" i="11"/>
  <c r="D7129" i="11"/>
  <c r="D931" i="11"/>
  <c r="D3532" i="11"/>
  <c r="C3812" i="11"/>
  <c r="C4497" i="11"/>
  <c r="D5735" i="11"/>
  <c r="C2647" i="11"/>
  <c r="C1453" i="11"/>
  <c r="D8900" i="11"/>
  <c r="D8926" i="11"/>
  <c r="D9260" i="11"/>
  <c r="D6454" i="11"/>
  <c r="D8818" i="11"/>
  <c r="C8254" i="11"/>
  <c r="D2377" i="11"/>
  <c r="C9498" i="11"/>
  <c r="C3781" i="11"/>
  <c r="D2576" i="11"/>
  <c r="C2855" i="11"/>
  <c r="D3987" i="11"/>
  <c r="C5675" i="11"/>
  <c r="D3955" i="11"/>
  <c r="D6720" i="11"/>
  <c r="C3051" i="11"/>
  <c r="D7568" i="11"/>
  <c r="D7536" i="11"/>
  <c r="C5244" i="11"/>
  <c r="C118" i="11"/>
  <c r="C969" i="11"/>
  <c r="D1047" i="11"/>
  <c r="D2436" i="11"/>
  <c r="C2500" i="11"/>
  <c r="C2644" i="11"/>
  <c r="C3258" i="11"/>
  <c r="D3330" i="11"/>
  <c r="C3386" i="11"/>
  <c r="C3514" i="11"/>
  <c r="C3642" i="11"/>
  <c r="C3938" i="11"/>
  <c r="C3986" i="11"/>
  <c r="D4210" i="11"/>
  <c r="D4466" i="11"/>
  <c r="C5309" i="11"/>
  <c r="C5405" i="11"/>
  <c r="C5501" i="11"/>
  <c r="C4848" i="11"/>
  <c r="D5520" i="11"/>
  <c r="D4764" i="11"/>
  <c r="D4924" i="11"/>
  <c r="D5116" i="11"/>
  <c r="D6821" i="11"/>
  <c r="D6917" i="11"/>
  <c r="D7173" i="11"/>
  <c r="D7365" i="11"/>
  <c r="C7610" i="11"/>
  <c r="D7669" i="11"/>
  <c r="D7813" i="11"/>
  <c r="C8066" i="11"/>
  <c r="D3256" i="11"/>
  <c r="D3856" i="11"/>
  <c r="C4096" i="11"/>
  <c r="C4721" i="11"/>
  <c r="C4977" i="11"/>
  <c r="C5169" i="11"/>
  <c r="D4702" i="11"/>
  <c r="C5196" i="11"/>
  <c r="D6237" i="11"/>
  <c r="C8150" i="11"/>
  <c r="C2070" i="11"/>
  <c r="C3254" i="11"/>
  <c r="C2185" i="11"/>
  <c r="D3745" i="11"/>
  <c r="D4001" i="11"/>
  <c r="D4193" i="11"/>
  <c r="D6585" i="11"/>
  <c r="C3492" i="11"/>
  <c r="D3676" i="11"/>
  <c r="C3964" i="11"/>
  <c r="D4316" i="11"/>
  <c r="C4369" i="11"/>
  <c r="D5789" i="11"/>
  <c r="D6562" i="11"/>
  <c r="C2408" i="11"/>
  <c r="D830" i="11"/>
  <c r="D1270" i="11"/>
  <c r="D2978" i="11"/>
  <c r="D4463" i="11"/>
  <c r="D7759" i="11"/>
  <c r="D7663" i="11"/>
  <c r="C8370" i="11"/>
  <c r="D9148" i="11"/>
  <c r="C2917" i="11"/>
  <c r="C9000" i="11"/>
  <c r="C9032" i="11"/>
  <c r="C1872" i="11"/>
  <c r="C1919" i="11"/>
  <c r="C3333" i="11"/>
  <c r="D3887" i="11"/>
  <c r="C4479" i="11"/>
  <c r="C9652" i="11"/>
  <c r="D105" i="11"/>
  <c r="C178" i="11"/>
  <c r="D162" i="11"/>
  <c r="D761" i="11"/>
  <c r="C1280" i="11"/>
  <c r="D871" i="11"/>
  <c r="D1425" i="11"/>
  <c r="C2300" i="11"/>
  <c r="C2404" i="11"/>
  <c r="C2692" i="11"/>
  <c r="C3226" i="11"/>
  <c r="D3426" i="11"/>
  <c r="D3554" i="11"/>
  <c r="C3682" i="11"/>
  <c r="D3810" i="11"/>
  <c r="C5160" i="11"/>
  <c r="C5357" i="11"/>
  <c r="C5437" i="11"/>
  <c r="C4784" i="11"/>
  <c r="C4912" i="11"/>
  <c r="D5264" i="11"/>
  <c r="D5376" i="11"/>
  <c r="D5440" i="11"/>
  <c r="C4572" i="11"/>
  <c r="C4860" i="11"/>
  <c r="C5020" i="11"/>
  <c r="D5390" i="11"/>
  <c r="D6085" i="11"/>
  <c r="D6949" i="11"/>
  <c r="D7045" i="11"/>
  <c r="D7141" i="11"/>
  <c r="D7205" i="11"/>
  <c r="C7586" i="11"/>
  <c r="C8042" i="11"/>
  <c r="D8149" i="11"/>
  <c r="D8229" i="11"/>
  <c r="D3336" i="11"/>
  <c r="D3424" i="11"/>
  <c r="C4128" i="11"/>
  <c r="D4368" i="11"/>
  <c r="D4464" i="11"/>
  <c r="D4945" i="11"/>
  <c r="C5124" i="11"/>
  <c r="D5086" i="11"/>
  <c r="D5981" i="11"/>
  <c r="C7342" i="11"/>
  <c r="C7902" i="11"/>
  <c r="C2630" i="11"/>
  <c r="D4705" i="11"/>
  <c r="C1702" i="11"/>
  <c r="C2064" i="11"/>
  <c r="D4126" i="11"/>
  <c r="C2615" i="11"/>
  <c r="D3023" i="11"/>
  <c r="D3873" i="11"/>
  <c r="D4065" i="11"/>
  <c r="D4321" i="11"/>
  <c r="C4850" i="11"/>
  <c r="D3015" i="11"/>
  <c r="D3045" i="11"/>
  <c r="D3468" i="11"/>
  <c r="D4540" i="11"/>
  <c r="D5698" i="11"/>
  <c r="C4930" i="11"/>
  <c r="C5646" i="11"/>
  <c r="D6050" i="11"/>
  <c r="D1786" i="11"/>
  <c r="D550" i="11"/>
  <c r="C1586" i="11"/>
  <c r="D6706" i="11"/>
  <c r="C3077" i="11"/>
  <c r="D4079" i="11"/>
  <c r="D1177" i="11"/>
  <c r="C3754" i="11"/>
  <c r="C5500" i="11"/>
  <c r="D6749" i="11"/>
  <c r="C8168" i="11"/>
  <c r="D3882" i="11"/>
  <c r="C5308" i="11"/>
  <c r="C5436" i="11"/>
  <c r="D5518" i="11"/>
  <c r="D7333" i="11"/>
  <c r="D7653" i="11"/>
  <c r="D7685" i="11"/>
  <c r="D7749" i="11"/>
  <c r="D8133" i="11"/>
  <c r="D8165" i="11"/>
  <c r="D8213" i="11"/>
  <c r="C4958" i="11"/>
  <c r="D3678" i="11"/>
  <c r="D4446" i="11"/>
  <c r="D6745" i="11"/>
  <c r="D9797" i="11"/>
  <c r="D8356" i="11"/>
  <c r="C8356" i="11"/>
  <c r="C8772" i="11"/>
  <c r="D8772" i="11"/>
  <c r="D6500" i="11"/>
  <c r="C6500" i="11"/>
  <c r="D8928" i="11"/>
  <c r="C8928" i="11"/>
  <c r="C9689" i="11"/>
  <c r="D9689" i="11"/>
  <c r="D6987" i="11"/>
  <c r="C6987" i="11"/>
  <c r="C2390" i="11"/>
  <c r="D2390" i="11"/>
  <c r="D2246" i="11"/>
  <c r="C2246" i="11"/>
  <c r="C6177" i="11"/>
  <c r="D6177" i="11"/>
  <c r="D4324" i="11"/>
  <c r="C4324" i="11"/>
  <c r="D3972" i="11"/>
  <c r="C3972" i="11"/>
  <c r="C2734" i="11"/>
  <c r="D2734" i="11"/>
  <c r="C2800" i="11"/>
  <c r="D2800" i="11"/>
  <c r="C5059" i="11"/>
  <c r="D5059" i="11"/>
  <c r="C4915" i="11"/>
  <c r="D4915" i="11"/>
  <c r="C4883" i="11"/>
  <c r="D4883" i="11"/>
  <c r="C4851" i="11"/>
  <c r="D4851" i="11"/>
  <c r="C3779" i="11"/>
  <c r="D3779" i="11"/>
  <c r="D3516" i="11"/>
  <c r="C3516" i="11"/>
  <c r="C3175" i="11"/>
  <c r="D3175" i="11"/>
  <c r="D3020" i="11"/>
  <c r="C3020" i="11"/>
  <c r="C2988" i="11"/>
  <c r="D2988" i="11"/>
  <c r="D2924" i="11"/>
  <c r="C2924" i="11"/>
  <c r="D3033" i="11"/>
  <c r="C3033" i="11"/>
  <c r="C2969" i="11"/>
  <c r="D2969" i="11"/>
  <c r="C2048" i="11"/>
  <c r="D2048" i="11"/>
  <c r="D1813" i="11"/>
  <c r="C1813" i="11"/>
  <c r="C1770" i="11"/>
  <c r="D1770" i="11"/>
  <c r="D1631" i="11"/>
  <c r="C1631" i="11"/>
  <c r="D2003" i="11"/>
  <c r="C2003" i="11"/>
  <c r="C916" i="11"/>
  <c r="D916" i="11"/>
  <c r="C672" i="11"/>
  <c r="D672" i="11"/>
  <c r="C1325" i="11"/>
  <c r="D1325" i="11"/>
  <c r="C1011" i="11"/>
  <c r="D1011" i="11"/>
  <c r="D584" i="11"/>
  <c r="C584" i="11"/>
  <c r="D8588" i="11"/>
  <c r="C8588" i="11"/>
  <c r="C9013" i="11"/>
  <c r="D9013" i="11"/>
  <c r="D5550" i="11"/>
  <c r="C5550" i="11"/>
  <c r="C3998" i="11"/>
  <c r="D3998" i="11"/>
  <c r="C9823" i="11"/>
  <c r="D9823" i="11"/>
  <c r="D7871" i="11"/>
  <c r="C7871" i="11"/>
  <c r="D7391" i="11"/>
  <c r="C7391" i="11"/>
  <c r="C6178" i="11"/>
  <c r="D6178" i="11"/>
  <c r="D5890" i="11"/>
  <c r="C5890" i="11"/>
  <c r="D5538" i="11"/>
  <c r="C5538" i="11"/>
  <c r="C4742" i="11"/>
  <c r="D4742" i="11"/>
  <c r="D2566" i="11"/>
  <c r="C2566" i="11"/>
  <c r="D1522" i="11"/>
  <c r="C1522" i="11"/>
  <c r="C4188" i="11"/>
  <c r="D4188" i="11"/>
  <c r="C3804" i="11"/>
  <c r="D3804" i="11"/>
  <c r="D3294" i="11"/>
  <c r="C3294" i="11"/>
  <c r="D2334" i="11"/>
  <c r="C2334" i="11"/>
  <c r="C5217" i="11"/>
  <c r="D5217" i="11"/>
  <c r="D4865" i="11"/>
  <c r="C4865" i="11"/>
  <c r="C4353" i="11"/>
  <c r="D4353" i="11"/>
  <c r="C4225" i="11"/>
  <c r="D4225" i="11"/>
  <c r="C4097" i="11"/>
  <c r="D4097" i="11"/>
  <c r="C3969" i="11"/>
  <c r="D3969" i="11"/>
  <c r="C3841" i="11"/>
  <c r="D3841" i="11"/>
  <c r="C3713" i="11"/>
  <c r="D3713" i="11"/>
  <c r="C1990" i="11"/>
  <c r="D1990" i="11"/>
  <c r="D1705" i="11"/>
  <c r="C1705" i="11"/>
  <c r="D1415" i="11"/>
  <c r="C1415" i="11"/>
  <c r="D4367" i="11"/>
  <c r="C4367" i="11"/>
  <c r="D4111" i="11"/>
  <c r="C4111" i="11"/>
  <c r="D3919" i="11"/>
  <c r="C3919" i="11"/>
  <c r="D3276" i="11"/>
  <c r="C3276" i="11"/>
  <c r="D3212" i="11"/>
  <c r="C3212" i="11"/>
  <c r="D3461" i="11"/>
  <c r="C3461" i="11"/>
  <c r="C2901" i="11"/>
  <c r="D2901" i="11"/>
  <c r="D1700" i="11"/>
  <c r="C1700" i="11"/>
  <c r="D2487" i="11"/>
  <c r="C2487" i="11"/>
  <c r="D1620" i="11"/>
  <c r="C1620" i="11"/>
  <c r="D1743" i="11"/>
  <c r="C1743" i="11"/>
  <c r="C636" i="11"/>
  <c r="D636" i="11"/>
  <c r="D1312" i="11"/>
  <c r="C1312" i="11"/>
  <c r="C435" i="11"/>
  <c r="D435" i="11"/>
  <c r="C817" i="11"/>
  <c r="D817" i="11"/>
  <c r="D8262" i="11"/>
  <c r="C8262" i="11"/>
  <c r="D2145" i="11"/>
  <c r="C2145" i="11"/>
  <c r="D7366" i="11"/>
  <c r="C7366" i="11"/>
  <c r="C2890" i="11"/>
  <c r="D2890" i="11"/>
  <c r="D2730" i="11"/>
  <c r="C2730" i="11"/>
  <c r="C1152" i="11"/>
  <c r="D1267" i="11"/>
  <c r="C873" i="11"/>
  <c r="D1401" i="11"/>
  <c r="C1972" i="11"/>
  <c r="D2148" i="11"/>
  <c r="D2412" i="11"/>
  <c r="C2540" i="11"/>
  <c r="C2668" i="11"/>
  <c r="C3178" i="11"/>
  <c r="C3242" i="11"/>
  <c r="D3298" i="11"/>
  <c r="C3778" i="11"/>
  <c r="D4154" i="11"/>
  <c r="C4282" i="11"/>
  <c r="C4664" i="11"/>
  <c r="C4792" i="11"/>
  <c r="C4920" i="11"/>
  <c r="C5048" i="11"/>
  <c r="C5293" i="11"/>
  <c r="C5453" i="11"/>
  <c r="C5533" i="11"/>
  <c r="D4629" i="11"/>
  <c r="C4720" i="11"/>
  <c r="D4789" i="11"/>
  <c r="D4885" i="11"/>
  <c r="C4976" i="11"/>
  <c r="D5045" i="11"/>
  <c r="C5136" i="11"/>
  <c r="D5173" i="11"/>
  <c r="D5237" i="11"/>
  <c r="D5504" i="11"/>
  <c r="C4604" i="11"/>
  <c r="C4828" i="11"/>
  <c r="C5166" i="11"/>
  <c r="D5262" i="11"/>
  <c r="C5372" i="11"/>
  <c r="D6757" i="11"/>
  <c r="D7261" i="11"/>
  <c r="D7413" i="11"/>
  <c r="C7850" i="11"/>
  <c r="D7893" i="11"/>
  <c r="D8085" i="11"/>
  <c r="C3320" i="11"/>
  <c r="C3544" i="11"/>
  <c r="D3592" i="11"/>
  <c r="C3736" i="11"/>
  <c r="C3864" i="11"/>
  <c r="D3952" i="11"/>
  <c r="C4048" i="11"/>
  <c r="C4120" i="11"/>
  <c r="D4208" i="11"/>
  <c r="D4400" i="11"/>
  <c r="C4504" i="11"/>
  <c r="D4561" i="11"/>
  <c r="C4644" i="11"/>
  <c r="C4708" i="11"/>
  <c r="C4849" i="11"/>
  <c r="C4932" i="11"/>
  <c r="C4996" i="11"/>
  <c r="D5073" i="11"/>
  <c r="D5265" i="11"/>
  <c r="D5489" i="11"/>
  <c r="D4766" i="11"/>
  <c r="C5579" i="11"/>
  <c r="D5853" i="11"/>
  <c r="D7257" i="11"/>
  <c r="C2022" i="11"/>
  <c r="C2142" i="11"/>
  <c r="D2438" i="11"/>
  <c r="D9839" i="11"/>
  <c r="D340" i="11"/>
  <c r="C848" i="11"/>
  <c r="D720" i="11"/>
  <c r="C2764" i="11"/>
  <c r="D3478" i="11"/>
  <c r="C1322" i="11"/>
  <c r="C3550" i="11"/>
  <c r="D1685" i="11"/>
  <c r="D2359" i="11"/>
  <c r="D3777" i="11"/>
  <c r="D3937" i="11"/>
  <c r="D4129" i="11"/>
  <c r="D4289" i="11"/>
  <c r="C5693" i="11"/>
  <c r="C7359" i="11"/>
  <c r="C2005" i="11"/>
  <c r="D3300" i="11"/>
  <c r="C3556" i="11"/>
  <c r="C3748" i="11"/>
  <c r="C4004" i="11"/>
  <c r="C4260" i="11"/>
  <c r="D2930" i="11"/>
  <c r="D5023" i="11"/>
  <c r="C6018" i="11"/>
  <c r="D6434" i="11"/>
  <c r="D1978" i="11"/>
  <c r="C2850" i="11"/>
  <c r="D1374" i="11"/>
  <c r="D2698" i="11"/>
  <c r="C6822" i="11"/>
  <c r="D7887" i="11"/>
  <c r="C8676" i="11"/>
  <c r="D8708" i="11"/>
  <c r="D8734" i="11"/>
  <c r="D8806" i="11"/>
  <c r="D8918" i="11"/>
  <c r="C8932" i="11"/>
  <c r="D6369" i="11"/>
  <c r="C5910" i="11"/>
  <c r="C8239" i="11"/>
  <c r="C8318" i="11"/>
  <c r="C906" i="11"/>
  <c r="C3589" i="11"/>
  <c r="C7584" i="11"/>
  <c r="D3823" i="11"/>
  <c r="C3983" i="11"/>
  <c r="C5479" i="11"/>
  <c r="C3909" i="11"/>
  <c r="C9986" i="11"/>
  <c r="C1293" i="11"/>
  <c r="C2395" i="11"/>
  <c r="C1110" i="11"/>
  <c r="C268" i="11"/>
  <c r="D3455" i="11"/>
  <c r="D3343" i="11"/>
  <c r="D5255" i="11"/>
  <c r="D2458" i="11"/>
  <c r="C2458" i="11"/>
  <c r="D2970" i="11"/>
  <c r="C2970" i="11"/>
  <c r="D3334" i="11"/>
  <c r="C3334" i="11"/>
  <c r="C3930" i="11"/>
  <c r="D3930" i="11"/>
  <c r="C4186" i="11"/>
  <c r="D4186" i="11"/>
  <c r="C4314" i="11"/>
  <c r="D4314" i="11"/>
  <c r="D5260" i="11"/>
  <c r="C5260" i="11"/>
  <c r="C7277" i="11"/>
  <c r="D7277" i="11"/>
  <c r="C7348" i="11"/>
  <c r="D7348" i="11"/>
  <c r="C8180" i="11"/>
  <c r="D8180" i="11"/>
  <c r="C8564" i="11"/>
  <c r="D8564" i="11"/>
  <c r="D8788" i="11"/>
  <c r="C8788" i="11"/>
  <c r="C8884" i="11"/>
  <c r="D8884" i="11"/>
  <c r="C2682" i="11"/>
  <c r="D2682" i="11"/>
  <c r="C3312" i="11"/>
  <c r="D3312" i="11"/>
  <c r="D4298" i="11"/>
  <c r="C4298" i="11"/>
  <c r="C4810" i="11"/>
  <c r="D4810" i="11"/>
  <c r="D5170" i="11"/>
  <c r="C5170" i="11"/>
  <c r="C5380" i="11"/>
  <c r="D5380" i="11"/>
  <c r="D5572" i="11"/>
  <c r="C5572" i="11"/>
  <c r="C6276" i="11"/>
  <c r="D6276" i="11"/>
  <c r="C6717" i="11"/>
  <c r="D6717" i="11"/>
  <c r="C6973" i="11"/>
  <c r="D6973" i="11"/>
  <c r="C7101" i="11"/>
  <c r="D7101" i="11"/>
  <c r="C7229" i="11"/>
  <c r="D7229" i="11"/>
  <c r="D7504" i="11"/>
  <c r="C7504" i="11"/>
  <c r="C7600" i="11"/>
  <c r="D7600" i="11"/>
  <c r="D7696" i="11"/>
  <c r="C7696" i="11"/>
  <c r="C7920" i="11"/>
  <c r="D7920" i="11"/>
  <c r="C8048" i="11"/>
  <c r="D8048" i="11"/>
  <c r="D8144" i="11"/>
  <c r="C8144" i="11"/>
  <c r="C8240" i="11"/>
  <c r="D8240" i="11"/>
  <c r="D8336" i="11"/>
  <c r="C8336" i="11"/>
  <c r="D8432" i="11"/>
  <c r="C8432" i="11"/>
  <c r="C8528" i="11"/>
  <c r="D8528" i="11"/>
  <c r="D8624" i="11"/>
  <c r="C8624" i="11"/>
  <c r="D8720" i="11"/>
  <c r="C8720" i="11"/>
  <c r="C8848" i="11"/>
  <c r="D8848" i="11"/>
  <c r="D8944" i="11"/>
  <c r="C8944" i="11"/>
  <c r="C9040" i="11"/>
  <c r="D9040" i="11"/>
  <c r="D9136" i="11"/>
  <c r="C9136" i="11"/>
  <c r="D9232" i="11"/>
  <c r="C9232" i="11"/>
  <c r="D9328" i="11"/>
  <c r="C9328" i="11"/>
  <c r="D9424" i="11"/>
  <c r="C9424" i="11"/>
  <c r="D9520" i="11"/>
  <c r="C9520" i="11"/>
  <c r="D9616" i="11"/>
  <c r="C9616" i="11"/>
  <c r="D9712" i="11"/>
  <c r="C9712" i="11"/>
  <c r="D9808" i="11"/>
  <c r="C9808" i="11"/>
  <c r="D9904" i="11"/>
  <c r="C9904" i="11"/>
  <c r="C8353" i="11"/>
  <c r="D8353" i="11"/>
  <c r="C8289" i="11"/>
  <c r="D8289" i="11"/>
  <c r="D4426" i="11"/>
  <c r="D8852" i="11"/>
  <c r="D5764" i="11"/>
  <c r="D6468" i="11"/>
  <c r="D7408" i="11"/>
  <c r="C6084" i="11"/>
  <c r="C6148" i="11"/>
  <c r="D2714" i="11"/>
  <c r="C2714" i="11"/>
  <c r="C3802" i="11"/>
  <c r="D3802" i="11"/>
  <c r="C4058" i="11"/>
  <c r="D4058" i="11"/>
  <c r="C4826" i="11"/>
  <c r="D4826" i="11"/>
  <c r="D5180" i="11"/>
  <c r="C5180" i="11"/>
  <c r="D5324" i="11"/>
  <c r="C5324" i="11"/>
  <c r="D5772" i="11"/>
  <c r="C5772" i="11"/>
  <c r="C7604" i="11"/>
  <c r="D7604" i="11"/>
  <c r="D8532" i="11"/>
  <c r="C8532" i="11"/>
  <c r="C8628" i="11"/>
  <c r="D8628" i="11"/>
  <c r="C8820" i="11"/>
  <c r="D8820" i="11"/>
  <c r="C8916" i="11"/>
  <c r="D8916" i="11"/>
  <c r="C2426" i="11"/>
  <c r="D2426" i="11"/>
  <c r="D3142" i="11"/>
  <c r="C3142" i="11"/>
  <c r="C3654" i="11"/>
  <c r="D3654" i="11"/>
  <c r="C4682" i="11"/>
  <c r="D4682" i="11"/>
  <c r="D5316" i="11"/>
  <c r="C5316" i="11"/>
  <c r="C5508" i="11"/>
  <c r="D5508" i="11"/>
  <c r="C5636" i="11"/>
  <c r="D5636" i="11"/>
  <c r="D5828" i="11"/>
  <c r="C5828" i="11"/>
  <c r="D5956" i="11"/>
  <c r="C5956" i="11"/>
  <c r="C6340" i="11"/>
  <c r="D6340" i="11"/>
  <c r="D6532" i="11"/>
  <c r="C6532" i="11"/>
  <c r="D6632" i="11"/>
  <c r="C6632" i="11"/>
  <c r="D6930" i="11"/>
  <c r="C6930" i="11"/>
  <c r="C7058" i="11"/>
  <c r="D7058" i="11"/>
  <c r="C7144" i="11"/>
  <c r="D7144" i="11"/>
  <c r="D7272" i="11"/>
  <c r="C7272" i="11"/>
  <c r="C7344" i="11"/>
  <c r="D7344" i="11"/>
  <c r="D7440" i="11"/>
  <c r="C7440" i="11"/>
  <c r="C7632" i="11"/>
  <c r="D7632" i="11"/>
  <c r="C7824" i="11"/>
  <c r="D7824" i="11"/>
  <c r="C7888" i="11"/>
  <c r="D7888" i="11"/>
  <c r="C7984" i="11"/>
  <c r="D7984" i="11"/>
  <c r="C8208" i="11"/>
  <c r="D8208" i="11"/>
  <c r="D8304" i="11"/>
  <c r="C8304" i="11"/>
  <c r="D8400" i="11"/>
  <c r="C8400" i="11"/>
  <c r="D8496" i="11"/>
  <c r="C8496" i="11"/>
  <c r="D8592" i="11"/>
  <c r="C8592" i="11"/>
  <c r="C8688" i="11"/>
  <c r="D8688" i="11"/>
  <c r="D8912" i="11"/>
  <c r="C8912" i="11"/>
  <c r="D8976" i="11"/>
  <c r="C8976" i="11"/>
  <c r="D9072" i="11"/>
  <c r="C9072" i="11"/>
  <c r="C9168" i="11"/>
  <c r="D9168" i="11"/>
  <c r="D9392" i="11"/>
  <c r="C9392" i="11"/>
  <c r="D9488" i="11"/>
  <c r="C9488" i="11"/>
  <c r="D9584" i="11"/>
  <c r="C9584" i="11"/>
  <c r="D9680" i="11"/>
  <c r="C9680" i="11"/>
  <c r="D9776" i="11"/>
  <c r="C9776" i="11"/>
  <c r="D9872" i="11"/>
  <c r="C9872" i="11"/>
  <c r="D9968" i="11"/>
  <c r="C9968" i="11"/>
  <c r="C8481" i="11"/>
  <c r="D8481" i="11"/>
  <c r="D3674" i="11"/>
  <c r="D4042" i="11"/>
  <c r="C6802" i="11"/>
  <c r="C8112" i="11"/>
  <c r="C8816" i="11"/>
  <c r="C9936" i="11"/>
  <c r="D5388" i="11"/>
  <c r="C5388" i="11"/>
  <c r="D5452" i="11"/>
  <c r="C5452" i="11"/>
  <c r="C8116" i="11"/>
  <c r="D8116" i="11"/>
  <c r="C8596" i="11"/>
  <c r="D8596" i="11"/>
  <c r="C8660" i="11"/>
  <c r="D8660" i="11"/>
  <c r="C8724" i="11"/>
  <c r="D8724" i="11"/>
  <c r="C2938" i="11"/>
  <c r="D2938" i="11"/>
  <c r="C3786" i="11"/>
  <c r="D3786" i="11"/>
  <c r="C4170" i="11"/>
  <c r="D4170" i="11"/>
  <c r="C4938" i="11"/>
  <c r="D4938" i="11"/>
  <c r="C5892" i="11"/>
  <c r="D5892" i="11"/>
  <c r="D6020" i="11"/>
  <c r="C6020" i="11"/>
  <c r="C6212" i="11"/>
  <c r="D6212" i="11"/>
  <c r="C6404" i="11"/>
  <c r="D6404" i="11"/>
  <c r="C6589" i="11"/>
  <c r="D6589" i="11"/>
  <c r="C6674" i="11"/>
  <c r="D6674" i="11"/>
  <c r="C6760" i="11"/>
  <c r="D6760" i="11"/>
  <c r="C6888" i="11"/>
  <c r="D6888" i="11"/>
  <c r="C7016" i="11"/>
  <c r="D7016" i="11"/>
  <c r="D7312" i="11"/>
  <c r="C7312" i="11"/>
  <c r="C7376" i="11"/>
  <c r="D7376" i="11"/>
  <c r="C7472" i="11"/>
  <c r="D7472" i="11"/>
  <c r="C7664" i="11"/>
  <c r="D7664" i="11"/>
  <c r="C7760" i="11"/>
  <c r="D7760" i="11"/>
  <c r="D7856" i="11"/>
  <c r="C7856" i="11"/>
  <c r="D7952" i="11"/>
  <c r="C7952" i="11"/>
  <c r="C8016" i="11"/>
  <c r="D8016" i="11"/>
  <c r="D8080" i="11"/>
  <c r="C8080" i="11"/>
  <c r="C8176" i="11"/>
  <c r="D8176" i="11"/>
  <c r="D8272" i="11"/>
  <c r="C8272" i="11"/>
  <c r="D8368" i="11"/>
  <c r="C8368" i="11"/>
  <c r="D8464" i="11"/>
  <c r="C8464" i="11"/>
  <c r="D8560" i="11"/>
  <c r="C8560" i="11"/>
  <c r="D8656" i="11"/>
  <c r="C8656" i="11"/>
  <c r="D8752" i="11"/>
  <c r="C8752" i="11"/>
  <c r="D8784" i="11"/>
  <c r="C8784" i="11"/>
  <c r="C8880" i="11"/>
  <c r="D8880" i="11"/>
  <c r="C9008" i="11"/>
  <c r="D9008" i="11"/>
  <c r="C9104" i="11"/>
  <c r="D9104" i="11"/>
  <c r="D9200" i="11"/>
  <c r="C9200" i="11"/>
  <c r="D9264" i="11"/>
  <c r="C9264" i="11"/>
  <c r="D9360" i="11"/>
  <c r="C9360" i="11"/>
  <c r="D9456" i="11"/>
  <c r="C9456" i="11"/>
  <c r="D9552" i="11"/>
  <c r="C9552" i="11"/>
  <c r="D9648" i="11"/>
  <c r="C9648" i="11"/>
  <c r="D9744" i="11"/>
  <c r="C9744" i="11"/>
  <c r="D9840" i="11"/>
  <c r="C9840" i="11"/>
  <c r="D10000" i="11"/>
  <c r="C10000" i="11"/>
  <c r="C8417" i="11"/>
  <c r="D8417" i="11"/>
  <c r="D7294" i="11"/>
  <c r="C7294" i="11"/>
  <c r="D7230" i="11"/>
  <c r="C7230" i="11"/>
  <c r="D7188" i="11"/>
  <c r="C7188" i="11"/>
  <c r="D7102" i="11"/>
  <c r="C7102" i="11"/>
  <c r="D7060" i="11"/>
  <c r="C7060" i="11"/>
  <c r="D6974" i="11"/>
  <c r="C6974" i="11"/>
  <c r="D6932" i="11"/>
  <c r="C6932" i="11"/>
  <c r="D6846" i="11"/>
  <c r="C6846" i="11"/>
  <c r="C3645" i="11"/>
  <c r="D3645" i="11"/>
  <c r="D1579" i="11"/>
  <c r="C1579" i="11"/>
  <c r="C1585" i="11"/>
  <c r="D1585" i="11"/>
  <c r="D961" i="11"/>
  <c r="C961" i="11"/>
  <c r="C945" i="11"/>
  <c r="D945" i="11"/>
  <c r="C667" i="11"/>
  <c r="D667" i="11"/>
  <c r="C1111" i="11"/>
  <c r="D1111" i="11"/>
  <c r="C592" i="11"/>
  <c r="D592" i="11"/>
  <c r="C6612" i="11"/>
  <c r="C7676" i="11"/>
  <c r="D7676" i="11"/>
  <c r="C3838" i="11"/>
  <c r="D3838" i="11"/>
  <c r="C1315" i="11"/>
  <c r="D1323" i="11"/>
  <c r="D2548" i="11"/>
  <c r="C4622" i="11"/>
  <c r="D5065" i="11"/>
  <c r="C5134" i="11"/>
  <c r="D5417" i="11"/>
  <c r="D6437" i="11"/>
  <c r="C3224" i="11"/>
  <c r="C3352" i="11"/>
  <c r="C3480" i="11"/>
  <c r="C3816" i="11"/>
  <c r="C3880" i="11"/>
  <c r="C3944" i="11"/>
  <c r="C4360" i="11"/>
  <c r="C4488" i="11"/>
  <c r="C4598" i="11"/>
  <c r="C4726" i="11"/>
  <c r="C4854" i="11"/>
  <c r="C4982" i="11"/>
  <c r="C5110" i="11"/>
  <c r="D5188" i="11"/>
  <c r="D5337" i="11"/>
  <c r="D4628" i="11"/>
  <c r="D4724" i="11"/>
  <c r="D4948" i="11"/>
  <c r="D5126" i="11"/>
  <c r="D5382" i="11"/>
  <c r="D5577" i="11"/>
  <c r="D7323" i="11"/>
  <c r="D7435" i="11"/>
  <c r="D7563" i="11"/>
  <c r="D7675" i="11"/>
  <c r="D7771" i="11"/>
  <c r="D7899" i="11"/>
  <c r="D8011" i="11"/>
  <c r="D8123" i="11"/>
  <c r="D8251" i="11"/>
  <c r="D8347" i="11"/>
  <c r="D8459" i="11"/>
  <c r="D8587" i="11"/>
  <c r="D8699" i="11"/>
  <c r="D8795" i="11"/>
  <c r="D8955" i="11"/>
  <c r="D9115" i="11"/>
  <c r="D9291" i="11"/>
  <c r="D9467" i="11"/>
  <c r="D9627" i="11"/>
  <c r="C4086" i="11"/>
  <c r="C6073" i="11"/>
  <c r="C6393" i="11"/>
  <c r="D2998" i="11"/>
  <c r="C6051" i="11"/>
  <c r="C6403" i="11"/>
  <c r="C6755" i="11"/>
  <c r="C6194" i="11"/>
  <c r="D6118" i="11"/>
  <c r="C3054" i="11"/>
  <c r="C2589" i="11"/>
  <c r="D5219" i="11"/>
  <c r="D5199" i="11"/>
  <c r="D4448" i="11"/>
  <c r="C4448" i="11"/>
  <c r="C6245" i="11"/>
  <c r="D6245" i="11"/>
  <c r="C2996" i="11"/>
  <c r="D2996" i="11"/>
  <c r="D2068" i="11"/>
  <c r="C3482" i="11"/>
  <c r="D3586" i="11"/>
  <c r="C4552" i="11"/>
  <c r="C4584" i="11"/>
  <c r="C4616" i="11"/>
  <c r="C4648" i="11"/>
  <c r="C4680" i="11"/>
  <c r="C4712" i="11"/>
  <c r="C4744" i="11"/>
  <c r="C4776" i="11"/>
  <c r="C4808" i="11"/>
  <c r="C4840" i="11"/>
  <c r="C4872" i="11"/>
  <c r="C4904" i="11"/>
  <c r="C4936" i="11"/>
  <c r="C4968" i="11"/>
  <c r="C5000" i="11"/>
  <c r="C5032" i="11"/>
  <c r="C5064" i="11"/>
  <c r="C5096" i="11"/>
  <c r="C5176" i="11"/>
  <c r="C5240" i="11"/>
  <c r="D4713" i="11"/>
  <c r="C4814" i="11"/>
  <c r="C5070" i="11"/>
  <c r="D5353" i="11"/>
  <c r="D7357" i="11"/>
  <c r="D7373" i="11"/>
  <c r="D8109" i="11"/>
  <c r="D8125" i="11"/>
  <c r="C3232" i="11"/>
  <c r="C3680" i="11"/>
  <c r="C3752" i="11"/>
  <c r="C3848" i="11"/>
  <c r="C4168" i="11"/>
  <c r="C4424" i="11"/>
  <c r="D5369" i="11"/>
  <c r="D5497" i="11"/>
  <c r="C5555" i="11"/>
  <c r="C5587" i="11"/>
  <c r="C5619" i="11"/>
  <c r="D6191" i="11"/>
  <c r="C2014" i="11"/>
  <c r="C2678" i="11"/>
  <c r="D4660" i="11"/>
  <c r="D4852" i="11"/>
  <c r="D4980" i="11"/>
  <c r="D5446" i="11"/>
  <c r="D5593" i="11"/>
  <c r="D7355" i="11"/>
  <c r="D7483" i="11"/>
  <c r="D7579" i="11"/>
  <c r="D7691" i="11"/>
  <c r="D7819" i="11"/>
  <c r="D7931" i="11"/>
  <c r="D8027" i="11"/>
  <c r="D8155" i="11"/>
  <c r="D8267" i="11"/>
  <c r="D8379" i="11"/>
  <c r="D8507" i="11"/>
  <c r="D8603" i="11"/>
  <c r="D8715" i="11"/>
  <c r="D8843" i="11"/>
  <c r="D9019" i="11"/>
  <c r="D9179" i="11"/>
  <c r="D9355" i="11"/>
  <c r="D9531" i="11"/>
  <c r="D9739" i="11"/>
  <c r="D9867" i="11"/>
  <c r="C4150" i="11"/>
  <c r="D3566" i="11"/>
  <c r="C5849" i="11"/>
  <c r="C6201" i="11"/>
  <c r="C6521" i="11"/>
  <c r="C6115" i="11"/>
  <c r="C6435" i="11"/>
  <c r="D4366" i="11"/>
  <c r="D6246" i="11"/>
  <c r="C6835" i="11"/>
  <c r="D6803" i="11"/>
  <c r="D5574" i="11"/>
  <c r="D5274" i="11"/>
  <c r="C2898" i="11"/>
  <c r="D3283" i="11"/>
  <c r="D6804" i="11"/>
  <c r="C6804" i="11"/>
  <c r="D6718" i="11"/>
  <c r="C6718" i="11"/>
  <c r="D6676" i="11"/>
  <c r="C6676" i="11"/>
  <c r="C6566" i="11"/>
  <c r="D6566" i="11"/>
  <c r="C6502" i="11"/>
  <c r="D6502" i="11"/>
  <c r="C6438" i="11"/>
  <c r="D6438" i="11"/>
  <c r="C6374" i="11"/>
  <c r="D6374" i="11"/>
  <c r="C6310" i="11"/>
  <c r="D6310" i="11"/>
  <c r="C6182" i="11"/>
  <c r="D6182" i="11"/>
  <c r="C6054" i="11"/>
  <c r="D6054" i="11"/>
  <c r="C5990" i="11"/>
  <c r="D5990" i="11"/>
  <c r="C5926" i="11"/>
  <c r="D5926" i="11"/>
  <c r="C5862" i="11"/>
  <c r="D5862" i="11"/>
  <c r="C5798" i="11"/>
  <c r="D5798" i="11"/>
  <c r="C5734" i="11"/>
  <c r="D5734" i="11"/>
  <c r="D5670" i="11"/>
  <c r="C5670" i="11"/>
  <c r="C5638" i="11"/>
  <c r="D5638" i="11"/>
  <c r="C5510" i="11"/>
  <c r="D5510" i="11"/>
  <c r="C5414" i="11"/>
  <c r="D5414" i="11"/>
  <c r="C5350" i="11"/>
  <c r="D5350" i="11"/>
  <c r="C5286" i="11"/>
  <c r="D5286" i="11"/>
  <c r="C5172" i="11"/>
  <c r="D5172" i="11"/>
  <c r="D5006" i="11"/>
  <c r="C5006" i="11"/>
  <c r="D4878" i="11"/>
  <c r="C4878" i="11"/>
  <c r="D4686" i="11"/>
  <c r="C4686" i="11"/>
  <c r="D4558" i="11"/>
  <c r="C4558" i="11"/>
  <c r="C4494" i="11"/>
  <c r="D4494" i="11"/>
  <c r="C4430" i="11"/>
  <c r="D4430" i="11"/>
  <c r="D3574" i="11"/>
  <c r="C3574" i="11"/>
  <c r="D3488" i="11"/>
  <c r="C3488" i="11"/>
  <c r="D3318" i="11"/>
  <c r="C3318" i="11"/>
  <c r="D3147" i="11"/>
  <c r="C3147" i="11"/>
  <c r="D3062" i="11"/>
  <c r="C3062" i="11"/>
  <c r="C2818" i="11"/>
  <c r="D2818" i="11"/>
  <c r="D2690" i="11"/>
  <c r="C2690" i="11"/>
  <c r="D2434" i="11"/>
  <c r="C2434" i="11"/>
  <c r="C2134" i="11"/>
  <c r="D2134" i="11"/>
  <c r="C1922" i="11"/>
  <c r="D1922" i="11"/>
  <c r="C9963" i="11"/>
  <c r="D9963" i="11"/>
  <c r="C9931" i="11"/>
  <c r="D9931" i="11"/>
  <c r="C9899" i="11"/>
  <c r="D9899" i="11"/>
  <c r="C9835" i="11"/>
  <c r="D9835" i="11"/>
  <c r="C9803" i="11"/>
  <c r="D9803" i="11"/>
  <c r="C9771" i="11"/>
  <c r="D9771" i="11"/>
  <c r="C9707" i="11"/>
  <c r="D9707" i="11"/>
  <c r="C9675" i="11"/>
  <c r="D9675" i="11"/>
  <c r="C9643" i="11"/>
  <c r="D9643" i="11"/>
  <c r="C9595" i="11"/>
  <c r="D9595" i="11"/>
  <c r="C9579" i="11"/>
  <c r="D9579" i="11"/>
  <c r="C9563" i="11"/>
  <c r="D9563" i="11"/>
  <c r="C9515" i="11"/>
  <c r="D9515" i="11"/>
  <c r="C9499" i="11"/>
  <c r="D9499" i="11"/>
  <c r="C9483" i="11"/>
  <c r="D9483" i="11"/>
  <c r="C9451" i="11"/>
  <c r="D9451" i="11"/>
  <c r="C9419" i="11"/>
  <c r="D9419" i="11"/>
  <c r="C9403" i="11"/>
  <c r="D9403" i="11"/>
  <c r="C9387" i="11"/>
  <c r="D9387" i="11"/>
  <c r="C9339" i="11"/>
  <c r="D9339" i="11"/>
  <c r="C9323" i="11"/>
  <c r="D9323" i="11"/>
  <c r="C9307" i="11"/>
  <c r="D9307" i="11"/>
  <c r="C9259" i="11"/>
  <c r="D9259" i="11"/>
  <c r="C9243" i="11"/>
  <c r="D9243" i="11"/>
  <c r="C9227" i="11"/>
  <c r="D9227" i="11"/>
  <c r="C9195" i="11"/>
  <c r="D9195" i="11"/>
  <c r="C9163" i="11"/>
  <c r="D9163" i="11"/>
  <c r="C9147" i="11"/>
  <c r="D9147" i="11"/>
  <c r="C9131" i="11"/>
  <c r="D9131" i="11"/>
  <c r="C9083" i="11"/>
  <c r="D9083" i="11"/>
  <c r="C9067" i="11"/>
  <c r="D9067" i="11"/>
  <c r="C9051" i="11"/>
  <c r="D9051" i="11"/>
  <c r="C9003" i="11"/>
  <c r="D9003" i="11"/>
  <c r="C8987" i="11"/>
  <c r="D8987" i="11"/>
  <c r="C8971" i="11"/>
  <c r="D8971" i="11"/>
  <c r="C8939" i="11"/>
  <c r="D8939" i="11"/>
  <c r="C8907" i="11"/>
  <c r="D8907" i="11"/>
  <c r="C8891" i="11"/>
  <c r="D8891" i="11"/>
  <c r="C8875" i="11"/>
  <c r="D8875" i="11"/>
  <c r="C8827" i="11"/>
  <c r="D8827" i="11"/>
  <c r="C8811" i="11"/>
  <c r="D8811" i="11"/>
  <c r="C8747" i="11"/>
  <c r="D8747" i="11"/>
  <c r="C8731" i="11"/>
  <c r="D8731" i="11"/>
  <c r="C8683" i="11"/>
  <c r="D8683" i="11"/>
  <c r="C8651" i="11"/>
  <c r="D8651" i="11"/>
  <c r="C8619" i="11"/>
  <c r="D8619" i="11"/>
  <c r="C8571" i="11"/>
  <c r="D8571" i="11"/>
  <c r="C8555" i="11"/>
  <c r="D8555" i="11"/>
  <c r="C8491" i="11"/>
  <c r="D8491" i="11"/>
  <c r="C8475" i="11"/>
  <c r="D8475" i="11"/>
  <c r="C8427" i="11"/>
  <c r="D8427" i="11"/>
  <c r="C8395" i="11"/>
  <c r="D8395" i="11"/>
  <c r="C8363" i="11"/>
  <c r="D8363" i="11"/>
  <c r="C8315" i="11"/>
  <c r="D8315" i="11"/>
  <c r="C8299" i="11"/>
  <c r="D8299" i="11"/>
  <c r="C8235" i="11"/>
  <c r="D8235" i="11"/>
  <c r="C8219" i="11"/>
  <c r="D8219" i="11"/>
  <c r="C8171" i="11"/>
  <c r="D8171" i="11"/>
  <c r="C8139" i="11"/>
  <c r="D8139" i="11"/>
  <c r="C8107" i="11"/>
  <c r="D8107" i="11"/>
  <c r="C8059" i="11"/>
  <c r="D8059" i="11"/>
  <c r="C8043" i="11"/>
  <c r="D8043" i="11"/>
  <c r="C7979" i="11"/>
  <c r="D7979" i="11"/>
  <c r="C7963" i="11"/>
  <c r="D7963" i="11"/>
  <c r="C7915" i="11"/>
  <c r="D7915" i="11"/>
  <c r="C7883" i="11"/>
  <c r="D7883" i="11"/>
  <c r="C7851" i="11"/>
  <c r="D7851" i="11"/>
  <c r="C7803" i="11"/>
  <c r="D7803" i="11"/>
  <c r="C7787" i="11"/>
  <c r="D7787" i="11"/>
  <c r="C7723" i="11"/>
  <c r="D7723" i="11"/>
  <c r="C7707" i="11"/>
  <c r="D7707" i="11"/>
  <c r="C7659" i="11"/>
  <c r="D7659" i="11"/>
  <c r="C7627" i="11"/>
  <c r="D7627" i="11"/>
  <c r="C7595" i="11"/>
  <c r="D7595" i="11"/>
  <c r="C7547" i="11"/>
  <c r="D7547" i="11"/>
  <c r="C7531" i="11"/>
  <c r="D7531" i="11"/>
  <c r="C7467" i="11"/>
  <c r="D7467" i="11"/>
  <c r="C7451" i="11"/>
  <c r="D7451" i="11"/>
  <c r="C7403" i="11"/>
  <c r="D7403" i="11"/>
  <c r="C7371" i="11"/>
  <c r="D7371" i="11"/>
  <c r="C7339" i="11"/>
  <c r="D7339" i="11"/>
  <c r="C6710" i="11"/>
  <c r="D6710" i="11"/>
  <c r="C6689" i="11"/>
  <c r="D6689" i="11"/>
  <c r="C6604" i="11"/>
  <c r="D6604" i="11"/>
  <c r="C6582" i="11"/>
  <c r="D6582" i="11"/>
  <c r="D6490" i="11"/>
  <c r="C6490" i="11"/>
  <c r="C6394" i="11"/>
  <c r="D6394" i="11"/>
  <c r="D6266" i="11"/>
  <c r="C6266" i="11"/>
  <c r="D6202" i="11"/>
  <c r="C6202" i="11"/>
  <c r="C6138" i="11"/>
  <c r="D6138" i="11"/>
  <c r="D6010" i="11"/>
  <c r="C6010" i="11"/>
  <c r="D5946" i="11"/>
  <c r="C5946" i="11"/>
  <c r="C5882" i="11"/>
  <c r="D5882" i="11"/>
  <c r="D5818" i="11"/>
  <c r="C5818" i="11"/>
  <c r="D5658" i="11"/>
  <c r="C5658" i="11"/>
  <c r="D5498" i="11"/>
  <c r="C5498" i="11"/>
  <c r="C5370" i="11"/>
  <c r="D5370" i="11"/>
  <c r="D4534" i="11"/>
  <c r="C4534" i="11"/>
  <c r="D4342" i="11"/>
  <c r="C4342" i="11"/>
  <c r="D4278" i="11"/>
  <c r="C4278" i="11"/>
  <c r="D4214" i="11"/>
  <c r="C4214" i="11"/>
  <c r="D4022" i="11"/>
  <c r="C4022" i="11"/>
  <c r="D3958" i="11"/>
  <c r="C3958" i="11"/>
  <c r="D3894" i="11"/>
  <c r="C3894" i="11"/>
  <c r="D3766" i="11"/>
  <c r="C3766" i="11"/>
  <c r="C3627" i="11"/>
  <c r="D3627" i="11"/>
  <c r="D3200" i="11"/>
  <c r="C3200" i="11"/>
  <c r="C7235" i="11"/>
  <c r="D7235" i="11"/>
  <c r="D7219" i="11"/>
  <c r="C7219" i="11"/>
  <c r="C7171" i="11"/>
  <c r="D7171" i="11"/>
  <c r="D7155" i="11"/>
  <c r="C7155" i="11"/>
  <c r="C7123" i="11"/>
  <c r="D7123" i="11"/>
  <c r="D7091" i="11"/>
  <c r="C7091" i="11"/>
  <c r="C7059" i="11"/>
  <c r="D7059" i="11"/>
  <c r="C7043" i="11"/>
  <c r="D7043" i="11"/>
  <c r="D7027" i="11"/>
  <c r="C7027" i="11"/>
  <c r="C6995" i="11"/>
  <c r="D6995" i="11"/>
  <c r="C6979" i="11"/>
  <c r="D6979" i="11"/>
  <c r="C6931" i="11"/>
  <c r="D6931" i="11"/>
  <c r="C6915" i="11"/>
  <c r="D6915" i="11"/>
  <c r="D6899" i="11"/>
  <c r="C6899" i="11"/>
  <c r="C6867" i="11"/>
  <c r="D6867" i="11"/>
  <c r="C6851" i="11"/>
  <c r="D6851" i="11"/>
  <c r="D6723" i="11"/>
  <c r="C6723" i="11"/>
  <c r="D6691" i="11"/>
  <c r="C6691" i="11"/>
  <c r="D6659" i="11"/>
  <c r="C6659" i="11"/>
  <c r="D6595" i="11"/>
  <c r="C6595" i="11"/>
  <c r="D6531" i="11"/>
  <c r="C6531" i="11"/>
  <c r="D6499" i="11"/>
  <c r="C6499" i="11"/>
  <c r="D6467" i="11"/>
  <c r="C6467" i="11"/>
  <c r="D6371" i="11"/>
  <c r="C6371" i="11"/>
  <c r="D6339" i="11"/>
  <c r="C6339" i="11"/>
  <c r="D6307" i="11"/>
  <c r="C6307" i="11"/>
  <c r="D6211" i="11"/>
  <c r="C6211" i="11"/>
  <c r="D6179" i="11"/>
  <c r="C6179" i="11"/>
  <c r="D6147" i="11"/>
  <c r="C6147" i="11"/>
  <c r="D6083" i="11"/>
  <c r="C6083" i="11"/>
  <c r="D6019" i="11"/>
  <c r="C6019" i="11"/>
  <c r="D5987" i="11"/>
  <c r="C5987" i="11"/>
  <c r="D5955" i="11"/>
  <c r="C5955" i="11"/>
  <c r="D5859" i="11"/>
  <c r="C5859" i="11"/>
  <c r="D5827" i="11"/>
  <c r="C5827" i="11"/>
  <c r="D5795" i="11"/>
  <c r="C5795" i="11"/>
  <c r="C5747" i="11"/>
  <c r="D5747" i="11"/>
  <c r="C5731" i="11"/>
  <c r="D5731" i="11"/>
  <c r="D5683" i="11"/>
  <c r="C5683" i="11"/>
  <c r="D5395" i="11"/>
  <c r="C5395" i="11"/>
  <c r="D5379" i="11"/>
  <c r="C5379" i="11"/>
  <c r="D5299" i="11"/>
  <c r="C5299" i="11"/>
  <c r="D5267" i="11"/>
  <c r="C5267" i="11"/>
  <c r="D5232" i="11"/>
  <c r="C5232" i="11"/>
  <c r="C5211" i="11"/>
  <c r="D5211" i="11"/>
  <c r="C5190" i="11"/>
  <c r="D5190" i="11"/>
  <c r="D4392" i="11"/>
  <c r="C4392" i="11"/>
  <c r="D4328" i="11"/>
  <c r="C4328" i="11"/>
  <c r="D4264" i="11"/>
  <c r="C4264" i="11"/>
  <c r="D4200" i="11"/>
  <c r="C4200" i="11"/>
  <c r="D4136" i="11"/>
  <c r="C4136" i="11"/>
  <c r="D4104" i="11"/>
  <c r="C4104" i="11"/>
  <c r="D4040" i="11"/>
  <c r="C4040" i="11"/>
  <c r="D3976" i="11"/>
  <c r="C3976" i="11"/>
  <c r="D3784" i="11"/>
  <c r="C3784" i="11"/>
  <c r="D3720" i="11"/>
  <c r="C3720" i="11"/>
  <c r="C3438" i="11"/>
  <c r="D3438" i="11"/>
  <c r="C3310" i="11"/>
  <c r="D3310" i="11"/>
  <c r="C2934" i="11"/>
  <c r="D2934" i="11"/>
  <c r="C2870" i="11"/>
  <c r="D2870" i="11"/>
  <c r="C2742" i="11"/>
  <c r="D2742" i="11"/>
  <c r="C2486" i="11"/>
  <c r="D2486" i="11"/>
  <c r="D6553" i="11"/>
  <c r="C6553" i="11"/>
  <c r="D6489" i="11"/>
  <c r="C6489" i="11"/>
  <c r="D6457" i="11"/>
  <c r="C6457" i="11"/>
  <c r="D6425" i="11"/>
  <c r="C6425" i="11"/>
  <c r="D6329" i="11"/>
  <c r="C6329" i="11"/>
  <c r="D6297" i="11"/>
  <c r="C6297" i="11"/>
  <c r="D6265" i="11"/>
  <c r="C6265" i="11"/>
  <c r="D6169" i="11"/>
  <c r="C6169" i="11"/>
  <c r="D6137" i="11"/>
  <c r="C6137" i="11"/>
  <c r="D6105" i="11"/>
  <c r="C6105" i="11"/>
  <c r="D6041" i="11"/>
  <c r="C6041" i="11"/>
  <c r="D5977" i="11"/>
  <c r="C5977" i="11"/>
  <c r="D5945" i="11"/>
  <c r="C5945" i="11"/>
  <c r="D5913" i="11"/>
  <c r="C5913" i="11"/>
  <c r="D5817" i="11"/>
  <c r="C5817" i="11"/>
  <c r="C5769" i="11"/>
  <c r="D5769" i="11"/>
  <c r="D5753" i="11"/>
  <c r="C5753" i="11"/>
  <c r="C5705" i="11"/>
  <c r="D5705" i="11"/>
  <c r="D5689" i="11"/>
  <c r="C5689" i="11"/>
  <c r="C5609" i="11"/>
  <c r="D5609" i="11"/>
  <c r="C5545" i="11"/>
  <c r="D5545" i="11"/>
  <c r="C5513" i="11"/>
  <c r="D5513" i="11"/>
  <c r="C5465" i="11"/>
  <c r="D5465" i="11"/>
  <c r="C5449" i="11"/>
  <c r="D5449" i="11"/>
  <c r="C5385" i="11"/>
  <c r="D5385" i="11"/>
  <c r="C5321" i="11"/>
  <c r="D5321" i="11"/>
  <c r="C5305" i="11"/>
  <c r="D5305" i="11"/>
  <c r="C5257" i="11"/>
  <c r="D5257" i="11"/>
  <c r="C5044" i="11"/>
  <c r="D5044" i="11"/>
  <c r="C5012" i="11"/>
  <c r="D5012" i="11"/>
  <c r="C4916" i="11"/>
  <c r="D4916" i="11"/>
  <c r="C4820" i="11"/>
  <c r="D4820" i="11"/>
  <c r="C4756" i="11"/>
  <c r="D4756" i="11"/>
  <c r="C4692" i="11"/>
  <c r="D4692" i="11"/>
  <c r="C4596" i="11"/>
  <c r="D4596" i="11"/>
  <c r="C3539" i="11"/>
  <c r="D3539" i="11"/>
  <c r="C3411" i="11"/>
  <c r="D3411" i="11"/>
  <c r="D3240" i="11"/>
  <c r="C3240" i="11"/>
  <c r="C3155" i="11"/>
  <c r="D3155" i="11"/>
  <c r="D3112" i="11"/>
  <c r="C3112" i="11"/>
  <c r="D2702" i="11"/>
  <c r="C2702" i="11"/>
  <c r="C2446" i="11"/>
  <c r="D2446" i="11"/>
  <c r="D2382" i="11"/>
  <c r="C2382" i="11"/>
  <c r="C2150" i="11"/>
  <c r="D2150" i="11"/>
  <c r="C1944" i="11"/>
  <c r="D1944" i="11"/>
  <c r="C1716" i="11"/>
  <c r="D1716" i="11"/>
  <c r="C5213" i="11"/>
  <c r="D5213" i="11"/>
  <c r="C9166" i="11"/>
  <c r="D9166" i="11"/>
  <c r="D9124" i="11"/>
  <c r="C9124" i="11"/>
  <c r="C4013" i="11"/>
  <c r="C3773" i="11"/>
  <c r="C3901" i="11"/>
  <c r="C4029" i="11"/>
  <c r="C3709" i="11"/>
  <c r="C4077" i="11"/>
  <c r="C4253" i="11"/>
  <c r="C4205" i="11"/>
  <c r="D3295" i="11"/>
  <c r="D4397" i="11"/>
  <c r="C4397" i="11"/>
  <c r="D4269" i="11"/>
  <c r="C4269" i="11"/>
  <c r="D4189" i="11"/>
  <c r="C4189" i="11"/>
  <c r="D4141" i="11"/>
  <c r="C4141" i="11"/>
  <c r="D4125" i="11"/>
  <c r="C4125" i="11"/>
  <c r="D3949" i="11"/>
  <c r="C3949" i="11"/>
  <c r="D3821" i="11"/>
  <c r="C3821" i="11"/>
  <c r="D3741" i="11"/>
  <c r="C3741" i="11"/>
  <c r="D3677" i="11"/>
  <c r="C3677" i="11"/>
  <c r="C3167" i="11"/>
  <c r="D3167" i="11"/>
  <c r="C3103" i="11"/>
  <c r="D3103" i="11"/>
  <c r="D3039" i="11"/>
  <c r="C3039" i="11"/>
  <c r="C2848" i="11"/>
  <c r="D2848" i="11"/>
  <c r="D2592" i="11"/>
  <c r="C2592" i="11"/>
  <c r="C2496" i="11"/>
  <c r="D2496" i="11"/>
  <c r="D1976" i="11"/>
  <c r="C1976" i="11"/>
  <c r="D8228" i="11"/>
  <c r="C8228" i="11"/>
  <c r="D8324" i="11"/>
  <c r="C8324" i="11"/>
  <c r="C4683" i="11"/>
  <c r="C4619" i="11"/>
  <c r="C4027" i="11"/>
  <c r="D3963" i="11"/>
  <c r="D4171" i="11"/>
  <c r="D5003" i="11"/>
  <c r="C5003" i="11"/>
  <c r="D4507" i="11"/>
  <c r="C4507" i="11"/>
  <c r="D4123" i="11"/>
  <c r="C4123" i="11"/>
  <c r="C3787" i="11"/>
  <c r="D3787" i="11"/>
  <c r="C3755" i="11"/>
  <c r="D3755" i="11"/>
  <c r="C3707" i="11"/>
  <c r="D3707" i="11"/>
  <c r="D3527" i="11"/>
  <c r="C3527" i="11"/>
  <c r="D3004" i="11"/>
  <c r="C3004" i="11"/>
  <c r="C2940" i="11"/>
  <c r="D2940" i="11"/>
  <c r="D4090" i="11"/>
  <c r="C4090" i="11"/>
  <c r="D4346" i="11"/>
  <c r="C4346" i="11"/>
  <c r="D6905" i="11"/>
  <c r="C6905" i="11"/>
  <c r="D8087" i="11"/>
  <c r="C8087" i="11"/>
  <c r="C6463" i="11"/>
  <c r="D6463" i="11"/>
  <c r="D2470" i="11"/>
  <c r="C2470" i="11"/>
  <c r="C6149" i="11"/>
  <c r="D6149" i="11"/>
  <c r="C5893" i="11"/>
  <c r="D5893" i="11"/>
  <c r="D4908" i="11"/>
  <c r="C4908" i="11"/>
  <c r="C5049" i="11"/>
  <c r="D5049" i="11"/>
  <c r="D2552" i="11"/>
  <c r="C2552" i="11"/>
  <c r="C3245" i="11"/>
  <c r="D3245" i="11"/>
  <c r="D2941" i="11"/>
  <c r="C2941" i="11"/>
  <c r="D2893" i="11"/>
  <c r="C2893" i="11"/>
  <c r="C2173" i="11"/>
  <c r="D2173" i="11"/>
  <c r="C1925" i="11"/>
  <c r="D1925" i="11"/>
  <c r="C2039" i="11"/>
  <c r="D2039" i="11"/>
  <c r="D1550" i="11"/>
  <c r="C1550" i="11"/>
  <c r="D1313" i="11"/>
  <c r="C1313" i="11"/>
  <c r="C610" i="11"/>
  <c r="D610" i="11"/>
  <c r="D8010" i="11"/>
  <c r="C8010" i="11"/>
  <c r="C5272" i="11"/>
  <c r="D5272" i="11"/>
  <c r="C6629" i="11"/>
  <c r="D6629" i="11"/>
  <c r="C4882" i="11"/>
  <c r="D4882" i="11"/>
  <c r="C3280" i="11"/>
  <c r="D3280" i="11"/>
  <c r="C4674" i="11"/>
  <c r="D4674" i="11"/>
  <c r="C5328" i="11"/>
  <c r="D5328" i="11"/>
  <c r="C3962" i="11"/>
  <c r="D3962" i="11"/>
  <c r="C7869" i="11"/>
  <c r="D7869" i="11"/>
  <c r="C7709" i="11"/>
  <c r="D7709" i="11"/>
  <c r="C7341" i="11"/>
  <c r="D7341" i="11"/>
  <c r="D5938" i="11"/>
  <c r="C5938" i="11"/>
  <c r="D3520" i="11"/>
  <c r="C3520" i="11"/>
  <c r="C6063" i="11"/>
  <c r="D6063" i="11"/>
  <c r="C5887" i="11"/>
  <c r="D5887" i="11"/>
  <c r="D4556" i="11"/>
  <c r="C4556" i="11"/>
  <c r="C4793" i="11"/>
  <c r="D4793" i="11"/>
  <c r="D3021" i="11"/>
  <c r="C3021" i="11"/>
  <c r="D2116" i="11"/>
  <c r="C4969" i="11"/>
  <c r="D5797" i="11"/>
  <c r="D6117" i="11"/>
  <c r="D6309" i="11"/>
  <c r="D8157" i="11"/>
  <c r="C3384" i="11"/>
  <c r="D3640" i="11"/>
  <c r="C4192" i="11"/>
  <c r="C5142" i="11"/>
  <c r="D5206" i="11"/>
  <c r="C4857" i="11"/>
  <c r="C5004" i="11"/>
  <c r="C5177" i="11"/>
  <c r="D5241" i="11"/>
  <c r="D5438" i="11"/>
  <c r="D5807" i="11"/>
  <c r="D6015" i="11"/>
  <c r="D6527" i="11"/>
  <c r="C2494" i="11"/>
  <c r="C4838" i="11"/>
  <c r="C5268" i="11"/>
  <c r="D3342" i="11"/>
  <c r="D3598" i="11"/>
  <c r="C4986" i="11"/>
  <c r="C2360" i="11"/>
  <c r="C3820" i="11"/>
  <c r="D3980" i="11"/>
  <c r="D4108" i="11"/>
  <c r="C4535" i="11"/>
  <c r="C6418" i="11"/>
  <c r="C8316" i="11"/>
  <c r="C8444" i="11"/>
  <c r="C7671" i="11"/>
  <c r="D5551" i="11"/>
  <c r="D8260" i="11"/>
  <c r="C8260" i="11"/>
  <c r="C214" i="11"/>
  <c r="D715" i="11"/>
  <c r="D793" i="11"/>
  <c r="C951" i="11"/>
  <c r="D1329" i="11"/>
  <c r="D2740" i="11"/>
  <c r="C3354" i="11"/>
  <c r="D3458" i="11"/>
  <c r="D5989" i="11"/>
  <c r="D7421" i="11"/>
  <c r="D7677" i="11"/>
  <c r="D8189" i="11"/>
  <c r="D3128" i="11"/>
  <c r="D3656" i="11"/>
  <c r="C3872" i="11"/>
  <c r="C4876" i="11"/>
  <c r="C1954" i="11"/>
  <c r="D7074" i="11"/>
  <c r="D167" i="11"/>
  <c r="C4138" i="11"/>
  <c r="D4138" i="11"/>
  <c r="C4394" i="11"/>
  <c r="D4394" i="11"/>
  <c r="C2522" i="11"/>
  <c r="D2522" i="11"/>
  <c r="C8216" i="11"/>
  <c r="D8216" i="11"/>
  <c r="C9005" i="11"/>
  <c r="D9005" i="11"/>
  <c r="C8221" i="11"/>
  <c r="D8221" i="11"/>
  <c r="C8205" i="11"/>
  <c r="D8205" i="11"/>
  <c r="C8093" i="11"/>
  <c r="D8093" i="11"/>
  <c r="C7325" i="11"/>
  <c r="D7325" i="11"/>
  <c r="D4670" i="11"/>
  <c r="C4670" i="11"/>
  <c r="C9879" i="11"/>
  <c r="D9879" i="11"/>
  <c r="C9767" i="11"/>
  <c r="D9767" i="11"/>
  <c r="D3936" i="11"/>
  <c r="C3936" i="11"/>
  <c r="C6533" i="11"/>
  <c r="D6533" i="11"/>
  <c r="C6405" i="11"/>
  <c r="D6405" i="11"/>
  <c r="C6277" i="11"/>
  <c r="D6277" i="11"/>
  <c r="C6021" i="11"/>
  <c r="D6021" i="11"/>
  <c r="C5192" i="11"/>
  <c r="D5192" i="11"/>
  <c r="D4332" i="11"/>
  <c r="C4332" i="11"/>
  <c r="D5225" i="11"/>
  <c r="C5225" i="11"/>
  <c r="C5145" i="11"/>
  <c r="D5145" i="11"/>
  <c r="D5001" i="11"/>
  <c r="C5001" i="11"/>
  <c r="D4649" i="11"/>
  <c r="C4649" i="11"/>
  <c r="D4871" i="11"/>
  <c r="C4871" i="11"/>
  <c r="C3074" i="11"/>
  <c r="D3074" i="11"/>
  <c r="C2877" i="11"/>
  <c r="D2877" i="11"/>
  <c r="C2621" i="11"/>
  <c r="D2621" i="11"/>
  <c r="C2164" i="11"/>
  <c r="C2252" i="11"/>
  <c r="D2708" i="11"/>
  <c r="D4074" i="11"/>
  <c r="D5184" i="11"/>
  <c r="C5477" i="11"/>
  <c r="D4745" i="11"/>
  <c r="C4905" i="11"/>
  <c r="D5957" i="11"/>
  <c r="D6469" i="11"/>
  <c r="D7389" i="11"/>
  <c r="C4119" i="11"/>
  <c r="D5484" i="11"/>
  <c r="C5484" i="11"/>
  <c r="C3056" i="11"/>
  <c r="D3056" i="11"/>
  <c r="D5668" i="11"/>
  <c r="C5668" i="11"/>
  <c r="C6824" i="11"/>
  <c r="D6824" i="11"/>
  <c r="C8544" i="11"/>
  <c r="D8544" i="11"/>
  <c r="C8608" i="11"/>
  <c r="D8608" i="11"/>
  <c r="D313" i="11"/>
  <c r="C2028" i="11"/>
  <c r="D2356" i="11"/>
  <c r="C1263" i="11"/>
  <c r="D3202" i="11"/>
  <c r="C3610" i="11"/>
  <c r="D4234" i="11"/>
  <c r="D4362" i="11"/>
  <c r="C5349" i="11"/>
  <c r="D5829" i="11"/>
  <c r="D6181" i="11"/>
  <c r="D6341" i="11"/>
  <c r="D6501" i="11"/>
  <c r="D7405" i="11"/>
  <c r="D7693" i="11"/>
  <c r="D7901" i="11"/>
  <c r="D3184" i="11"/>
  <c r="C3400" i="11"/>
  <c r="C3840" i="11"/>
  <c r="C4588" i="11"/>
  <c r="D4729" i="11"/>
  <c r="D6271" i="11"/>
  <c r="D2158" i="11"/>
  <c r="D468" i="11"/>
  <c r="D246" i="11"/>
  <c r="C1671" i="11"/>
  <c r="D2010" i="11"/>
  <c r="D4634" i="11"/>
  <c r="D4967" i="11"/>
  <c r="D7383" i="11"/>
  <c r="C8516" i="11"/>
  <c r="D8612" i="11"/>
  <c r="C8644" i="11"/>
  <c r="C8740" i="11"/>
  <c r="D8836" i="11"/>
  <c r="D4711" i="11"/>
  <c r="D5612" i="11"/>
  <c r="D4055" i="11"/>
  <c r="C9664" i="11"/>
  <c r="C8292" i="11"/>
  <c r="C8388" i="11"/>
  <c r="C825" i="11"/>
  <c r="C1187" i="11"/>
  <c r="D1344" i="11"/>
  <c r="D1015" i="11"/>
  <c r="C1300" i="11"/>
  <c r="D2420" i="11"/>
  <c r="C2612" i="11"/>
  <c r="C4026" i="11"/>
  <c r="D4330" i="11"/>
  <c r="D4410" i="11"/>
  <c r="C4538" i="11"/>
  <c r="D4608" i="11"/>
  <c r="D4672" i="11"/>
  <c r="D4736" i="11"/>
  <c r="D4800" i="11"/>
  <c r="D4864" i="11"/>
  <c r="D4928" i="11"/>
  <c r="D4992" i="11"/>
  <c r="D5056" i="11"/>
  <c r="D5120" i="11"/>
  <c r="D5193" i="11"/>
  <c r="D5861" i="11"/>
  <c r="D6053" i="11"/>
  <c r="D6213" i="11"/>
  <c r="D6373" i="11"/>
  <c r="D6565" i="11"/>
  <c r="D7725" i="11"/>
  <c r="D7917" i="11"/>
  <c r="D3144" i="11"/>
  <c r="C4352" i="11"/>
  <c r="C4384" i="11"/>
  <c r="D4620" i="11"/>
  <c r="D4940" i="11"/>
  <c r="C5118" i="11"/>
  <c r="C5356" i="11"/>
  <c r="D5406" i="11"/>
  <c r="D5935" i="11"/>
  <c r="D6143" i="11"/>
  <c r="D6335" i="11"/>
  <c r="D6655" i="11"/>
  <c r="D6911" i="11"/>
  <c r="D7167" i="11"/>
  <c r="C7662" i="11"/>
  <c r="C7934" i="11"/>
  <c r="C2262" i="11"/>
  <c r="D2256" i="11"/>
  <c r="D4286" i="11"/>
  <c r="D1861" i="11"/>
  <c r="D2216" i="11"/>
  <c r="D532" i="11"/>
  <c r="D1904" i="11"/>
  <c r="C2209" i="11"/>
  <c r="D7319" i="11"/>
  <c r="C8412" i="11"/>
  <c r="C8548" i="11"/>
  <c r="D8580" i="11"/>
  <c r="C9312" i="11"/>
  <c r="C1122" i="11"/>
  <c r="D771" i="11"/>
  <c r="D2525" i="11"/>
  <c r="D6748" i="11"/>
  <c r="D5300" i="11"/>
  <c r="C8776" i="11"/>
  <c r="C2906" i="11"/>
  <c r="D1852" i="11"/>
  <c r="C1852" i="11"/>
  <c r="D2778" i="11"/>
  <c r="C2778" i="11"/>
  <c r="C3034" i="11"/>
  <c r="D3034" i="11"/>
  <c r="C3547" i="11"/>
  <c r="D3547" i="11"/>
  <c r="C4602" i="11"/>
  <c r="D4602" i="11"/>
  <c r="D4730" i="11"/>
  <c r="C4730" i="11"/>
  <c r="D4858" i="11"/>
  <c r="C4858" i="11"/>
  <c r="D5114" i="11"/>
  <c r="C5114" i="11"/>
  <c r="C5202" i="11"/>
  <c r="D5202" i="11"/>
  <c r="C5724" i="11"/>
  <c r="D5724" i="11"/>
  <c r="C5788" i="11"/>
  <c r="D5788" i="11"/>
  <c r="C5980" i="11"/>
  <c r="D5980" i="11"/>
  <c r="C6044" i="11"/>
  <c r="D6044" i="11"/>
  <c r="C6108" i="11"/>
  <c r="D6108" i="11"/>
  <c r="C6300" i="11"/>
  <c r="D6300" i="11"/>
  <c r="C6364" i="11"/>
  <c r="D6364" i="11"/>
  <c r="C6556" i="11"/>
  <c r="D6556" i="11"/>
  <c r="C6605" i="11"/>
  <c r="D6605" i="11"/>
  <c r="C6648" i="11"/>
  <c r="D6648" i="11"/>
  <c r="C6690" i="11"/>
  <c r="D6690" i="11"/>
  <c r="C6733" i="11"/>
  <c r="D6733" i="11"/>
  <c r="C6861" i="11"/>
  <c r="D6861" i="11"/>
  <c r="C6946" i="11"/>
  <c r="D6946" i="11"/>
  <c r="C6989" i="11"/>
  <c r="D6989" i="11"/>
  <c r="C7117" i="11"/>
  <c r="D7117" i="11"/>
  <c r="C7202" i="11"/>
  <c r="D7202" i="11"/>
  <c r="C7245" i="11"/>
  <c r="D7245" i="11"/>
  <c r="D7324" i="11"/>
  <c r="C7324" i="11"/>
  <c r="D7356" i="11"/>
  <c r="C7356" i="11"/>
  <c r="D7388" i="11"/>
  <c r="C7388" i="11"/>
  <c r="C7420" i="11"/>
  <c r="D7420" i="11"/>
  <c r="C7452" i="11"/>
  <c r="D7452" i="11"/>
  <c r="D7484" i="11"/>
  <c r="C7484" i="11"/>
  <c r="C7516" i="11"/>
  <c r="D7516" i="11"/>
  <c r="D7548" i="11"/>
  <c r="C7548" i="11"/>
  <c r="C7580" i="11"/>
  <c r="D7580" i="11"/>
  <c r="D7644" i="11"/>
  <c r="C7644" i="11"/>
  <c r="D7708" i="11"/>
  <c r="C7708" i="11"/>
  <c r="C7772" i="11"/>
  <c r="D7772" i="11"/>
  <c r="C7836" i="11"/>
  <c r="D7836" i="11"/>
  <c r="D7900" i="11"/>
  <c r="C7900" i="11"/>
  <c r="D7932" i="11"/>
  <c r="C7932" i="11"/>
  <c r="D7964" i="11"/>
  <c r="C7964" i="11"/>
  <c r="D7996" i="11"/>
  <c r="C7996" i="11"/>
  <c r="D8028" i="11"/>
  <c r="C8028" i="11"/>
  <c r="C8060" i="11"/>
  <c r="D8060" i="11"/>
  <c r="D8156" i="11"/>
  <c r="C8156" i="11"/>
  <c r="D8252" i="11"/>
  <c r="C8252" i="11"/>
  <c r="D8284" i="11"/>
  <c r="C8284" i="11"/>
  <c r="D8348" i="11"/>
  <c r="C8348" i="11"/>
  <c r="D8380" i="11"/>
  <c r="C8380" i="11"/>
  <c r="D8476" i="11"/>
  <c r="C8476" i="11"/>
  <c r="D8508" i="11"/>
  <c r="C8508" i="11"/>
  <c r="D8540" i="11"/>
  <c r="C8540" i="11"/>
  <c r="D8572" i="11"/>
  <c r="C8572" i="11"/>
  <c r="D8604" i="11"/>
  <c r="C8604" i="11"/>
  <c r="D8636" i="11"/>
  <c r="C8636" i="11"/>
  <c r="D8668" i="11"/>
  <c r="C8668" i="11"/>
  <c r="D8700" i="11"/>
  <c r="C8700" i="11"/>
  <c r="D8732" i="11"/>
  <c r="C8732" i="11"/>
  <c r="D8764" i="11"/>
  <c r="C8764" i="11"/>
  <c r="D8796" i="11"/>
  <c r="C8796" i="11"/>
  <c r="D8828" i="11"/>
  <c r="C8828" i="11"/>
  <c r="D8860" i="11"/>
  <c r="C8860" i="11"/>
  <c r="D8892" i="11"/>
  <c r="C8892" i="11"/>
  <c r="C3002" i="11"/>
  <c r="D3002" i="11"/>
  <c r="C3690" i="11"/>
  <c r="D3690" i="11"/>
  <c r="C3946" i="11"/>
  <c r="D3946" i="11"/>
  <c r="C4202" i="11"/>
  <c r="D4202" i="11"/>
  <c r="C4458" i="11"/>
  <c r="D4458" i="11"/>
  <c r="D5332" i="11"/>
  <c r="C5332" i="11"/>
  <c r="D5396" i="11"/>
  <c r="C5396" i="11"/>
  <c r="D5460" i="11"/>
  <c r="C5460" i="11"/>
  <c r="C5716" i="11"/>
  <c r="D5716" i="11"/>
  <c r="D5780" i="11"/>
  <c r="C5780" i="11"/>
  <c r="C7576" i="11"/>
  <c r="D7576" i="11"/>
  <c r="D7704" i="11"/>
  <c r="C7704" i="11"/>
  <c r="D7768" i="11"/>
  <c r="C7768" i="11"/>
  <c r="D7960" i="11"/>
  <c r="C7960" i="11"/>
  <c r="D7992" i="11"/>
  <c r="C7992" i="11"/>
  <c r="C8024" i="11"/>
  <c r="D8024" i="11"/>
  <c r="C8056" i="11"/>
  <c r="D8056" i="11"/>
  <c r="C8120" i="11"/>
  <c r="D8120" i="11"/>
  <c r="D8376" i="11"/>
  <c r="C8376" i="11"/>
  <c r="D8504" i="11"/>
  <c r="C8504" i="11"/>
  <c r="D8664" i="11"/>
  <c r="C8664" i="11"/>
  <c r="D8792" i="11"/>
  <c r="C8792" i="11"/>
  <c r="D8920" i="11"/>
  <c r="C8920" i="11"/>
  <c r="D8984" i="11"/>
  <c r="C8984" i="11"/>
  <c r="D9048" i="11"/>
  <c r="C9048" i="11"/>
  <c r="D9112" i="11"/>
  <c r="C9112" i="11"/>
  <c r="D9176" i="11"/>
  <c r="C9176" i="11"/>
  <c r="D9304" i="11"/>
  <c r="C9304" i="11"/>
  <c r="D9368" i="11"/>
  <c r="C9368" i="11"/>
  <c r="D9400" i="11"/>
  <c r="C9400" i="11"/>
  <c r="D9464" i="11"/>
  <c r="C9464" i="11"/>
  <c r="D9496" i="11"/>
  <c r="C9496" i="11"/>
  <c r="D9656" i="11"/>
  <c r="C9656" i="11"/>
  <c r="D9752" i="11"/>
  <c r="C9752" i="11"/>
  <c r="D9784" i="11"/>
  <c r="C9784" i="11"/>
  <c r="D9880" i="11"/>
  <c r="C9880" i="11"/>
  <c r="D9912" i="11"/>
  <c r="C9912" i="11"/>
  <c r="D9976" i="11"/>
  <c r="C9976" i="11"/>
  <c r="D10008" i="11"/>
  <c r="C10008" i="11"/>
  <c r="C9981" i="11"/>
  <c r="D9981" i="11"/>
  <c r="C9869" i="11"/>
  <c r="D9869" i="11"/>
  <c r="C9853" i="11"/>
  <c r="D9853" i="11"/>
  <c r="C9837" i="11"/>
  <c r="D9837" i="11"/>
  <c r="C9773" i="11"/>
  <c r="D9773" i="11"/>
  <c r="C9757" i="11"/>
  <c r="D9757" i="11"/>
  <c r="C9661" i="11"/>
  <c r="D9661" i="11"/>
  <c r="C9645" i="11"/>
  <c r="D9645" i="11"/>
  <c r="C9565" i="11"/>
  <c r="D9565" i="11"/>
  <c r="C9517" i="11"/>
  <c r="D9517" i="11"/>
  <c r="C9501" i="11"/>
  <c r="D9501" i="11"/>
  <c r="C9373" i="11"/>
  <c r="D9373" i="11"/>
  <c r="C9229" i="11"/>
  <c r="D9229" i="11"/>
  <c r="C9213" i="11"/>
  <c r="D9213" i="11"/>
  <c r="C9197" i="11"/>
  <c r="D9197" i="11"/>
  <c r="C9165" i="11"/>
  <c r="D9165" i="11"/>
  <c r="C9149" i="11"/>
  <c r="D9149" i="11"/>
  <c r="C9133" i="11"/>
  <c r="D9133" i="11"/>
  <c r="C9101" i="11"/>
  <c r="D9101" i="11"/>
  <c r="C9085" i="11"/>
  <c r="D9085" i="11"/>
  <c r="C9069" i="11"/>
  <c r="D9069" i="11"/>
  <c r="C9037" i="11"/>
  <c r="D9037" i="11"/>
  <c r="C8973" i="11"/>
  <c r="D8973" i="11"/>
  <c r="C8941" i="11"/>
  <c r="D8941" i="11"/>
  <c r="C8893" i="11"/>
  <c r="D8893" i="11"/>
  <c r="C8845" i="11"/>
  <c r="D8845" i="11"/>
  <c r="C8813" i="11"/>
  <c r="D8813" i="11"/>
  <c r="C8781" i="11"/>
  <c r="D8781" i="11"/>
  <c r="C8749" i="11"/>
  <c r="D8749" i="11"/>
  <c r="C8717" i="11"/>
  <c r="D8717" i="11"/>
  <c r="C8701" i="11"/>
  <c r="D8701" i="11"/>
  <c r="C8685" i="11"/>
  <c r="D8685" i="11"/>
  <c r="C8637" i="11"/>
  <c r="D8637" i="11"/>
  <c r="C8573" i="11"/>
  <c r="D8573" i="11"/>
  <c r="C8525" i="11"/>
  <c r="D8525" i="11"/>
  <c r="C8509" i="11"/>
  <c r="D8509" i="11"/>
  <c r="C8461" i="11"/>
  <c r="D8461" i="11"/>
  <c r="C8429" i="11"/>
  <c r="D8429" i="11"/>
  <c r="C8381" i="11"/>
  <c r="D8381" i="11"/>
  <c r="C8349" i="11"/>
  <c r="D8349" i="11"/>
  <c r="C8333" i="11"/>
  <c r="D8333" i="11"/>
  <c r="C8317" i="11"/>
  <c r="D8317" i="11"/>
  <c r="C8301" i="11"/>
  <c r="D8301" i="11"/>
  <c r="C8269" i="11"/>
  <c r="D8269" i="11"/>
  <c r="C8253" i="11"/>
  <c r="D8253" i="11"/>
  <c r="C8077" i="11"/>
  <c r="D8077" i="11"/>
  <c r="C8061" i="11"/>
  <c r="D8061" i="11"/>
  <c r="C7981" i="11"/>
  <c r="D7981" i="11"/>
  <c r="C7965" i="11"/>
  <c r="D7965" i="11"/>
  <c r="C7949" i="11"/>
  <c r="D7949" i="11"/>
  <c r="C7933" i="11"/>
  <c r="D7933" i="11"/>
  <c r="C7853" i="11"/>
  <c r="D7853" i="11"/>
  <c r="C7837" i="11"/>
  <c r="D7837" i="11"/>
  <c r="C7629" i="11"/>
  <c r="D7629" i="11"/>
  <c r="C7613" i="11"/>
  <c r="D7613" i="11"/>
  <c r="C7501" i="11"/>
  <c r="D7501" i="11"/>
  <c r="C7485" i="11"/>
  <c r="D7485" i="11"/>
  <c r="C7469" i="11"/>
  <c r="D7469" i="11"/>
  <c r="C7453" i="11"/>
  <c r="D7453" i="11"/>
  <c r="C7437" i="11"/>
  <c r="D7437" i="11"/>
  <c r="C7309" i="11"/>
  <c r="D7309" i="11"/>
  <c r="C7289" i="11"/>
  <c r="D7289" i="11"/>
  <c r="D7268" i="11"/>
  <c r="C7268" i="11"/>
  <c r="D7246" i="11"/>
  <c r="C7246" i="11"/>
  <c r="C7225" i="11"/>
  <c r="D7225" i="11"/>
  <c r="C7161" i="11"/>
  <c r="D7161" i="11"/>
  <c r="D7118" i="11"/>
  <c r="C7118" i="11"/>
  <c r="D7097" i="11"/>
  <c r="C7097" i="11"/>
  <c r="D7076" i="11"/>
  <c r="C7076" i="11"/>
  <c r="D6990" i="11"/>
  <c r="C6990" i="11"/>
  <c r="D6948" i="11"/>
  <c r="C6948" i="11"/>
  <c r="D6884" i="11"/>
  <c r="C6884" i="11"/>
  <c r="D6862" i="11"/>
  <c r="C6862" i="11"/>
  <c r="C6841" i="11"/>
  <c r="D6841" i="11"/>
  <c r="D6777" i="11"/>
  <c r="C6777" i="11"/>
  <c r="C6713" i="11"/>
  <c r="D6713" i="11"/>
  <c r="D6670" i="11"/>
  <c r="C6670" i="11"/>
  <c r="D6606" i="11"/>
  <c r="C6606" i="11"/>
  <c r="D6270" i="11"/>
  <c r="C6270" i="11"/>
  <c r="D6206" i="11"/>
  <c r="C6206" i="11"/>
  <c r="D6174" i="11"/>
  <c r="C6174" i="11"/>
  <c r="D6142" i="11"/>
  <c r="C6142" i="11"/>
  <c r="D6014" i="11"/>
  <c r="C6014" i="11"/>
  <c r="D5982" i="11"/>
  <c r="C5982" i="11"/>
  <c r="D5950" i="11"/>
  <c r="C5950" i="11"/>
  <c r="D5854" i="11"/>
  <c r="C5854" i="11"/>
  <c r="D5790" i="11"/>
  <c r="C5790" i="11"/>
  <c r="D5694" i="11"/>
  <c r="C5694" i="11"/>
  <c r="D5598" i="11"/>
  <c r="C5598" i="11"/>
  <c r="C5534" i="11"/>
  <c r="D5534" i="11"/>
  <c r="C5470" i="11"/>
  <c r="D5470" i="11"/>
  <c r="D5374" i="11"/>
  <c r="C5374" i="11"/>
  <c r="C5310" i="11"/>
  <c r="D5310" i="11"/>
  <c r="D5246" i="11"/>
  <c r="C5246" i="11"/>
  <c r="D5204" i="11"/>
  <c r="C5204" i="11"/>
  <c r="C5162" i="11"/>
  <c r="D5162" i="11"/>
  <c r="D5054" i="11"/>
  <c r="C5054" i="11"/>
  <c r="D4926" i="11"/>
  <c r="C4926" i="11"/>
  <c r="D4798" i="11"/>
  <c r="C4798" i="11"/>
  <c r="D4606" i="11"/>
  <c r="C4606" i="11"/>
  <c r="C4542" i="11"/>
  <c r="D4542" i="11"/>
  <c r="C4414" i="11"/>
  <c r="D4414" i="11"/>
  <c r="D4222" i="11"/>
  <c r="C4222" i="11"/>
  <c r="C4158" i="11"/>
  <c r="D4158" i="11"/>
  <c r="C4094" i="11"/>
  <c r="D4094" i="11"/>
  <c r="C4030" i="11"/>
  <c r="D4030" i="11"/>
  <c r="D3966" i="11"/>
  <c r="C3966" i="11"/>
  <c r="D3774" i="11"/>
  <c r="C3774" i="11"/>
  <c r="D3710" i="11"/>
  <c r="C3710" i="11"/>
  <c r="C3638" i="11"/>
  <c r="D3638" i="11"/>
  <c r="D3552" i="11"/>
  <c r="C3552" i="11"/>
  <c r="C3382" i="11"/>
  <c r="D3382" i="11"/>
  <c r="D3211" i="11"/>
  <c r="C3211" i="11"/>
  <c r="C3126" i="11"/>
  <c r="D3126" i="11"/>
  <c r="C3040" i="11"/>
  <c r="D3040" i="11"/>
  <c r="C2786" i="11"/>
  <c r="D2786" i="11"/>
  <c r="D2658" i="11"/>
  <c r="C2658" i="11"/>
  <c r="C2402" i="11"/>
  <c r="D2402" i="11"/>
  <c r="C2092" i="11"/>
  <c r="D2092" i="11"/>
  <c r="C10007" i="11"/>
  <c r="D10007" i="11"/>
  <c r="C9991" i="11"/>
  <c r="D9991" i="11"/>
  <c r="C9959" i="11"/>
  <c r="D9959" i="11"/>
  <c r="C9895" i="11"/>
  <c r="D9895" i="11"/>
  <c r="C9815" i="11"/>
  <c r="D9815" i="11"/>
  <c r="C9783" i="11"/>
  <c r="D9783" i="11"/>
  <c r="C9751" i="11"/>
  <c r="D9751" i="11"/>
  <c r="C9735" i="11"/>
  <c r="D9735" i="11"/>
  <c r="C9703" i="11"/>
  <c r="D9703" i="11"/>
  <c r="C9639" i="11"/>
  <c r="D9639" i="11"/>
  <c r="C9623" i="11"/>
  <c r="D9623" i="11"/>
  <c r="C9607" i="11"/>
  <c r="D9607" i="11"/>
  <c r="C9591" i="11"/>
  <c r="D9591" i="11"/>
  <c r="C9575" i="11"/>
  <c r="D9575" i="11"/>
  <c r="C9559" i="11"/>
  <c r="D9559" i="11"/>
  <c r="C9543" i="11"/>
  <c r="D9543" i="11"/>
  <c r="C9527" i="11"/>
  <c r="D9527" i="11"/>
  <c r="C9511" i="11"/>
  <c r="D9511" i="11"/>
  <c r="C9495" i="11"/>
  <c r="D9495" i="11"/>
  <c r="C9479" i="11"/>
  <c r="D9479" i="11"/>
  <c r="C9463" i="11"/>
  <c r="D9463" i="11"/>
  <c r="C9447" i="11"/>
  <c r="D9447" i="11"/>
  <c r="C9431" i="11"/>
  <c r="D9431" i="11"/>
  <c r="C9415" i="11"/>
  <c r="D9415" i="11"/>
  <c r="C9399" i="11"/>
  <c r="D9399" i="11"/>
  <c r="C9383" i="11"/>
  <c r="D9383" i="11"/>
  <c r="C9367" i="11"/>
  <c r="D9367" i="11"/>
  <c r="C9351" i="11"/>
  <c r="D9351" i="11"/>
  <c r="C9335" i="11"/>
  <c r="D9335" i="11"/>
  <c r="C9319" i="11"/>
  <c r="D9319" i="11"/>
  <c r="C9303" i="11"/>
  <c r="D9303" i="11"/>
  <c r="C9287" i="11"/>
  <c r="D9287" i="11"/>
  <c r="C9271" i="11"/>
  <c r="D9271" i="11"/>
  <c r="C9255" i="11"/>
  <c r="D9255" i="11"/>
  <c r="C9239" i="11"/>
  <c r="D9239" i="11"/>
  <c r="C9223" i="11"/>
  <c r="D9223" i="11"/>
  <c r="C9207" i="11"/>
  <c r="D9207" i="11"/>
  <c r="C9191" i="11"/>
  <c r="D9191" i="11"/>
  <c r="C9175" i="11"/>
  <c r="D9175" i="11"/>
  <c r="C9159" i="11"/>
  <c r="D9159" i="11"/>
  <c r="C9143" i="11"/>
  <c r="D9143" i="11"/>
  <c r="C9127" i="11"/>
  <c r="D9127" i="11"/>
  <c r="C9111" i="11"/>
  <c r="D9111" i="11"/>
  <c r="C9095" i="11"/>
  <c r="D9095" i="11"/>
  <c r="C9079" i="11"/>
  <c r="D9079" i="11"/>
  <c r="C9063" i="11"/>
  <c r="D9063" i="11"/>
  <c r="C9047" i="11"/>
  <c r="D9047" i="11"/>
  <c r="C9031" i="11"/>
  <c r="D9031" i="11"/>
  <c r="C9015" i="11"/>
  <c r="D9015" i="11"/>
  <c r="C8999" i="11"/>
  <c r="D8999" i="11"/>
  <c r="C8983" i="11"/>
  <c r="D8983" i="11"/>
  <c r="C8967" i="11"/>
  <c r="D8967" i="11"/>
  <c r="C8951" i="11"/>
  <c r="D8951" i="11"/>
  <c r="C8935" i="11"/>
  <c r="D8935" i="11"/>
  <c r="C8919" i="11"/>
  <c r="D8919" i="11"/>
  <c r="C8903" i="11"/>
  <c r="D8903" i="11"/>
  <c r="C8887" i="11"/>
  <c r="D8887" i="11"/>
  <c r="C8871" i="11"/>
  <c r="D8871" i="11"/>
  <c r="C8855" i="11"/>
  <c r="D8855" i="11"/>
  <c r="C8839" i="11"/>
  <c r="D8839" i="11"/>
  <c r="C8823" i="11"/>
  <c r="D8823" i="11"/>
  <c r="C8807" i="11"/>
  <c r="D8807" i="11"/>
  <c r="C8791" i="11"/>
  <c r="D8791" i="11"/>
  <c r="C8775" i="11"/>
  <c r="D8775" i="11"/>
  <c r="C8759" i="11"/>
  <c r="D8759" i="11"/>
  <c r="C8743" i="11"/>
  <c r="D8743" i="11"/>
  <c r="C8727" i="11"/>
  <c r="D8727" i="11"/>
  <c r="C8711" i="11"/>
  <c r="D8711" i="11"/>
  <c r="C8695" i="11"/>
  <c r="D8695" i="11"/>
  <c r="C8679" i="11"/>
  <c r="D8679" i="11"/>
  <c r="C8663" i="11"/>
  <c r="D8663" i="11"/>
  <c r="C8647" i="11"/>
  <c r="D8647" i="11"/>
  <c r="C8631" i="11"/>
  <c r="D8631" i="11"/>
  <c r="C8615" i="11"/>
  <c r="D8615" i="11"/>
  <c r="C8599" i="11"/>
  <c r="D8599" i="11"/>
  <c r="C8583" i="11"/>
  <c r="D8583" i="11"/>
  <c r="C8567" i="11"/>
  <c r="D8567" i="11"/>
  <c r="C8551" i="11"/>
  <c r="D8551" i="11"/>
  <c r="C8535" i="11"/>
  <c r="D8535" i="11"/>
  <c r="C8519" i="11"/>
  <c r="D8519" i="11"/>
  <c r="C8503" i="11"/>
  <c r="D8503" i="11"/>
  <c r="C8487" i="11"/>
  <c r="D8487" i="11"/>
  <c r="C8471" i="11"/>
  <c r="D8471" i="11"/>
  <c r="C8455" i="11"/>
  <c r="D8455" i="11"/>
  <c r="C8439" i="11"/>
  <c r="D8439" i="11"/>
  <c r="C8423" i="11"/>
  <c r="D8423" i="11"/>
  <c r="C8407" i="11"/>
  <c r="D8407" i="11"/>
  <c r="C8391" i="11"/>
  <c r="D8391" i="11"/>
  <c r="C8375" i="11"/>
  <c r="D8375" i="11"/>
  <c r="C8359" i="11"/>
  <c r="D8359" i="11"/>
  <c r="C8343" i="11"/>
  <c r="D8343" i="11"/>
  <c r="C8327" i="11"/>
  <c r="D8327" i="11"/>
  <c r="C8311" i="11"/>
  <c r="D8311" i="11"/>
  <c r="C8295" i="11"/>
  <c r="D8295" i="11"/>
  <c r="C8279" i="11"/>
  <c r="D8279" i="11"/>
  <c r="C8263" i="11"/>
  <c r="D8263" i="11"/>
  <c r="C8247" i="11"/>
  <c r="D8247" i="11"/>
  <c r="C8231" i="11"/>
  <c r="D8231" i="11"/>
  <c r="C8215" i="11"/>
  <c r="D8215" i="11"/>
  <c r="C8199" i="11"/>
  <c r="D8199" i="11"/>
  <c r="C8183" i="11"/>
  <c r="D8183" i="11"/>
  <c r="C8151" i="11"/>
  <c r="D8151" i="11"/>
  <c r="C8039" i="11"/>
  <c r="D8039" i="11"/>
  <c r="C8023" i="11"/>
  <c r="D8023" i="11"/>
  <c r="C7959" i="11"/>
  <c r="D7959" i="11"/>
  <c r="C7943" i="11"/>
  <c r="D7943" i="11"/>
  <c r="C7911" i="11"/>
  <c r="D7911" i="11"/>
  <c r="C7879" i="11"/>
  <c r="D7879" i="11"/>
  <c r="C7863" i="11"/>
  <c r="D7863" i="11"/>
  <c r="C7847" i="11"/>
  <c r="D7847" i="11"/>
  <c r="D7831" i="11"/>
  <c r="C7831" i="11"/>
  <c r="D7799" i="11"/>
  <c r="C7799" i="11"/>
  <c r="C7767" i="11"/>
  <c r="D7767" i="11"/>
  <c r="C7719" i="11"/>
  <c r="D7719" i="11"/>
  <c r="C7703" i="11"/>
  <c r="D7703" i="11"/>
  <c r="C7687" i="11"/>
  <c r="D7687" i="11"/>
  <c r="C7639" i="11"/>
  <c r="D7639" i="11"/>
  <c r="D7543" i="11"/>
  <c r="C7543" i="11"/>
  <c r="C7527" i="11"/>
  <c r="D7527" i="11"/>
  <c r="C7511" i="11"/>
  <c r="D7511" i="11"/>
  <c r="C7495" i="11"/>
  <c r="D7495" i="11"/>
  <c r="C7479" i="11"/>
  <c r="D7479" i="11"/>
  <c r="C7463" i="11"/>
  <c r="D7463" i="11"/>
  <c r="D7447" i="11"/>
  <c r="C7447" i="11"/>
  <c r="D7415" i="11"/>
  <c r="C7415" i="11"/>
  <c r="C7399" i="11"/>
  <c r="D7399" i="11"/>
  <c r="C7367" i="11"/>
  <c r="D7367" i="11"/>
  <c r="C7335" i="11"/>
  <c r="D7335" i="11"/>
  <c r="D7260" i="11"/>
  <c r="C7260" i="11"/>
  <c r="D7238" i="11"/>
  <c r="C7238" i="11"/>
  <c r="D7217" i="11"/>
  <c r="C7217" i="11"/>
  <c r="C7196" i="11"/>
  <c r="D7196" i="11"/>
  <c r="D7153" i="11"/>
  <c r="C7153" i="11"/>
  <c r="C7132" i="11"/>
  <c r="D7132" i="11"/>
  <c r="C7110" i="11"/>
  <c r="D7110" i="11"/>
  <c r="C7089" i="11"/>
  <c r="D7089" i="11"/>
  <c r="D7046" i="11"/>
  <c r="C7046" i="11"/>
  <c r="C7025" i="11"/>
  <c r="D7025" i="11"/>
  <c r="D6961" i="11"/>
  <c r="C6961" i="11"/>
  <c r="C6918" i="11"/>
  <c r="D6918" i="11"/>
  <c r="D6897" i="11"/>
  <c r="C6897" i="11"/>
  <c r="D6854" i="11"/>
  <c r="C6854" i="11"/>
  <c r="C6833" i="11"/>
  <c r="D6833" i="11"/>
  <c r="C6790" i="11"/>
  <c r="D6790" i="11"/>
  <c r="C6769" i="11"/>
  <c r="D6769" i="11"/>
  <c r="D6726" i="11"/>
  <c r="C6726" i="11"/>
  <c r="C6705" i="11"/>
  <c r="D6705" i="11"/>
  <c r="C6684" i="11"/>
  <c r="D6684" i="11"/>
  <c r="C6641" i="11"/>
  <c r="D6641" i="11"/>
  <c r="D6598" i="11"/>
  <c r="C6598" i="11"/>
  <c r="C6546" i="11"/>
  <c r="D6546" i="11"/>
  <c r="C6482" i="11"/>
  <c r="D6482" i="11"/>
  <c r="C6450" i="11"/>
  <c r="D6450" i="11"/>
  <c r="D6386" i="11"/>
  <c r="C6386" i="11"/>
  <c r="D6354" i="11"/>
  <c r="C6354" i="11"/>
  <c r="D6290" i="11"/>
  <c r="C6290" i="11"/>
  <c r="D6258" i="11"/>
  <c r="C6258" i="11"/>
  <c r="D6130" i="11"/>
  <c r="C6130" i="11"/>
  <c r="C6098" i="11"/>
  <c r="D6098" i="11"/>
  <c r="C6034" i="11"/>
  <c r="D6034" i="11"/>
  <c r="D6002" i="11"/>
  <c r="C6002" i="11"/>
  <c r="C5970" i="11"/>
  <c r="D5970" i="11"/>
  <c r="D5906" i="11"/>
  <c r="C5906" i="11"/>
  <c r="D5874" i="11"/>
  <c r="C5874" i="11"/>
  <c r="C5778" i="11"/>
  <c r="D5778" i="11"/>
  <c r="D5746" i="11"/>
  <c r="C5746" i="11"/>
  <c r="C5714" i="11"/>
  <c r="D5714" i="11"/>
  <c r="C5682" i="11"/>
  <c r="D5682" i="11"/>
  <c r="D5618" i="11"/>
  <c r="C5618" i="11"/>
  <c r="C5586" i="11"/>
  <c r="D5586" i="11"/>
  <c r="C5554" i="11"/>
  <c r="D5554" i="11"/>
  <c r="C5522" i="11"/>
  <c r="D5522" i="11"/>
  <c r="C5490" i="11"/>
  <c r="D5490" i="11"/>
  <c r="D5458" i="11"/>
  <c r="C5458" i="11"/>
  <c r="C5394" i="11"/>
  <c r="D5394" i="11"/>
  <c r="D5362" i="11"/>
  <c r="C5362" i="11"/>
  <c r="C5298" i="11"/>
  <c r="D5298" i="11"/>
  <c r="C5266" i="11"/>
  <c r="D5266" i="11"/>
  <c r="D5231" i="11"/>
  <c r="C5231" i="11"/>
  <c r="D5030" i="11"/>
  <c r="C5030" i="11"/>
  <c r="C4966" i="11"/>
  <c r="D4966" i="11"/>
  <c r="D4902" i="11"/>
  <c r="C4902" i="11"/>
  <c r="D4774" i="11"/>
  <c r="C4774" i="11"/>
  <c r="D4710" i="11"/>
  <c r="C4710" i="11"/>
  <c r="C4454" i="11"/>
  <c r="D4454" i="11"/>
  <c r="D4326" i="11"/>
  <c r="C4326" i="11"/>
  <c r="C4134" i="11"/>
  <c r="D4134" i="11"/>
  <c r="C4070" i="11"/>
  <c r="D4070" i="11"/>
  <c r="C3942" i="11"/>
  <c r="D3942" i="11"/>
  <c r="D3814" i="11"/>
  <c r="C3814" i="11"/>
  <c r="C3606" i="11"/>
  <c r="D3606" i="11"/>
  <c r="C3435" i="11"/>
  <c r="D3435" i="11"/>
  <c r="C3094" i="11"/>
  <c r="D3094" i="11"/>
  <c r="C2994" i="11"/>
  <c r="D2994" i="11"/>
  <c r="D2866" i="11"/>
  <c r="C2866" i="11"/>
  <c r="C2738" i="11"/>
  <c r="D2738" i="11"/>
  <c r="C2610" i="11"/>
  <c r="D2610" i="11"/>
  <c r="C2482" i="11"/>
  <c r="D2482" i="11"/>
  <c r="D2198" i="11"/>
  <c r="C2198" i="11"/>
  <c r="D2008" i="11"/>
  <c r="C2008" i="11"/>
  <c r="C782" i="11"/>
  <c r="D782" i="11"/>
  <c r="D7295" i="11"/>
  <c r="C7295" i="11"/>
  <c r="D7279" i="11"/>
  <c r="C7279" i="11"/>
  <c r="C7247" i="11"/>
  <c r="D7247" i="11"/>
  <c r="C7231" i="11"/>
  <c r="D7231" i="11"/>
  <c r="C7215" i="11"/>
  <c r="D7215" i="11"/>
  <c r="C7199" i="11"/>
  <c r="D7199" i="11"/>
  <c r="C7151" i="11"/>
  <c r="D7151" i="11"/>
  <c r="C7135" i="11"/>
  <c r="D7135" i="11"/>
  <c r="C7103" i="11"/>
  <c r="D7103" i="11"/>
  <c r="C7087" i="11"/>
  <c r="D7087" i="11"/>
  <c r="C7071" i="11"/>
  <c r="D7071" i="11"/>
  <c r="C7023" i="11"/>
  <c r="D7023" i="11"/>
  <c r="C7007" i="11"/>
  <c r="D7007" i="11"/>
  <c r="C6991" i="11"/>
  <c r="D6991" i="11"/>
  <c r="C6975" i="11"/>
  <c r="D6975" i="11"/>
  <c r="C6959" i="11"/>
  <c r="D6959" i="11"/>
  <c r="C6943" i="11"/>
  <c r="D6943" i="11"/>
  <c r="C6895" i="11"/>
  <c r="D6895" i="11"/>
  <c r="C6879" i="11"/>
  <c r="D6879" i="11"/>
  <c r="C6847" i="11"/>
  <c r="D6847" i="11"/>
  <c r="C6831" i="11"/>
  <c r="D6831" i="11"/>
  <c r="C6815" i="11"/>
  <c r="D6815" i="11"/>
  <c r="C6767" i="11"/>
  <c r="D6767" i="11"/>
  <c r="C6751" i="11"/>
  <c r="D6751" i="11"/>
  <c r="C6735" i="11"/>
  <c r="D6735" i="11"/>
  <c r="C6719" i="11"/>
  <c r="D6719" i="11"/>
  <c r="C6703" i="11"/>
  <c r="D6703" i="11"/>
  <c r="C6687" i="11"/>
  <c r="D6687" i="11"/>
  <c r="C6639" i="11"/>
  <c r="D6639" i="11"/>
  <c r="C6623" i="11"/>
  <c r="D6623" i="11"/>
  <c r="C6591" i="11"/>
  <c r="D6591" i="11"/>
  <c r="C6575" i="11"/>
  <c r="D6575" i="11"/>
  <c r="C6543" i="11"/>
  <c r="D6543" i="11"/>
  <c r="C6511" i="11"/>
  <c r="D6511" i="11"/>
  <c r="C6479" i="11"/>
  <c r="D6479" i="11"/>
  <c r="C6447" i="11"/>
  <c r="D6447" i="11"/>
  <c r="C6415" i="11"/>
  <c r="D6415" i="11"/>
  <c r="C6383" i="11"/>
  <c r="D6383" i="11"/>
  <c r="C6351" i="11"/>
  <c r="D6351" i="11"/>
  <c r="C6319" i="11"/>
  <c r="D6319" i="11"/>
  <c r="C6287" i="11"/>
  <c r="D6287" i="11"/>
  <c r="C6239" i="11"/>
  <c r="D6239" i="11"/>
  <c r="C6223" i="11"/>
  <c r="D6223" i="11"/>
  <c r="C6175" i="11"/>
  <c r="D6175" i="11"/>
  <c r="C6159" i="11"/>
  <c r="D6159" i="11"/>
  <c r="C6111" i="11"/>
  <c r="D6111" i="11"/>
  <c r="C6095" i="11"/>
  <c r="D6095" i="11"/>
  <c r="C6047" i="11"/>
  <c r="D6047" i="11"/>
  <c r="C6031" i="11"/>
  <c r="D6031" i="11"/>
  <c r="C5983" i="11"/>
  <c r="D5983" i="11"/>
  <c r="C5967" i="11"/>
  <c r="D5967" i="11"/>
  <c r="C5919" i="11"/>
  <c r="D5919" i="11"/>
  <c r="C5903" i="11"/>
  <c r="D5903" i="11"/>
  <c r="C5855" i="11"/>
  <c r="D5855" i="11"/>
  <c r="C5839" i="11"/>
  <c r="D5839" i="11"/>
  <c r="C5791" i="11"/>
  <c r="D5791" i="11"/>
  <c r="C5759" i="11"/>
  <c r="D5759" i="11"/>
  <c r="C5743" i="11"/>
  <c r="D5743" i="11"/>
  <c r="C5727" i="11"/>
  <c r="D5727" i="11"/>
  <c r="D5695" i="11"/>
  <c r="C5695" i="11"/>
  <c r="D5679" i="11"/>
  <c r="C5679" i="11"/>
  <c r="D5663" i="11"/>
  <c r="C5663" i="11"/>
  <c r="D5631" i="11"/>
  <c r="C5631" i="11"/>
  <c r="D5615" i="11"/>
  <c r="C5615" i="11"/>
  <c r="D5599" i="11"/>
  <c r="C5599" i="11"/>
  <c r="C5535" i="11"/>
  <c r="D5535" i="11"/>
  <c r="C5471" i="11"/>
  <c r="D5471" i="11"/>
  <c r="D5455" i="11"/>
  <c r="C5455" i="11"/>
  <c r="C5439" i="11"/>
  <c r="D5439" i="11"/>
  <c r="C5423" i="11"/>
  <c r="D5423" i="11"/>
  <c r="D5407" i="11"/>
  <c r="C5407" i="11"/>
  <c r="C5391" i="11"/>
  <c r="D5391" i="11"/>
  <c r="C5359" i="11"/>
  <c r="D5359" i="11"/>
  <c r="C5343" i="11"/>
  <c r="D5343" i="11"/>
  <c r="C5327" i="11"/>
  <c r="D5327" i="11"/>
  <c r="C5295" i="11"/>
  <c r="D5295" i="11"/>
  <c r="D4544" i="11"/>
  <c r="C4544" i="11"/>
  <c r="D4416" i="11"/>
  <c r="C4416" i="11"/>
  <c r="D4288" i="11"/>
  <c r="C4288" i="11"/>
  <c r="D4160" i="11"/>
  <c r="C4160" i="11"/>
  <c r="D4032" i="11"/>
  <c r="C4032" i="11"/>
  <c r="D3904" i="11"/>
  <c r="C3904" i="11"/>
  <c r="D3776" i="11"/>
  <c r="C3776" i="11"/>
  <c r="C3555" i="11"/>
  <c r="D3555" i="11"/>
  <c r="C3512" i="11"/>
  <c r="D3512" i="11"/>
  <c r="D3470" i="11"/>
  <c r="C3470" i="11"/>
  <c r="D3427" i="11"/>
  <c r="C3427" i="11"/>
  <c r="D3214" i="11"/>
  <c r="C3214" i="11"/>
  <c r="D3171" i="11"/>
  <c r="C3171" i="11"/>
  <c r="D3086" i="11"/>
  <c r="C3086" i="11"/>
  <c r="C2790" i="11"/>
  <c r="D2790" i="11"/>
  <c r="C2726" i="11"/>
  <c r="D2726" i="11"/>
  <c r="C2662" i="11"/>
  <c r="D2662" i="11"/>
  <c r="C2598" i="11"/>
  <c r="D2598" i="11"/>
  <c r="C2534" i="11"/>
  <c r="D2534" i="11"/>
  <c r="D2342" i="11"/>
  <c r="C2342" i="11"/>
  <c r="C2268" i="11"/>
  <c r="D2268" i="11"/>
  <c r="C2182" i="11"/>
  <c r="D2182" i="11"/>
  <c r="D1873" i="11"/>
  <c r="C1873" i="11"/>
  <c r="D1636" i="11"/>
  <c r="C1636" i="11"/>
  <c r="C5765" i="11"/>
  <c r="D5765" i="11"/>
  <c r="C5733" i="11"/>
  <c r="D5733" i="11"/>
  <c r="C5717" i="11"/>
  <c r="D5717" i="11"/>
  <c r="C5685" i="11"/>
  <c r="D5685" i="11"/>
  <c r="D5669" i="11"/>
  <c r="C5669" i="11"/>
  <c r="D5653" i="11"/>
  <c r="C5653" i="11"/>
  <c r="C5637" i="11"/>
  <c r="D5637" i="11"/>
  <c r="C5605" i="11"/>
  <c r="D5605" i="11"/>
  <c r="C5589" i="11"/>
  <c r="D5589" i="11"/>
  <c r="D5573" i="11"/>
  <c r="C5573" i="11"/>
  <c r="D5557" i="11"/>
  <c r="C5557" i="11"/>
  <c r="C5235" i="11"/>
  <c r="D5235" i="11"/>
  <c r="D5171" i="11"/>
  <c r="C5171" i="11"/>
  <c r="D5100" i="11"/>
  <c r="C5100" i="11"/>
  <c r="D5036" i="11"/>
  <c r="C5036" i="11"/>
  <c r="D4972" i="11"/>
  <c r="C4972" i="11"/>
  <c r="D4844" i="11"/>
  <c r="C4844" i="11"/>
  <c r="D4652" i="11"/>
  <c r="C4652" i="11"/>
  <c r="D4524" i="11"/>
  <c r="C4524" i="11"/>
  <c r="D4492" i="11"/>
  <c r="C4492" i="11"/>
  <c r="D4460" i="11"/>
  <c r="C4460" i="11"/>
  <c r="D4396" i="11"/>
  <c r="C4396" i="11"/>
  <c r="C4364" i="11"/>
  <c r="D4364" i="11"/>
  <c r="C4300" i="11"/>
  <c r="D4300" i="11"/>
  <c r="D4268" i="11"/>
  <c r="C4268" i="11"/>
  <c r="C4236" i="11"/>
  <c r="D4236" i="11"/>
  <c r="C4204" i="11"/>
  <c r="D4204" i="11"/>
  <c r="C4172" i="11"/>
  <c r="D4172" i="11"/>
  <c r="D4140" i="11"/>
  <c r="C4140" i="11"/>
  <c r="D4044" i="11"/>
  <c r="C4044" i="11"/>
  <c r="D4012" i="11"/>
  <c r="C4012" i="11"/>
  <c r="D3948" i="11"/>
  <c r="C3948" i="11"/>
  <c r="D3916" i="11"/>
  <c r="C3916" i="11"/>
  <c r="D3884" i="11"/>
  <c r="C3884" i="11"/>
  <c r="C3852" i="11"/>
  <c r="D3852" i="11"/>
  <c r="C3788" i="11"/>
  <c r="D3788" i="11"/>
  <c r="D3756" i="11"/>
  <c r="C3756" i="11"/>
  <c r="C3724" i="11"/>
  <c r="D3724" i="11"/>
  <c r="C3692" i="11"/>
  <c r="D3692" i="11"/>
  <c r="D3614" i="11"/>
  <c r="C3614" i="11"/>
  <c r="C3528" i="11"/>
  <c r="D3528" i="11"/>
  <c r="D3358" i="11"/>
  <c r="C3358" i="11"/>
  <c r="C3272" i="11"/>
  <c r="D3272" i="11"/>
  <c r="D3102" i="11"/>
  <c r="C3102" i="11"/>
  <c r="D3059" i="11"/>
  <c r="C3059" i="11"/>
  <c r="D3006" i="11"/>
  <c r="C3006" i="11"/>
  <c r="D2942" i="11"/>
  <c r="C2942" i="11"/>
  <c r="C2878" i="11"/>
  <c r="D2878" i="11"/>
  <c r="D2686" i="11"/>
  <c r="C2686" i="11"/>
  <c r="D2622" i="11"/>
  <c r="C2622" i="11"/>
  <c r="C2558" i="11"/>
  <c r="D2558" i="11"/>
  <c r="C2430" i="11"/>
  <c r="D2430" i="11"/>
  <c r="D2366" i="11"/>
  <c r="C2366" i="11"/>
  <c r="C2129" i="11"/>
  <c r="D2129" i="11"/>
  <c r="D1916" i="11"/>
  <c r="C1916" i="11"/>
  <c r="C5209" i="11"/>
  <c r="D5209" i="11"/>
  <c r="D5161" i="11"/>
  <c r="C5161" i="11"/>
  <c r="C5081" i="11"/>
  <c r="D5081" i="11"/>
  <c r="D5033" i="11"/>
  <c r="C5033" i="11"/>
  <c r="C5017" i="11"/>
  <c r="D5017" i="11"/>
  <c r="C4889" i="11"/>
  <c r="D4889" i="11"/>
  <c r="C4809" i="11"/>
  <c r="D4809" i="11"/>
  <c r="C4761" i="11"/>
  <c r="D4761" i="11"/>
  <c r="C4697" i="11"/>
  <c r="D4697" i="11"/>
  <c r="C4681" i="11"/>
  <c r="D4681" i="11"/>
  <c r="C4569" i="11"/>
  <c r="D4569" i="11"/>
  <c r="C4553" i="11"/>
  <c r="D4553" i="11"/>
  <c r="C4537" i="11"/>
  <c r="D4537" i="11"/>
  <c r="C4521" i="11"/>
  <c r="D4521" i="11"/>
  <c r="D4505" i="11"/>
  <c r="C4505" i="11"/>
  <c r="D4473" i="11"/>
  <c r="C4473" i="11"/>
  <c r="D4457" i="11"/>
  <c r="C4457" i="11"/>
  <c r="C4425" i="11"/>
  <c r="D4425" i="11"/>
  <c r="C4409" i="11"/>
  <c r="D4409" i="11"/>
  <c r="C4393" i="11"/>
  <c r="D4393" i="11"/>
  <c r="D4377" i="11"/>
  <c r="C4377" i="11"/>
  <c r="C4361" i="11"/>
  <c r="D4361" i="11"/>
  <c r="C4345" i="11"/>
  <c r="D4345" i="11"/>
  <c r="C4329" i="11"/>
  <c r="D4329" i="11"/>
  <c r="C4313" i="11"/>
  <c r="D4313" i="11"/>
  <c r="C4297" i="11"/>
  <c r="D4297" i="11"/>
  <c r="C4281" i="11"/>
  <c r="D4281" i="11"/>
  <c r="C4265" i="11"/>
  <c r="D4265" i="11"/>
  <c r="C4249" i="11"/>
  <c r="D4249" i="11"/>
  <c r="C4233" i="11"/>
  <c r="D4233" i="11"/>
  <c r="C4217" i="11"/>
  <c r="D4217" i="11"/>
  <c r="C4201" i="11"/>
  <c r="D4201" i="11"/>
  <c r="C4185" i="11"/>
  <c r="D4185" i="11"/>
  <c r="C4169" i="11"/>
  <c r="D4169" i="11"/>
  <c r="C4153" i="11"/>
  <c r="D4153" i="11"/>
  <c r="C4137" i="11"/>
  <c r="D4137" i="11"/>
  <c r="C4121" i="11"/>
  <c r="D4121" i="11"/>
  <c r="C4105" i="11"/>
  <c r="D4105" i="11"/>
  <c r="C4089" i="11"/>
  <c r="D4089" i="11"/>
  <c r="C4073" i="11"/>
  <c r="D4073" i="11"/>
  <c r="C4057" i="11"/>
  <c r="D4057" i="11"/>
  <c r="C4041" i="11"/>
  <c r="D4041" i="11"/>
  <c r="C4025" i="11"/>
  <c r="D4025" i="11"/>
  <c r="C4009" i="11"/>
  <c r="D4009" i="11"/>
  <c r="C3993" i="11"/>
  <c r="D3993" i="11"/>
  <c r="C3977" i="11"/>
  <c r="D3977" i="11"/>
  <c r="C3961" i="11"/>
  <c r="D3961" i="11"/>
  <c r="C3945" i="11"/>
  <c r="D3945" i="11"/>
  <c r="C3929" i="11"/>
  <c r="D3929" i="11"/>
  <c r="C3913" i="11"/>
  <c r="D3913" i="11"/>
  <c r="C3897" i="11"/>
  <c r="D3897" i="11"/>
  <c r="C3881" i="11"/>
  <c r="D3881" i="11"/>
  <c r="C3865" i="11"/>
  <c r="D3865" i="11"/>
  <c r="C3849" i="11"/>
  <c r="D3849" i="11"/>
  <c r="C3833" i="11"/>
  <c r="D3833" i="11"/>
  <c r="C3817" i="11"/>
  <c r="D3817" i="11"/>
  <c r="C3801" i="11"/>
  <c r="D3801" i="11"/>
  <c r="C3785" i="11"/>
  <c r="D3785" i="11"/>
  <c r="C3769" i="11"/>
  <c r="D3769" i="11"/>
  <c r="C3753" i="11"/>
  <c r="D3753" i="11"/>
  <c r="C3737" i="11"/>
  <c r="D3737" i="11"/>
  <c r="C3721" i="11"/>
  <c r="D3721" i="11"/>
  <c r="C3705" i="11"/>
  <c r="D3705" i="11"/>
  <c r="C3689" i="11"/>
  <c r="D3689" i="11"/>
  <c r="C3673" i="11"/>
  <c r="D3673" i="11"/>
  <c r="C3652" i="11"/>
  <c r="D3652" i="11"/>
  <c r="C3631" i="11"/>
  <c r="D3631" i="11"/>
  <c r="C3567" i="11"/>
  <c r="D3567" i="11"/>
  <c r="C3524" i="11"/>
  <c r="D3524" i="11"/>
  <c r="C3460" i="11"/>
  <c r="D3460" i="11"/>
  <c r="C3439" i="11"/>
  <c r="D3439" i="11"/>
  <c r="C3311" i="11"/>
  <c r="D3311" i="11"/>
  <c r="C3268" i="11"/>
  <c r="D3268" i="11"/>
  <c r="C3247" i="11"/>
  <c r="D3247" i="11"/>
  <c r="D3204" i="11"/>
  <c r="C3204" i="11"/>
  <c r="D3183" i="11"/>
  <c r="C3183" i="11"/>
  <c r="C3140" i="11"/>
  <c r="D3140" i="11"/>
  <c r="C3076" i="11"/>
  <c r="D3076" i="11"/>
  <c r="C3032" i="11"/>
  <c r="D3032" i="11"/>
  <c r="D2968" i="11"/>
  <c r="C2968" i="11"/>
  <c r="D2936" i="11"/>
  <c r="C2936" i="11"/>
  <c r="D2904" i="11"/>
  <c r="C2904" i="11"/>
  <c r="D2872" i="11"/>
  <c r="C2872" i="11"/>
  <c r="D2808" i="11"/>
  <c r="C2808" i="11"/>
  <c r="D2744" i="11"/>
  <c r="C2744" i="11"/>
  <c r="C2712" i="11"/>
  <c r="D2712" i="11"/>
  <c r="D2648" i="11"/>
  <c r="C2648" i="11"/>
  <c r="D2616" i="11"/>
  <c r="C2616" i="11"/>
  <c r="D2520" i="11"/>
  <c r="C2520" i="11"/>
  <c r="D2488" i="11"/>
  <c r="C2488" i="11"/>
  <c r="C2456" i="11"/>
  <c r="D2456" i="11"/>
  <c r="C2392" i="11"/>
  <c r="D2392" i="11"/>
  <c r="C2249" i="11"/>
  <c r="D2249" i="11"/>
  <c r="D2206" i="11"/>
  <c r="C2206" i="11"/>
  <c r="D2018" i="11"/>
  <c r="C2018" i="11"/>
  <c r="D1905" i="11"/>
  <c r="C1905" i="11"/>
  <c r="D1848" i="11"/>
  <c r="C1848" i="11"/>
  <c r="C1734" i="11"/>
  <c r="D1734" i="11"/>
  <c r="C1244" i="11"/>
  <c r="D1244" i="11"/>
  <c r="C1106" i="11"/>
  <c r="D1106" i="11"/>
  <c r="C5111" i="11"/>
  <c r="D5111" i="11"/>
  <c r="D5063" i="11"/>
  <c r="C5063" i="11"/>
  <c r="D5015" i="11"/>
  <c r="C5015" i="11"/>
  <c r="C4999" i="11"/>
  <c r="D4999" i="11"/>
  <c r="D4983" i="11"/>
  <c r="C4983" i="11"/>
  <c r="C4935" i="11"/>
  <c r="D4935" i="11"/>
  <c r="D4919" i="11"/>
  <c r="C4919" i="11"/>
  <c r="C4903" i="11"/>
  <c r="D4903" i="11"/>
  <c r="C4887" i="11"/>
  <c r="D4887" i="11"/>
  <c r="D4855" i="11"/>
  <c r="C4855" i="11"/>
  <c r="C4807" i="11"/>
  <c r="D4807" i="11"/>
  <c r="C4791" i="11"/>
  <c r="D4791" i="11"/>
  <c r="C4775" i="11"/>
  <c r="D4775" i="11"/>
  <c r="C4759" i="11"/>
  <c r="D4759" i="11"/>
  <c r="D4743" i="11"/>
  <c r="C4743" i="11"/>
  <c r="D4727" i="11"/>
  <c r="C4727" i="11"/>
  <c r="C4679" i="11"/>
  <c r="D4679" i="11"/>
  <c r="D4663" i="11"/>
  <c r="C4663" i="11"/>
  <c r="C4647" i="11"/>
  <c r="D4647" i="11"/>
  <c r="D4631" i="11"/>
  <c r="C4631" i="11"/>
  <c r="C4599" i="11"/>
  <c r="D4599" i="11"/>
  <c r="C4567" i="11"/>
  <c r="D4567" i="11"/>
  <c r="D4551" i="11"/>
  <c r="C4551" i="11"/>
  <c r="C4519" i="11"/>
  <c r="D4519" i="11"/>
  <c r="D4503" i="11"/>
  <c r="C4503" i="11"/>
  <c r="D4487" i="11"/>
  <c r="C4487" i="11"/>
  <c r="C4471" i="11"/>
  <c r="D4471" i="11"/>
  <c r="C4455" i="11"/>
  <c r="D4455" i="11"/>
  <c r="D4439" i="11"/>
  <c r="C4439" i="11"/>
  <c r="D4407" i="11"/>
  <c r="C4407" i="11"/>
  <c r="C4359" i="11"/>
  <c r="D4359" i="11"/>
  <c r="C4343" i="11"/>
  <c r="D4343" i="11"/>
  <c r="D4327" i="11"/>
  <c r="C4327" i="11"/>
  <c r="D4311" i="11"/>
  <c r="C4311" i="11"/>
  <c r="D4295" i="11"/>
  <c r="C4295" i="11"/>
  <c r="C4247" i="11"/>
  <c r="D4247" i="11"/>
  <c r="D4231" i="11"/>
  <c r="C4231" i="11"/>
  <c r="C4215" i="11"/>
  <c r="D4215" i="11"/>
  <c r="D4199" i="11"/>
  <c r="C4199" i="11"/>
  <c r="D4183" i="11"/>
  <c r="C4183" i="11"/>
  <c r="D4167" i="11"/>
  <c r="C4167" i="11"/>
  <c r="C4151" i="11"/>
  <c r="D4151" i="11"/>
  <c r="D4103" i="11"/>
  <c r="C4103" i="11"/>
  <c r="D4071" i="11"/>
  <c r="C4071" i="11"/>
  <c r="C4039" i="11"/>
  <c r="D4039" i="11"/>
  <c r="D4007" i="11"/>
  <c r="C4007" i="11"/>
  <c r="D3991" i="11"/>
  <c r="C3991" i="11"/>
  <c r="C3975" i="11"/>
  <c r="D3975" i="11"/>
  <c r="D3959" i="11"/>
  <c r="C3959" i="11"/>
  <c r="C3943" i="11"/>
  <c r="D3943" i="11"/>
  <c r="D3927" i="11"/>
  <c r="C3927" i="11"/>
  <c r="D3895" i="11"/>
  <c r="C3895" i="11"/>
  <c r="C3879" i="11"/>
  <c r="D3879" i="11"/>
  <c r="C3863" i="11"/>
  <c r="D3863" i="11"/>
  <c r="D3847" i="11"/>
  <c r="C3847" i="11"/>
  <c r="D3831" i="11"/>
  <c r="C3831" i="11"/>
  <c r="C3815" i="11"/>
  <c r="D3815" i="11"/>
  <c r="C3799" i="11"/>
  <c r="D3799" i="11"/>
  <c r="C3783" i="11"/>
  <c r="D3783" i="11"/>
  <c r="C3767" i="11"/>
  <c r="D3767" i="11"/>
  <c r="D3751" i="11"/>
  <c r="C3751" i="11"/>
  <c r="D3719" i="11"/>
  <c r="C3719" i="11"/>
  <c r="D3703" i="11"/>
  <c r="C3703" i="11"/>
  <c r="C3671" i="11"/>
  <c r="D3671" i="11"/>
  <c r="D3564" i="11"/>
  <c r="C3564" i="11"/>
  <c r="C3543" i="11"/>
  <c r="D3543" i="11"/>
  <c r="D3500" i="11"/>
  <c r="C3500" i="11"/>
  <c r="C3479" i="11"/>
  <c r="D3479" i="11"/>
  <c r="D3415" i="11"/>
  <c r="C3415" i="11"/>
  <c r="D3372" i="11"/>
  <c r="C3372" i="11"/>
  <c r="D3351" i="11"/>
  <c r="C3351" i="11"/>
  <c r="C3308" i="11"/>
  <c r="D3308" i="11"/>
  <c r="D3287" i="11"/>
  <c r="C3287" i="11"/>
  <c r="D3244" i="11"/>
  <c r="C3244" i="11"/>
  <c r="D3159" i="11"/>
  <c r="C3159" i="11"/>
  <c r="D3095" i="11"/>
  <c r="C3095" i="11"/>
  <c r="D3052" i="11"/>
  <c r="C3052" i="11"/>
  <c r="D3028" i="11"/>
  <c r="C3028" i="11"/>
  <c r="C2964" i="11"/>
  <c r="D2964" i="11"/>
  <c r="C2932" i="11"/>
  <c r="D2932" i="11"/>
  <c r="C2900" i="11"/>
  <c r="D2900" i="11"/>
  <c r="C2868" i="11"/>
  <c r="D2868" i="11"/>
  <c r="D2804" i="11"/>
  <c r="C2804" i="11"/>
  <c r="D2772" i="11"/>
  <c r="C2772" i="11"/>
  <c r="D2201" i="11"/>
  <c r="C2201" i="11"/>
  <c r="D1897" i="11"/>
  <c r="C1897" i="11"/>
  <c r="C1841" i="11"/>
  <c r="D1841" i="11"/>
  <c r="D1670" i="11"/>
  <c r="C1670" i="11"/>
  <c r="C1572" i="11"/>
  <c r="D1572" i="11"/>
  <c r="D1346" i="11"/>
  <c r="C1346" i="11"/>
  <c r="C384" i="11"/>
  <c r="D384" i="11"/>
  <c r="C3661" i="11"/>
  <c r="D3661" i="11"/>
  <c r="C3629" i="11"/>
  <c r="D3629" i="11"/>
  <c r="D3597" i="11"/>
  <c r="C3597" i="11"/>
  <c r="C3581" i="11"/>
  <c r="D3581" i="11"/>
  <c r="D3565" i="11"/>
  <c r="C3565" i="11"/>
  <c r="C3549" i="11"/>
  <c r="D3549" i="11"/>
  <c r="C3533" i="11"/>
  <c r="D3533" i="11"/>
  <c r="C3517" i="11"/>
  <c r="D3517" i="11"/>
  <c r="C3501" i="11"/>
  <c r="D3501" i="11"/>
  <c r="C3469" i="11"/>
  <c r="D3469" i="11"/>
  <c r="D3437" i="11"/>
  <c r="C3437" i="11"/>
  <c r="C3421" i="11"/>
  <c r="D3421" i="11"/>
  <c r="C3405" i="11"/>
  <c r="D3405" i="11"/>
  <c r="C3389" i="11"/>
  <c r="D3389" i="11"/>
  <c r="D3373" i="11"/>
  <c r="C3373" i="11"/>
  <c r="C3341" i="11"/>
  <c r="D3341" i="11"/>
  <c r="C3325" i="11"/>
  <c r="D3325" i="11"/>
  <c r="D3309" i="11"/>
  <c r="C3309" i="11"/>
  <c r="C3293" i="11"/>
  <c r="D3293" i="11"/>
  <c r="C3277" i="11"/>
  <c r="D3277" i="11"/>
  <c r="C3261" i="11"/>
  <c r="D3261" i="11"/>
  <c r="C3213" i="11"/>
  <c r="D3213" i="11"/>
  <c r="C3197" i="11"/>
  <c r="D3197" i="11"/>
  <c r="D3181" i="11"/>
  <c r="C3181" i="11"/>
  <c r="C3165" i="11"/>
  <c r="D3165" i="11"/>
  <c r="C3149" i="11"/>
  <c r="D3149" i="11"/>
  <c r="C3133" i="11"/>
  <c r="D3133" i="11"/>
  <c r="D3117" i="11"/>
  <c r="C3117" i="11"/>
  <c r="D3101" i="11"/>
  <c r="C3101" i="11"/>
  <c r="C3085" i="11"/>
  <c r="D3085" i="11"/>
  <c r="D3069" i="11"/>
  <c r="C3069" i="11"/>
  <c r="C3053" i="11"/>
  <c r="D3053" i="11"/>
  <c r="C3037" i="11"/>
  <c r="D3037" i="11"/>
  <c r="C3005" i="11"/>
  <c r="D3005" i="11"/>
  <c r="D2989" i="11"/>
  <c r="C2989" i="11"/>
  <c r="D2973" i="11"/>
  <c r="C2973" i="11"/>
  <c r="D2925" i="11"/>
  <c r="C2925" i="11"/>
  <c r="D2909" i="11"/>
  <c r="C2909" i="11"/>
  <c r="D2861" i="11"/>
  <c r="C2861" i="11"/>
  <c r="C2845" i="11"/>
  <c r="D2845" i="11"/>
  <c r="D2829" i="11"/>
  <c r="C2829" i="11"/>
  <c r="D2813" i="11"/>
  <c r="C2813" i="11"/>
  <c r="C2797" i="11"/>
  <c r="D2797" i="11"/>
  <c r="D2749" i="11"/>
  <c r="C2749" i="11"/>
  <c r="C2717" i="11"/>
  <c r="D2717" i="11"/>
  <c r="C2685" i="11"/>
  <c r="D2685" i="11"/>
  <c r="D2669" i="11"/>
  <c r="C2669" i="11"/>
  <c r="C2653" i="11"/>
  <c r="D2653" i="11"/>
  <c r="C2637" i="11"/>
  <c r="D2637" i="11"/>
  <c r="D2573" i="11"/>
  <c r="C2573" i="11"/>
  <c r="C2557" i="11"/>
  <c r="D2557" i="11"/>
  <c r="D2541" i="11"/>
  <c r="C2541" i="11"/>
  <c r="C2509" i="11"/>
  <c r="D2509" i="11"/>
  <c r="D2493" i="11"/>
  <c r="C2493" i="11"/>
  <c r="D2477" i="11"/>
  <c r="C2477" i="11"/>
  <c r="C2461" i="11"/>
  <c r="D2461" i="11"/>
  <c r="D2445" i="11"/>
  <c r="C2445" i="11"/>
  <c r="D2429" i="11"/>
  <c r="C2429" i="11"/>
  <c r="D2397" i="11"/>
  <c r="C2397" i="11"/>
  <c r="C2381" i="11"/>
  <c r="D2381" i="11"/>
  <c r="C2333" i="11"/>
  <c r="D2333" i="11"/>
  <c r="C2317" i="11"/>
  <c r="D2317" i="11"/>
  <c r="D2277" i="11"/>
  <c r="C2277" i="11"/>
  <c r="D2170" i="11"/>
  <c r="C2170" i="11"/>
  <c r="C1885" i="11"/>
  <c r="D1885" i="11"/>
  <c r="D1857" i="11"/>
  <c r="C1857" i="11"/>
  <c r="C1828" i="11"/>
  <c r="D1828" i="11"/>
  <c r="D1714" i="11"/>
  <c r="C1714" i="11"/>
  <c r="C1686" i="11"/>
  <c r="D1686" i="11"/>
  <c r="C1604" i="11"/>
  <c r="D1604" i="11"/>
  <c r="C1434" i="11"/>
  <c r="D1434" i="11"/>
  <c r="D1378" i="11"/>
  <c r="C1378" i="11"/>
  <c r="C734" i="11"/>
  <c r="D734" i="11"/>
  <c r="D3007" i="11"/>
  <c r="C3007" i="11"/>
  <c r="D2959" i="11"/>
  <c r="C2959" i="11"/>
  <c r="D2943" i="11"/>
  <c r="C2943" i="11"/>
  <c r="D2927" i="11"/>
  <c r="C2927" i="11"/>
  <c r="C2911" i="11"/>
  <c r="D2911" i="11"/>
  <c r="D2895" i="11"/>
  <c r="C2895" i="11"/>
  <c r="D2847" i="11"/>
  <c r="C2847" i="11"/>
  <c r="C2815" i="11"/>
  <c r="D2815" i="11"/>
  <c r="D2799" i="11"/>
  <c r="C2799" i="11"/>
  <c r="C2767" i="11"/>
  <c r="D2767" i="11"/>
  <c r="C2751" i="11"/>
  <c r="D2751" i="11"/>
  <c r="D2719" i="11"/>
  <c r="C2719" i="11"/>
  <c r="C2703" i="11"/>
  <c r="D2703" i="11"/>
  <c r="D2687" i="11"/>
  <c r="C2687" i="11"/>
  <c r="C2671" i="11"/>
  <c r="D2671" i="11"/>
  <c r="C2639" i="11"/>
  <c r="D2639" i="11"/>
  <c r="D2623" i="11"/>
  <c r="C2623" i="11"/>
  <c r="D2607" i="11"/>
  <c r="C2607" i="11"/>
  <c r="C2543" i="11"/>
  <c r="D2543" i="11"/>
  <c r="D2527" i="11"/>
  <c r="C2527" i="11"/>
  <c r="C2495" i="11"/>
  <c r="D2495" i="11"/>
  <c r="D2479" i="11"/>
  <c r="C2479" i="11"/>
  <c r="C2463" i="11"/>
  <c r="D2463" i="11"/>
  <c r="C2447" i="11"/>
  <c r="D2447" i="11"/>
  <c r="D2415" i="11"/>
  <c r="C2415" i="11"/>
  <c r="D2383" i="11"/>
  <c r="C2383" i="11"/>
  <c r="D2367" i="11"/>
  <c r="C2367" i="11"/>
  <c r="D2351" i="11"/>
  <c r="C2351" i="11"/>
  <c r="D2335" i="11"/>
  <c r="C2335" i="11"/>
  <c r="D2301" i="11"/>
  <c r="C2301" i="11"/>
  <c r="D2088" i="11"/>
  <c r="C2088" i="11"/>
  <c r="D1974" i="11"/>
  <c r="C1974" i="11"/>
  <c r="D1945" i="11"/>
  <c r="C1945" i="11"/>
  <c r="C1661" i="11"/>
  <c r="D1661" i="11"/>
  <c r="D1383" i="11"/>
  <c r="C1383" i="11"/>
  <c r="D1154" i="11"/>
  <c r="C1154" i="11"/>
  <c r="D1038" i="11"/>
  <c r="C1038" i="11"/>
  <c r="C910" i="11"/>
  <c r="D910" i="11"/>
  <c r="D755" i="11"/>
  <c r="C755" i="11"/>
  <c r="D1968" i="11"/>
  <c r="C1968" i="11"/>
  <c r="D1840" i="11"/>
  <c r="C1840" i="11"/>
  <c r="C1797" i="11"/>
  <c r="D1797" i="11"/>
  <c r="D1776" i="11"/>
  <c r="C1776" i="11"/>
  <c r="D1733" i="11"/>
  <c r="C1733" i="11"/>
  <c r="D1712" i="11"/>
  <c r="C1712" i="11"/>
  <c r="C1690" i="11"/>
  <c r="D1690" i="11"/>
  <c r="C1599" i="11"/>
  <c r="D1599" i="11"/>
  <c r="D1556" i="11"/>
  <c r="C1556" i="11"/>
  <c r="D1514" i="11"/>
  <c r="C1514" i="11"/>
  <c r="C1172" i="11"/>
  <c r="D1172" i="11"/>
  <c r="D986" i="11"/>
  <c r="C986" i="11"/>
  <c r="D922" i="11"/>
  <c r="C922" i="11"/>
  <c r="C856" i="11"/>
  <c r="D856" i="11"/>
  <c r="C683" i="11"/>
  <c r="D683" i="11"/>
  <c r="C568" i="11"/>
  <c r="D568" i="11"/>
  <c r="C1126" i="11"/>
  <c r="D1126" i="11"/>
  <c r="C702" i="11"/>
  <c r="D702" i="11"/>
  <c r="C363" i="11"/>
  <c r="D363" i="11"/>
  <c r="C2295" i="11"/>
  <c r="D2295" i="11"/>
  <c r="C2263" i="11"/>
  <c r="D2263" i="11"/>
  <c r="C2231" i="11"/>
  <c r="D2231" i="11"/>
  <c r="C2215" i="11"/>
  <c r="D2215" i="11"/>
  <c r="D2199" i="11"/>
  <c r="C2199" i="11"/>
  <c r="D2151" i="11"/>
  <c r="C2151" i="11"/>
  <c r="D2135" i="11"/>
  <c r="C2135" i="11"/>
  <c r="C2071" i="11"/>
  <c r="D2071" i="11"/>
  <c r="D1959" i="11"/>
  <c r="C1959" i="11"/>
  <c r="C1911" i="11"/>
  <c r="D1911" i="11"/>
  <c r="D1895" i="11"/>
  <c r="C1895" i="11"/>
  <c r="C1847" i="11"/>
  <c r="D1847" i="11"/>
  <c r="C1815" i="11"/>
  <c r="D1815" i="11"/>
  <c r="D1799" i="11"/>
  <c r="C1799" i="11"/>
  <c r="D1783" i="11"/>
  <c r="C1783" i="11"/>
  <c r="D1767" i="11"/>
  <c r="C1767" i="11"/>
  <c r="D1751" i="11"/>
  <c r="C1751" i="11"/>
  <c r="D1687" i="11"/>
  <c r="C1687" i="11"/>
  <c r="D1655" i="11"/>
  <c r="C1655" i="11"/>
  <c r="C1635" i="11"/>
  <c r="D1635" i="11"/>
  <c r="D1507" i="11"/>
  <c r="C1507" i="11"/>
  <c r="C1486" i="11"/>
  <c r="D1486" i="11"/>
  <c r="D1464" i="11"/>
  <c r="C1464" i="11"/>
  <c r="C1294" i="11"/>
  <c r="D1294" i="11"/>
  <c r="C1230" i="11"/>
  <c r="D1230" i="11"/>
  <c r="C976" i="11"/>
  <c r="D976" i="11"/>
  <c r="C944" i="11"/>
  <c r="D944" i="11"/>
  <c r="D912" i="11"/>
  <c r="C912" i="11"/>
  <c r="D880" i="11"/>
  <c r="C880" i="11"/>
  <c r="C800" i="11"/>
  <c r="D800" i="11"/>
  <c r="D758" i="11"/>
  <c r="C758" i="11"/>
  <c r="D664" i="11"/>
  <c r="C664" i="11"/>
  <c r="D551" i="11"/>
  <c r="C551" i="11"/>
  <c r="C380" i="11"/>
  <c r="D380" i="11"/>
  <c r="D1622" i="11"/>
  <c r="C1622" i="11"/>
  <c r="C1558" i="11"/>
  <c r="D1558" i="11"/>
  <c r="D1472" i="11"/>
  <c r="C1472" i="11"/>
  <c r="D1408" i="11"/>
  <c r="C1408" i="11"/>
  <c r="C1302" i="11"/>
  <c r="D1302" i="11"/>
  <c r="C1238" i="11"/>
  <c r="D1238" i="11"/>
  <c r="C1216" i="11"/>
  <c r="D1216" i="11"/>
  <c r="C1116" i="11"/>
  <c r="D1116" i="11"/>
  <c r="D956" i="11"/>
  <c r="C956" i="11"/>
  <c r="D686" i="11"/>
  <c r="C686" i="11"/>
  <c r="C572" i="11"/>
  <c r="D572" i="11"/>
  <c r="D1649" i="11"/>
  <c r="C1649" i="11"/>
  <c r="D1633" i="11"/>
  <c r="C1633" i="11"/>
  <c r="D1617" i="11"/>
  <c r="C1617" i="11"/>
  <c r="D1601" i="11"/>
  <c r="C1601" i="11"/>
  <c r="C1569" i="11"/>
  <c r="D1569" i="11"/>
  <c r="C1537" i="11"/>
  <c r="D1537" i="11"/>
  <c r="C1489" i="11"/>
  <c r="D1489" i="11"/>
  <c r="C1345" i="11"/>
  <c r="D1345" i="11"/>
  <c r="C1297" i="11"/>
  <c r="D1297" i="11"/>
  <c r="D1281" i="11"/>
  <c r="C1281" i="11"/>
  <c r="D1233" i="11"/>
  <c r="C1233" i="11"/>
  <c r="C1217" i="11"/>
  <c r="D1217" i="11"/>
  <c r="C1201" i="11"/>
  <c r="D1201" i="11"/>
  <c r="C1185" i="11"/>
  <c r="D1185" i="11"/>
  <c r="C1169" i="11"/>
  <c r="D1169" i="11"/>
  <c r="D1089" i="11"/>
  <c r="C1089" i="11"/>
  <c r="C1073" i="11"/>
  <c r="D1073" i="11"/>
  <c r="C993" i="11"/>
  <c r="D993" i="11"/>
  <c r="D897" i="11"/>
  <c r="C897" i="11"/>
  <c r="C844" i="11"/>
  <c r="D844" i="11"/>
  <c r="D716" i="11"/>
  <c r="C716" i="11"/>
  <c r="D467" i="11"/>
  <c r="C467" i="11"/>
  <c r="D439" i="11"/>
  <c r="C439" i="11"/>
  <c r="D411" i="11"/>
  <c r="C411" i="11"/>
  <c r="C348" i="11"/>
  <c r="D348" i="11"/>
  <c r="C1143" i="11"/>
  <c r="D1143" i="11"/>
  <c r="C999" i="11"/>
  <c r="D999" i="11"/>
  <c r="C831" i="11"/>
  <c r="D831" i="11"/>
  <c r="C648" i="11"/>
  <c r="D648" i="11"/>
  <c r="C620" i="11"/>
  <c r="D620" i="11"/>
  <c r="C507" i="11"/>
  <c r="D507" i="11"/>
  <c r="D364" i="11"/>
  <c r="C364" i="11"/>
  <c r="D660" i="11"/>
  <c r="C660" i="11"/>
  <c r="D639" i="11"/>
  <c r="C639" i="11"/>
  <c r="D596" i="11"/>
  <c r="C596" i="11"/>
  <c r="D575" i="11"/>
  <c r="C575" i="11"/>
  <c r="D362" i="11"/>
  <c r="C362" i="11"/>
  <c r="C244" i="11"/>
  <c r="D244" i="11"/>
  <c r="D745" i="11"/>
  <c r="C745" i="11"/>
  <c r="D681" i="11"/>
  <c r="C681" i="11"/>
  <c r="D537" i="11"/>
  <c r="C537" i="11"/>
  <c r="C393" i="11"/>
  <c r="D393" i="11"/>
  <c r="D274" i="11"/>
  <c r="C274" i="11"/>
  <c r="D242" i="11"/>
  <c r="C242" i="11"/>
  <c r="C210" i="11"/>
  <c r="D210" i="11"/>
  <c r="D73" i="11"/>
  <c r="C73" i="11"/>
  <c r="D3579" i="11"/>
  <c r="C3579" i="11"/>
  <c r="C6216" i="11"/>
  <c r="D6216" i="11"/>
  <c r="D7542" i="11"/>
  <c r="C7542" i="11"/>
  <c r="D7838" i="11"/>
  <c r="C7838" i="11"/>
  <c r="D8006" i="11"/>
  <c r="C8006" i="11"/>
  <c r="D8178" i="11"/>
  <c r="C8178" i="11"/>
  <c r="D8350" i="11"/>
  <c r="C8350" i="11"/>
  <c r="C8518" i="11"/>
  <c r="D8518" i="11"/>
  <c r="C8674" i="11"/>
  <c r="D8674" i="11"/>
  <c r="C8786" i="11"/>
  <c r="D8786" i="11"/>
  <c r="C8902" i="11"/>
  <c r="D8902" i="11"/>
  <c r="C9058" i="11"/>
  <c r="D9058" i="11"/>
  <c r="C9138" i="11"/>
  <c r="D9138" i="11"/>
  <c r="D9350" i="11"/>
  <c r="C9350" i="11"/>
  <c r="D9522" i="11"/>
  <c r="C9522" i="11"/>
  <c r="D9578" i="11"/>
  <c r="C9578" i="11"/>
  <c r="D9634" i="11"/>
  <c r="C9634" i="11"/>
  <c r="D9692" i="11"/>
  <c r="C9692" i="11"/>
  <c r="D9748" i="11"/>
  <c r="C9748" i="11"/>
  <c r="D9862" i="11"/>
  <c r="C9862" i="11"/>
  <c r="D9918" i="11"/>
  <c r="C9918" i="11"/>
  <c r="D9964" i="11"/>
  <c r="C9964" i="11"/>
  <c r="D10006" i="11"/>
  <c r="C10006" i="11"/>
  <c r="D9892" i="11"/>
  <c r="C9892" i="11"/>
  <c r="D9850" i="11"/>
  <c r="C9850" i="11"/>
  <c r="D9764" i="11"/>
  <c r="C9764" i="11"/>
  <c r="D9722" i="11"/>
  <c r="C9722" i="11"/>
  <c r="D9636" i="11"/>
  <c r="C9636" i="11"/>
  <c r="D9594" i="11"/>
  <c r="C9594" i="11"/>
  <c r="D9508" i="11"/>
  <c r="C9508" i="11"/>
  <c r="D9466" i="11"/>
  <c r="C9466" i="11"/>
  <c r="D9380" i="11"/>
  <c r="C9380" i="11"/>
  <c r="C9338" i="11"/>
  <c r="D9338" i="11"/>
  <c r="C9290" i="11"/>
  <c r="D9290" i="11"/>
  <c r="C9234" i="11"/>
  <c r="D9234" i="11"/>
  <c r="C9174" i="11"/>
  <c r="D9174" i="11"/>
  <c r="C9118" i="11"/>
  <c r="D9118" i="11"/>
  <c r="C9062" i="11"/>
  <c r="D9062" i="11"/>
  <c r="C9004" i="11"/>
  <c r="D9004" i="11"/>
  <c r="D8948" i="11"/>
  <c r="C8948" i="11"/>
  <c r="C8878" i="11"/>
  <c r="D8878" i="11"/>
  <c r="C8790" i="11"/>
  <c r="D8790" i="11"/>
  <c r="C8706" i="11"/>
  <c r="D8706" i="11"/>
  <c r="C8622" i="11"/>
  <c r="D8622" i="11"/>
  <c r="D8450" i="11"/>
  <c r="C8450" i="11"/>
  <c r="D8366" i="11"/>
  <c r="C8366" i="11"/>
  <c r="D8194" i="11"/>
  <c r="C8194" i="11"/>
  <c r="D8110" i="11"/>
  <c r="C8110" i="11"/>
  <c r="D8022" i="11"/>
  <c r="C8022" i="11"/>
  <c r="D7746" i="11"/>
  <c r="C7746" i="11"/>
  <c r="D7574" i="11"/>
  <c r="C7574" i="11"/>
  <c r="C7120" i="11"/>
  <c r="D7120" i="11"/>
  <c r="D6816" i="11"/>
  <c r="C6816" i="11"/>
  <c r="D6376" i="11"/>
  <c r="C6376" i="11"/>
  <c r="C8614" i="11"/>
  <c r="D8614" i="11"/>
  <c r="C8530" i="11"/>
  <c r="D8530" i="11"/>
  <c r="D8446" i="11"/>
  <c r="C8446" i="11"/>
  <c r="D8274" i="11"/>
  <c r="C8274" i="11"/>
  <c r="D8190" i="11"/>
  <c r="C8190" i="11"/>
  <c r="D8018" i="11"/>
  <c r="C8018" i="11"/>
  <c r="D7846" i="11"/>
  <c r="C7846" i="11"/>
  <c r="D7378" i="11"/>
  <c r="C7378" i="11"/>
  <c r="D6794" i="11"/>
  <c r="C6794" i="11"/>
  <c r="C6344" i="11"/>
  <c r="D6344" i="11"/>
  <c r="C9294" i="11"/>
  <c r="D9294" i="11"/>
  <c r="D9252" i="11"/>
  <c r="C9252" i="11"/>
  <c r="C9210" i="11"/>
  <c r="D9210" i="11"/>
  <c r="C9082" i="11"/>
  <c r="D9082" i="11"/>
  <c r="C9038" i="11"/>
  <c r="D9038" i="11"/>
  <c r="D8996" i="11"/>
  <c r="C8996" i="11"/>
  <c r="C8954" i="11"/>
  <c r="D8954" i="11"/>
  <c r="C8906" i="11"/>
  <c r="D8906" i="11"/>
  <c r="C8842" i="11"/>
  <c r="D8842" i="11"/>
  <c r="C8778" i="11"/>
  <c r="D8778" i="11"/>
  <c r="C8650" i="11"/>
  <c r="D8650" i="11"/>
  <c r="C8586" i="11"/>
  <c r="D8586" i="11"/>
  <c r="C8522" i="11"/>
  <c r="D8522" i="11"/>
  <c r="D8458" i="11"/>
  <c r="C8458" i="11"/>
  <c r="D8394" i="11"/>
  <c r="C8394" i="11"/>
  <c r="D8330" i="11"/>
  <c r="C8330" i="11"/>
  <c r="D8266" i="11"/>
  <c r="C8266" i="11"/>
  <c r="D8202" i="11"/>
  <c r="C8202" i="11"/>
  <c r="D8138" i="11"/>
  <c r="C8138" i="11"/>
  <c r="D7882" i="11"/>
  <c r="C7882" i="11"/>
  <c r="D7818" i="11"/>
  <c r="C7818" i="11"/>
  <c r="D7738" i="11"/>
  <c r="C7738" i="11"/>
  <c r="D7654" i="11"/>
  <c r="C7654" i="11"/>
  <c r="D7570" i="11"/>
  <c r="C7570" i="11"/>
  <c r="D7386" i="11"/>
  <c r="C7386" i="11"/>
  <c r="C7104" i="11"/>
  <c r="D7104" i="11"/>
  <c r="D6954" i="11"/>
  <c r="C6954" i="11"/>
  <c r="D6650" i="11"/>
  <c r="C6650" i="11"/>
  <c r="C6360" i="11"/>
  <c r="D6360" i="11"/>
  <c r="C5912" i="11"/>
  <c r="D5912" i="11"/>
  <c r="D4818" i="11"/>
  <c r="C4818" i="11"/>
  <c r="C2314" i="11"/>
  <c r="D2314" i="11"/>
  <c r="D7706" i="11"/>
  <c r="C7706" i="11"/>
  <c r="D7538" i="11"/>
  <c r="C7538" i="11"/>
  <c r="D7050" i="11"/>
  <c r="C7050" i="11"/>
  <c r="D6752" i="11"/>
  <c r="C6752" i="11"/>
  <c r="C6592" i="11"/>
  <c r="D6592" i="11"/>
  <c r="D6184" i="11"/>
  <c r="C6184" i="11"/>
  <c r="C5736" i="11"/>
  <c r="D5736" i="11"/>
  <c r="D7726" i="11"/>
  <c r="C7726" i="11"/>
  <c r="D7598" i="11"/>
  <c r="C7598" i="11"/>
  <c r="D7534" i="11"/>
  <c r="C7534" i="11"/>
  <c r="D7470" i="11"/>
  <c r="C7470" i="11"/>
  <c r="D7394" i="11"/>
  <c r="C7394" i="11"/>
  <c r="D7310" i="11"/>
  <c r="C7310" i="11"/>
  <c r="D7200" i="11"/>
  <c r="C7200" i="11"/>
  <c r="D7082" i="11"/>
  <c r="C7082" i="11"/>
  <c r="D6970" i="11"/>
  <c r="C6970" i="11"/>
  <c r="D6858" i="11"/>
  <c r="C6858" i="11"/>
  <c r="C6408" i="11"/>
  <c r="D6408" i="11"/>
  <c r="D6056" i="11"/>
  <c r="C6056" i="11"/>
  <c r="D5720" i="11"/>
  <c r="C5720" i="11"/>
  <c r="C3494" i="11"/>
  <c r="D3494" i="11"/>
  <c r="C1709" i="11"/>
  <c r="D1709" i="11"/>
  <c r="D7398" i="11"/>
  <c r="C7398" i="11"/>
  <c r="D7334" i="11"/>
  <c r="C7334" i="11"/>
  <c r="D7258" i="11"/>
  <c r="C7258" i="11"/>
  <c r="D7002" i="11"/>
  <c r="C7002" i="11"/>
  <c r="D6746" i="11"/>
  <c r="C6746" i="11"/>
  <c r="C6576" i="11"/>
  <c r="D6576" i="11"/>
  <c r="C6328" i="11"/>
  <c r="D6328" i="11"/>
  <c r="C6072" i="11"/>
  <c r="D6072" i="11"/>
  <c r="D5560" i="11"/>
  <c r="C5560" i="11"/>
  <c r="C4914" i="11"/>
  <c r="D4914" i="11"/>
  <c r="C6464" i="11"/>
  <c r="D6464" i="11"/>
  <c r="C6336" i="11"/>
  <c r="D6336" i="11"/>
  <c r="C6208" i="11"/>
  <c r="D6208" i="11"/>
  <c r="C6080" i="11"/>
  <c r="D6080" i="11"/>
  <c r="C5952" i="11"/>
  <c r="D5952" i="11"/>
  <c r="C5824" i="11"/>
  <c r="D5824" i="11"/>
  <c r="D5696" i="11"/>
  <c r="C5696" i="11"/>
  <c r="D5568" i="11"/>
  <c r="C5568" i="11"/>
  <c r="D5164" i="11"/>
  <c r="C5164" i="11"/>
  <c r="C3643" i="11"/>
  <c r="D3643" i="11"/>
  <c r="C3302" i="11"/>
  <c r="D3302" i="11"/>
  <c r="C2922" i="11"/>
  <c r="D2922" i="11"/>
  <c r="D6352" i="11"/>
  <c r="C6352" i="11"/>
  <c r="D6224" i="11"/>
  <c r="C6224" i="11"/>
  <c r="D5968" i="11"/>
  <c r="C5968" i="11"/>
  <c r="C5712" i="11"/>
  <c r="D5712" i="11"/>
  <c r="D5584" i="11"/>
  <c r="C5584" i="11"/>
  <c r="D5186" i="11"/>
  <c r="C5186" i="11"/>
  <c r="C4962" i="11"/>
  <c r="D4962" i="11"/>
  <c r="C4706" i="11"/>
  <c r="D4706" i="11"/>
  <c r="D2986" i="11"/>
  <c r="C2986" i="11"/>
  <c r="D2474" i="11"/>
  <c r="C2474" i="11"/>
  <c r="D7754" i="11"/>
  <c r="C7754" i="11"/>
  <c r="C9158" i="11"/>
  <c r="D9158" i="11"/>
  <c r="D9598" i="11"/>
  <c r="C9598" i="11"/>
  <c r="D9982" i="11"/>
  <c r="C9982" i="11"/>
  <c r="C8742" i="11"/>
  <c r="D8742" i="11"/>
  <c r="D9426" i="11"/>
  <c r="C9426" i="11"/>
  <c r="D9826" i="11"/>
  <c r="C9826" i="11"/>
  <c r="D7990" i="11"/>
  <c r="C7990" i="11"/>
  <c r="C9222" i="11"/>
  <c r="D9222" i="11"/>
  <c r="D9108" i="11"/>
  <c r="C9108" i="11"/>
  <c r="D9574" i="11"/>
  <c r="C9574" i="11"/>
  <c r="D9966" i="11"/>
  <c r="C9966" i="11"/>
  <c r="D9868" i="11"/>
  <c r="C9868" i="11"/>
  <c r="D9670" i="11"/>
  <c r="C9670" i="11"/>
  <c r="D9468" i="11"/>
  <c r="C9468" i="11"/>
  <c r="C9244" i="11"/>
  <c r="D9244" i="11"/>
  <c r="D9994" i="11"/>
  <c r="C9994" i="11"/>
  <c r="C8782" i="11"/>
  <c r="D8782" i="11"/>
  <c r="D7638" i="11"/>
  <c r="C7638" i="11"/>
  <c r="D9940" i="11"/>
  <c r="C9940" i="11"/>
  <c r="D9746" i="11"/>
  <c r="C9746" i="11"/>
  <c r="D9542" i="11"/>
  <c r="C9542" i="11"/>
  <c r="D9340" i="11"/>
  <c r="C9340" i="11"/>
  <c r="C9086" i="11"/>
  <c r="D9086" i="11"/>
  <c r="C8798" i="11"/>
  <c r="D8798" i="11"/>
  <c r="D8414" i="11"/>
  <c r="C8414" i="11"/>
  <c r="D7950" i="11"/>
  <c r="C7950" i="11"/>
  <c r="C5832" i="11"/>
  <c r="D5832" i="11"/>
  <c r="D9938" i="11"/>
  <c r="C9938" i="11"/>
  <c r="D9842" i="11"/>
  <c r="C9842" i="11"/>
  <c r="D9738" i="11"/>
  <c r="C9738" i="11"/>
  <c r="D9612" i="11"/>
  <c r="C9612" i="11"/>
  <c r="D9510" i="11"/>
  <c r="C9510" i="11"/>
  <c r="D9386" i="11"/>
  <c r="C9386" i="11"/>
  <c r="C9084" i="11"/>
  <c r="D9084" i="11"/>
  <c r="C8862" i="11"/>
  <c r="D8862" i="11"/>
  <c r="D8398" i="11"/>
  <c r="C8398" i="11"/>
  <c r="D9830" i="11"/>
  <c r="C9830" i="11"/>
  <c r="D9730" i="11"/>
  <c r="C9730" i="11"/>
  <c r="D9630" i="11"/>
  <c r="C9630" i="11"/>
  <c r="D9526" i="11"/>
  <c r="C9526" i="11"/>
  <c r="D9428" i="11"/>
  <c r="C9428" i="11"/>
  <c r="C9330" i="11"/>
  <c r="D9330" i="11"/>
  <c r="D9196" i="11"/>
  <c r="C9196" i="11"/>
  <c r="D9012" i="11"/>
  <c r="C9012" i="11"/>
  <c r="C8754" i="11"/>
  <c r="D8754" i="11"/>
  <c r="D8354" i="11"/>
  <c r="C8354" i="11"/>
  <c r="C6624" i="11"/>
  <c r="D6624" i="11"/>
  <c r="D9972" i="11"/>
  <c r="C9972" i="11"/>
  <c r="D9910" i="11"/>
  <c r="C9910" i="11"/>
  <c r="D9836" i="11"/>
  <c r="C9836" i="11"/>
  <c r="D9758" i="11"/>
  <c r="C9758" i="11"/>
  <c r="D9684" i="11"/>
  <c r="C9684" i="11"/>
  <c r="D9610" i="11"/>
  <c r="C9610" i="11"/>
  <c r="D9532" i="11"/>
  <c r="C9532" i="11"/>
  <c r="D9458" i="11"/>
  <c r="C9458" i="11"/>
  <c r="D9382" i="11"/>
  <c r="C9382" i="11"/>
  <c r="D9300" i="11"/>
  <c r="C9300" i="11"/>
  <c r="C9202" i="11"/>
  <c r="D9202" i="11"/>
  <c r="C9100" i="11"/>
  <c r="D9100" i="11"/>
  <c r="C8886" i="11"/>
  <c r="D8886" i="11"/>
  <c r="C8546" i="11"/>
  <c r="D8546" i="11"/>
  <c r="D8326" i="11"/>
  <c r="C8326" i="11"/>
  <c r="D8098" i="11"/>
  <c r="C8098" i="11"/>
  <c r="D7862" i="11"/>
  <c r="C7862" i="11"/>
  <c r="C6280" i="11"/>
  <c r="D6280" i="11"/>
  <c r="C9122" i="11"/>
  <c r="D9122" i="11"/>
  <c r="C8914" i="11"/>
  <c r="D8914" i="11"/>
  <c r="C8766" i="11"/>
  <c r="D8766" i="11"/>
  <c r="C8590" i="11"/>
  <c r="D8590" i="11"/>
  <c r="D8142" i="11"/>
  <c r="C8142" i="11"/>
  <c r="D7906" i="11"/>
  <c r="C7906" i="11"/>
  <c r="D6698" i="11"/>
  <c r="C6698" i="11"/>
  <c r="C25" i="11"/>
  <c r="C297" i="11"/>
  <c r="D57" i="11"/>
  <c r="C490" i="11"/>
  <c r="D731" i="11"/>
  <c r="D859" i="11"/>
  <c r="D1088" i="11"/>
  <c r="C905" i="11"/>
  <c r="C985" i="11"/>
  <c r="C1272" i="11"/>
  <c r="C1215" i="11"/>
  <c r="D1225" i="11"/>
  <c r="D695" i="11"/>
  <c r="D855" i="11"/>
  <c r="D919" i="11"/>
  <c r="D1031" i="11"/>
  <c r="D1417" i="11"/>
  <c r="C1457" i="11"/>
  <c r="C1379" i="11"/>
  <c r="C2044" i="11"/>
  <c r="C2084" i="11"/>
  <c r="C2188" i="11"/>
  <c r="C2244" i="11"/>
  <c r="C2292" i="11"/>
  <c r="D2340" i="11"/>
  <c r="C2388" i="11"/>
  <c r="D2468" i="11"/>
  <c r="C2516" i="11"/>
  <c r="D2564" i="11"/>
  <c r="C2628" i="11"/>
  <c r="D2724" i="11"/>
  <c r="D1195" i="11"/>
  <c r="C3138" i="11"/>
  <c r="D3290" i="11"/>
  <c r="D3322" i="11"/>
  <c r="C3362" i="11"/>
  <c r="C3394" i="11"/>
  <c r="D3546" i="11"/>
  <c r="D3578" i="11"/>
  <c r="C3618" i="11"/>
  <c r="C3650" i="11"/>
  <c r="C3770" i="11"/>
  <c r="D3818" i="11"/>
  <c r="D3906" i="11"/>
  <c r="D4066" i="11"/>
  <c r="D4146" i="11"/>
  <c r="C4194" i="11"/>
  <c r="D4322" i="11"/>
  <c r="D4402" i="11"/>
  <c r="C4450" i="11"/>
  <c r="D5224" i="11"/>
  <c r="C5277" i="11"/>
  <c r="D5304" i="11"/>
  <c r="C5373" i="11"/>
  <c r="D5432" i="11"/>
  <c r="C5485" i="11"/>
  <c r="D5512" i="11"/>
  <c r="D4560" i="11"/>
  <c r="C4640" i="11"/>
  <c r="D4688" i="11"/>
  <c r="C4768" i="11"/>
  <c r="D4816" i="11"/>
  <c r="C4896" i="11"/>
  <c r="D4944" i="11"/>
  <c r="C5024" i="11"/>
  <c r="D5072" i="11"/>
  <c r="C5269" i="11"/>
  <c r="C5301" i="11"/>
  <c r="C5333" i="11"/>
  <c r="C5381" i="11"/>
  <c r="D5413" i="11"/>
  <c r="C5445" i="11"/>
  <c r="C5493" i="11"/>
  <c r="C5525" i="11"/>
  <c r="D4585" i="11"/>
  <c r="D4636" i="11"/>
  <c r="C4700" i="11"/>
  <c r="D4873" i="11"/>
  <c r="D4956" i="11"/>
  <c r="C5129" i="11"/>
  <c r="D5276" i="11"/>
  <c r="C5358" i="11"/>
  <c r="D5404" i="11"/>
  <c r="C5486" i="11"/>
  <c r="D5532" i="11"/>
  <c r="D5845" i="11"/>
  <c r="D5909" i="11"/>
  <c r="D5973" i="11"/>
  <c r="D6037" i="11"/>
  <c r="D6101" i="11"/>
  <c r="D6165" i="11"/>
  <c r="D6229" i="11"/>
  <c r="D6293" i="11"/>
  <c r="D6357" i="11"/>
  <c r="D6421" i="11"/>
  <c r="D6485" i="11"/>
  <c r="D6549" i="11"/>
  <c r="D6741" i="11"/>
  <c r="D6805" i="11"/>
  <c r="D7061" i="11"/>
  <c r="D7125" i="11"/>
  <c r="D7253" i="11"/>
  <c r="D7381" i="11"/>
  <c r="C7498" i="11"/>
  <c r="D7541" i="11"/>
  <c r="D7573" i="11"/>
  <c r="D7645" i="11"/>
  <c r="D7717" i="11"/>
  <c r="D7741" i="11"/>
  <c r="D7765" i="11"/>
  <c r="D7781" i="11"/>
  <c r="D7797" i="11"/>
  <c r="D7821" i="11"/>
  <c r="D7885" i="11"/>
  <c r="D7909" i="11"/>
  <c r="C7946" i="11"/>
  <c r="C7978" i="11"/>
  <c r="D8021" i="11"/>
  <c r="D8173" i="11"/>
  <c r="D8197" i="11"/>
  <c r="D8237" i="11"/>
  <c r="D3120" i="11"/>
  <c r="C3192" i="11"/>
  <c r="C3264" i="11"/>
  <c r="D3344" i="11"/>
  <c r="C3376" i="11"/>
  <c r="D3536" i="11"/>
  <c r="D3648" i="11"/>
  <c r="D3728" i="11"/>
  <c r="D3760" i="11"/>
  <c r="C3808" i="11"/>
  <c r="C3920" i="11"/>
  <c r="C3968" i="11"/>
  <c r="C4000" i="11"/>
  <c r="D4080" i="11"/>
  <c r="D4240" i="11"/>
  <c r="D4272" i="11"/>
  <c r="C4320" i="11"/>
  <c r="C4432" i="11"/>
  <c r="C4480" i="11"/>
  <c r="C4512" i="11"/>
  <c r="D4657" i="11"/>
  <c r="C4753" i="11"/>
  <c r="D4913" i="11"/>
  <c r="C5009" i="11"/>
  <c r="C5201" i="11"/>
  <c r="D4574" i="11"/>
  <c r="D4633" i="11"/>
  <c r="C4684" i="11"/>
  <c r="C4748" i="11"/>
  <c r="D4812" i="11"/>
  <c r="C4862" i="11"/>
  <c r="D4921" i="11"/>
  <c r="D4985" i="11"/>
  <c r="D5068" i="11"/>
  <c r="C5182" i="11"/>
  <c r="D5278" i="11"/>
  <c r="D5342" i="11"/>
  <c r="C5502" i="11"/>
  <c r="D5871" i="11"/>
  <c r="D5951" i="11"/>
  <c r="D6045" i="11"/>
  <c r="D6127" i="11"/>
  <c r="D6207" i="11"/>
  <c r="D6303" i="11"/>
  <c r="D6431" i="11"/>
  <c r="D6559" i="11"/>
  <c r="D6863" i="11"/>
  <c r="D7055" i="11"/>
  <c r="C7566" i="11"/>
  <c r="C7622" i="11"/>
  <c r="C7750" i="11"/>
  <c r="C7982" i="11"/>
  <c r="C8054" i="11"/>
  <c r="C8102" i="11"/>
  <c r="C8246" i="11"/>
  <c r="C2086" i="11"/>
  <c r="D2214" i="11"/>
  <c r="C2286" i="11"/>
  <c r="C2526" i="11"/>
  <c r="C4582" i="11"/>
  <c r="C4934" i="11"/>
  <c r="D4998" i="11"/>
  <c r="D5057" i="11"/>
  <c r="D5121" i="11"/>
  <c r="C5492" i="11"/>
  <c r="D230" i="11"/>
  <c r="C748" i="11"/>
  <c r="D369" i="11"/>
  <c r="D652" i="11"/>
  <c r="D561" i="11"/>
  <c r="C1473" i="11"/>
  <c r="D1087" i="11"/>
  <c r="C1359" i="11"/>
  <c r="D1100" i="11"/>
  <c r="C1929" i="11"/>
  <c r="D1817" i="11"/>
  <c r="D2137" i="11"/>
  <c r="D2288" i="11"/>
  <c r="D3366" i="11"/>
  <c r="D3510" i="11"/>
  <c r="D3622" i="11"/>
  <c r="D3910" i="11"/>
  <c r="D4038" i="11"/>
  <c r="D4422" i="11"/>
  <c r="D4578" i="11"/>
  <c r="D2045" i="11"/>
  <c r="D2121" i="11"/>
  <c r="C2237" i="11"/>
  <c r="C3150" i="11"/>
  <c r="C3486" i="11"/>
  <c r="D3902" i="11"/>
  <c r="C4190" i="11"/>
  <c r="D2056" i="11"/>
  <c r="D2280" i="11"/>
  <c r="D2831" i="11"/>
  <c r="D2951" i="11"/>
  <c r="C3080" i="11"/>
  <c r="D3729" i="11"/>
  <c r="D3793" i="11"/>
  <c r="D3857" i="11"/>
  <c r="D3921" i="11"/>
  <c r="D3985" i="11"/>
  <c r="D4049" i="11"/>
  <c r="D4113" i="11"/>
  <c r="D4177" i="11"/>
  <c r="D4241" i="11"/>
  <c r="D4305" i="11"/>
  <c r="D4385" i="11"/>
  <c r="C4545" i="11"/>
  <c r="C6809" i="11"/>
  <c r="D7193" i="11"/>
  <c r="C8127" i="11"/>
  <c r="C500" i="11"/>
  <c r="D1641" i="11"/>
  <c r="D1989" i="11"/>
  <c r="C2680" i="11"/>
  <c r="C2823" i="11"/>
  <c r="C2957" i="11"/>
  <c r="C3116" i="11"/>
  <c r="D3396" i="11"/>
  <c r="C3628" i="11"/>
  <c r="D3740" i="11"/>
  <c r="C3932" i="11"/>
  <c r="D4076" i="11"/>
  <c r="D4220" i="11"/>
  <c r="D4284" i="11"/>
  <c r="C4380" i="11"/>
  <c r="D4583" i="11"/>
  <c r="C4839" i="11"/>
  <c r="D4615" i="11"/>
  <c r="D5629" i="11"/>
  <c r="C5954" i="11"/>
  <c r="D6114" i="11"/>
  <c r="D6370" i="11"/>
  <c r="D6818" i="11"/>
  <c r="D7647" i="11"/>
  <c r="C1735" i="11"/>
  <c r="D2711" i="11"/>
  <c r="D2871" i="11"/>
  <c r="C3109" i="11"/>
  <c r="D296" i="11"/>
  <c r="C521" i="11"/>
  <c r="D1450" i="11"/>
  <c r="C2007" i="11"/>
  <c r="D2103" i="11"/>
  <c r="D2225" i="11"/>
  <c r="D2375" i="11"/>
  <c r="C4428" i="11"/>
  <c r="D4671" i="11"/>
  <c r="D5447" i="11"/>
  <c r="C5582" i="11"/>
  <c r="D5762" i="11"/>
  <c r="D6066" i="11"/>
  <c r="C6514" i="11"/>
  <c r="D7519" i="11"/>
  <c r="D7895" i="11"/>
  <c r="D8223" i="11"/>
  <c r="C5701" i="11"/>
  <c r="C6694" i="11"/>
  <c r="C7206" i="11"/>
  <c r="C7804" i="11"/>
  <c r="C8092" i="11"/>
  <c r="D8534" i="11"/>
  <c r="D8982" i="11"/>
  <c r="D9014" i="11"/>
  <c r="C9052" i="11"/>
  <c r="C5592" i="11"/>
  <c r="D6801" i="11"/>
  <c r="D6929" i="11"/>
  <c r="D7057" i="11"/>
  <c r="D7185" i="11"/>
  <c r="D5055" i="11"/>
  <c r="C5634" i="11"/>
  <c r="C7935" i="11"/>
  <c r="C8232" i="11"/>
  <c r="C8680" i="11"/>
  <c r="D8714" i="11"/>
  <c r="C8728" i="11"/>
  <c r="D8810" i="11"/>
  <c r="D8829" i="11"/>
  <c r="D8965" i="11"/>
  <c r="D9277" i="11"/>
  <c r="D7300" i="11"/>
  <c r="D7903" i="11"/>
  <c r="C10010" i="11"/>
  <c r="D998" i="11"/>
  <c r="C1114" i="11"/>
  <c r="C2575" i="11"/>
  <c r="C2511" i="11"/>
  <c r="D2735" i="11"/>
  <c r="C3044" i="11"/>
  <c r="D1943" i="11"/>
  <c r="C2839" i="11"/>
  <c r="C3141" i="11"/>
  <c r="C3397" i="11"/>
  <c r="D3669" i="11"/>
  <c r="C4279" i="11"/>
  <c r="C9834" i="11"/>
  <c r="C9962" i="11"/>
  <c r="C3098" i="11"/>
  <c r="D4271" i="11"/>
  <c r="C3191" i="11"/>
  <c r="C1594" i="11"/>
  <c r="D1594" i="11"/>
  <c r="D2078" i="11"/>
  <c r="C2078" i="11"/>
  <c r="C2394" i="11"/>
  <c r="D2394" i="11"/>
  <c r="C2650" i="11"/>
  <c r="D2650" i="11"/>
  <c r="D3462" i="11"/>
  <c r="C3462" i="11"/>
  <c r="D4666" i="11"/>
  <c r="C4666" i="11"/>
  <c r="D4922" i="11"/>
  <c r="C4922" i="11"/>
  <c r="D5050" i="11"/>
  <c r="C5050" i="11"/>
  <c r="D5159" i="11"/>
  <c r="C5159" i="11"/>
  <c r="C5628" i="11"/>
  <c r="D5628" i="11"/>
  <c r="D5692" i="11"/>
  <c r="C5692" i="11"/>
  <c r="D5820" i="11"/>
  <c r="C5820" i="11"/>
  <c r="D5948" i="11"/>
  <c r="C5948" i="11"/>
  <c r="D6012" i="11"/>
  <c r="C6012" i="11"/>
  <c r="D6204" i="11"/>
  <c r="C6204" i="11"/>
  <c r="D6396" i="11"/>
  <c r="C6396" i="11"/>
  <c r="D6460" i="11"/>
  <c r="C6460" i="11"/>
  <c r="D6524" i="11"/>
  <c r="C6524" i="11"/>
  <c r="C6584" i="11"/>
  <c r="D6584" i="11"/>
  <c r="C6626" i="11"/>
  <c r="D6626" i="11"/>
  <c r="C6669" i="11"/>
  <c r="D6669" i="11"/>
  <c r="C6754" i="11"/>
  <c r="D6754" i="11"/>
  <c r="C6797" i="11"/>
  <c r="D6797" i="11"/>
  <c r="D6840" i="11"/>
  <c r="C6840" i="11"/>
  <c r="C6882" i="11"/>
  <c r="D6882" i="11"/>
  <c r="C6925" i="11"/>
  <c r="D6925" i="11"/>
  <c r="C7010" i="11"/>
  <c r="D7010" i="11"/>
  <c r="C7053" i="11"/>
  <c r="D7053" i="11"/>
  <c r="D7096" i="11"/>
  <c r="C7096" i="11"/>
  <c r="C7138" i="11"/>
  <c r="D7138" i="11"/>
  <c r="C7181" i="11"/>
  <c r="D7181" i="11"/>
  <c r="D7266" i="11"/>
  <c r="C7266" i="11"/>
  <c r="C7340" i="11"/>
  <c r="D7340" i="11"/>
  <c r="C7372" i="11"/>
  <c r="D7372" i="11"/>
  <c r="C7404" i="11"/>
  <c r="D7404" i="11"/>
  <c r="D7500" i="11"/>
  <c r="C7500" i="11"/>
  <c r="D7564" i="11"/>
  <c r="C7564" i="11"/>
  <c r="C7660" i="11"/>
  <c r="D7660" i="11"/>
  <c r="C7692" i="11"/>
  <c r="D7692" i="11"/>
  <c r="D7916" i="11"/>
  <c r="C7916" i="11"/>
  <c r="C7948" i="11"/>
  <c r="D7948" i="11"/>
  <c r="C7980" i="11"/>
  <c r="D7980" i="11"/>
  <c r="C8044" i="11"/>
  <c r="D8044" i="11"/>
  <c r="D8108" i="11"/>
  <c r="C8108" i="11"/>
  <c r="C8140" i="11"/>
  <c r="D8140" i="11"/>
  <c r="D8268" i="11"/>
  <c r="C8268" i="11"/>
  <c r="D8300" i="11"/>
  <c r="C8300" i="11"/>
  <c r="D8332" i="11"/>
  <c r="C8332" i="11"/>
  <c r="D8364" i="11"/>
  <c r="C8364" i="11"/>
  <c r="D8396" i="11"/>
  <c r="C8396" i="11"/>
  <c r="D8428" i="11"/>
  <c r="C8428" i="11"/>
  <c r="D8460" i="11"/>
  <c r="C8460" i="11"/>
  <c r="D8492" i="11"/>
  <c r="C8492" i="11"/>
  <c r="D8524" i="11"/>
  <c r="C8524" i="11"/>
  <c r="D8556" i="11"/>
  <c r="C8556" i="11"/>
  <c r="D8652" i="11"/>
  <c r="C8652" i="11"/>
  <c r="D8684" i="11"/>
  <c r="C8684" i="11"/>
  <c r="D8716" i="11"/>
  <c r="C8716" i="11"/>
  <c r="D8748" i="11"/>
  <c r="C8748" i="11"/>
  <c r="D8780" i="11"/>
  <c r="C8780" i="11"/>
  <c r="D8812" i="11"/>
  <c r="C8812" i="11"/>
  <c r="D8844" i="11"/>
  <c r="C8844" i="11"/>
  <c r="D8876" i="11"/>
  <c r="C8876" i="11"/>
  <c r="D8908" i="11"/>
  <c r="C8908" i="11"/>
  <c r="D2362" i="11"/>
  <c r="C2362" i="11"/>
  <c r="D2618" i="11"/>
  <c r="C2618" i="11"/>
  <c r="C2874" i="11"/>
  <c r="D2874" i="11"/>
  <c r="D3099" i="11"/>
  <c r="C3099" i="11"/>
  <c r="D3270" i="11"/>
  <c r="C3270" i="11"/>
  <c r="C3611" i="11"/>
  <c r="D3611" i="11"/>
  <c r="C4650" i="11"/>
  <c r="D4650" i="11"/>
  <c r="C4778" i="11"/>
  <c r="D4778" i="11"/>
  <c r="D4906" i="11"/>
  <c r="C4906" i="11"/>
  <c r="D5034" i="11"/>
  <c r="C5034" i="11"/>
  <c r="C5234" i="11"/>
  <c r="D5234" i="11"/>
  <c r="D5364" i="11"/>
  <c r="C5364" i="11"/>
  <c r="C5428" i="11"/>
  <c r="D5428" i="11"/>
  <c r="C5620" i="11"/>
  <c r="D5620" i="11"/>
  <c r="D5684" i="11"/>
  <c r="C5684" i="11"/>
  <c r="C6578" i="11"/>
  <c r="D6578" i="11"/>
  <c r="C6621" i="11"/>
  <c r="D6621" i="11"/>
  <c r="C6664" i="11"/>
  <c r="D6664" i="11"/>
  <c r="C6792" i="11"/>
  <c r="D6792" i="11"/>
  <c r="C6834" i="11"/>
  <c r="D6834" i="11"/>
  <c r="C6877" i="11"/>
  <c r="D6877" i="11"/>
  <c r="C6920" i="11"/>
  <c r="D6920" i="11"/>
  <c r="C6962" i="11"/>
  <c r="D6962" i="11"/>
  <c r="C7048" i="11"/>
  <c r="D7048" i="11"/>
  <c r="C7090" i="11"/>
  <c r="D7090" i="11"/>
  <c r="C7133" i="11"/>
  <c r="D7133" i="11"/>
  <c r="C7218" i="11"/>
  <c r="D7218" i="11"/>
  <c r="C7304" i="11"/>
  <c r="D7304" i="11"/>
  <c r="D7336" i="11"/>
  <c r="C7336" i="11"/>
  <c r="D7432" i="11"/>
  <c r="C7432" i="11"/>
  <c r="D7496" i="11"/>
  <c r="C7496" i="11"/>
  <c r="C7560" i="11"/>
  <c r="D7560" i="11"/>
  <c r="D7592" i="11"/>
  <c r="C7592" i="11"/>
  <c r="D7688" i="11"/>
  <c r="C7688" i="11"/>
  <c r="C7720" i="11"/>
  <c r="D7720" i="11"/>
  <c r="C7816" i="11"/>
  <c r="D7816" i="11"/>
  <c r="D7848" i="11"/>
  <c r="C7848" i="11"/>
  <c r="D7912" i="11"/>
  <c r="C7912" i="11"/>
  <c r="C7944" i="11"/>
  <c r="D7944" i="11"/>
  <c r="C8072" i="11"/>
  <c r="D8072" i="11"/>
  <c r="D8104" i="11"/>
  <c r="C8104" i="11"/>
  <c r="D8200" i="11"/>
  <c r="C8200" i="11"/>
  <c r="D8520" i="11"/>
  <c r="C8520" i="11"/>
  <c r="D8552" i="11"/>
  <c r="C8552" i="11"/>
  <c r="D8584" i="11"/>
  <c r="C8584" i="11"/>
  <c r="D8616" i="11"/>
  <c r="C8616" i="11"/>
  <c r="D8648" i="11"/>
  <c r="C8648" i="11"/>
  <c r="D8712" i="11"/>
  <c r="C8712" i="11"/>
  <c r="D8744" i="11"/>
  <c r="C8744" i="11"/>
  <c r="D8808" i="11"/>
  <c r="C8808" i="11"/>
  <c r="D8840" i="11"/>
  <c r="C8840" i="11"/>
  <c r="D8872" i="11"/>
  <c r="C8872" i="11"/>
  <c r="D8904" i="11"/>
  <c r="C8904" i="11"/>
  <c r="D8936" i="11"/>
  <c r="C8936" i="11"/>
  <c r="D8968" i="11"/>
  <c r="C8968" i="11"/>
  <c r="D9064" i="11"/>
  <c r="C9064" i="11"/>
  <c r="D9128" i="11"/>
  <c r="C9128" i="11"/>
  <c r="D9160" i="11"/>
  <c r="C9160" i="11"/>
  <c r="D9192" i="11"/>
  <c r="C9192" i="11"/>
  <c r="D9224" i="11"/>
  <c r="C9224" i="11"/>
  <c r="D9256" i="11"/>
  <c r="C9256" i="11"/>
  <c r="D9288" i="11"/>
  <c r="C9288" i="11"/>
  <c r="C10005" i="11"/>
  <c r="D10005" i="11"/>
  <c r="C9989" i="11"/>
  <c r="D9989" i="11"/>
  <c r="C9973" i="11"/>
  <c r="D9973" i="11"/>
  <c r="C9957" i="11"/>
  <c r="D9957" i="11"/>
  <c r="C9941" i="11"/>
  <c r="D9941" i="11"/>
  <c r="C9925" i="11"/>
  <c r="D9925" i="11"/>
  <c r="C9909" i="11"/>
  <c r="D9909" i="11"/>
  <c r="C9893" i="11"/>
  <c r="D9893" i="11"/>
  <c r="C9877" i="11"/>
  <c r="D9877" i="11"/>
  <c r="C9861" i="11"/>
  <c r="D9861" i="11"/>
  <c r="C9845" i="11"/>
  <c r="D9845" i="11"/>
  <c r="C9829" i="11"/>
  <c r="D9829" i="11"/>
  <c r="C9813" i="11"/>
  <c r="D9813" i="11"/>
  <c r="C9781" i="11"/>
  <c r="D9781" i="11"/>
  <c r="C9765" i="11"/>
  <c r="D9765" i="11"/>
  <c r="C9749" i="11"/>
  <c r="D9749" i="11"/>
  <c r="C9733" i="11"/>
  <c r="D9733" i="11"/>
  <c r="C9717" i="11"/>
  <c r="D9717" i="11"/>
  <c r="C9701" i="11"/>
  <c r="D9701" i="11"/>
  <c r="C9685" i="11"/>
  <c r="D9685" i="11"/>
  <c r="C9669" i="11"/>
  <c r="D9669" i="11"/>
  <c r="C9653" i="11"/>
  <c r="D9653" i="11"/>
  <c r="C9637" i="11"/>
  <c r="D9637" i="11"/>
  <c r="C9621" i="11"/>
  <c r="D9621" i="11"/>
  <c r="C9605" i="11"/>
  <c r="D9605" i="11"/>
  <c r="C9589" i="11"/>
  <c r="D9589" i="11"/>
  <c r="C9573" i="11"/>
  <c r="D9573" i="11"/>
  <c r="C9557" i="11"/>
  <c r="D9557" i="11"/>
  <c r="C9541" i="11"/>
  <c r="D9541" i="11"/>
  <c r="C9525" i="11"/>
  <c r="D9525" i="11"/>
  <c r="C9509" i="11"/>
  <c r="D9509" i="11"/>
  <c r="C9493" i="11"/>
  <c r="D9493" i="11"/>
  <c r="C9477" i="11"/>
  <c r="D9477" i="11"/>
  <c r="C9461" i="11"/>
  <c r="D9461" i="11"/>
  <c r="C9445" i="11"/>
  <c r="D9445" i="11"/>
  <c r="C9429" i="11"/>
  <c r="D9429" i="11"/>
  <c r="C9413" i="11"/>
  <c r="D9413" i="11"/>
  <c r="C9397" i="11"/>
  <c r="D9397" i="11"/>
  <c r="C9381" i="11"/>
  <c r="D9381" i="11"/>
  <c r="C9365" i="11"/>
  <c r="D9365" i="11"/>
  <c r="C9349" i="11"/>
  <c r="D9349" i="11"/>
  <c r="C9333" i="11"/>
  <c r="D9333" i="11"/>
  <c r="C9317" i="11"/>
  <c r="D9317" i="11"/>
  <c r="C9301" i="11"/>
  <c r="D9301" i="11"/>
  <c r="C9269" i="11"/>
  <c r="D9269" i="11"/>
  <c r="C9253" i="11"/>
  <c r="D9253" i="11"/>
  <c r="C9237" i="11"/>
  <c r="D9237" i="11"/>
  <c r="C9221" i="11"/>
  <c r="D9221" i="11"/>
  <c r="C9205" i="11"/>
  <c r="D9205" i="11"/>
  <c r="C9189" i="11"/>
  <c r="D9189" i="11"/>
  <c r="C9173" i="11"/>
  <c r="D9173" i="11"/>
  <c r="C9157" i="11"/>
  <c r="D9157" i="11"/>
  <c r="C9141" i="11"/>
  <c r="D9141" i="11"/>
  <c r="C9125" i="11"/>
  <c r="D9125" i="11"/>
  <c r="C9109" i="11"/>
  <c r="D9109" i="11"/>
  <c r="C9093" i="11"/>
  <c r="D9093" i="11"/>
  <c r="C9077" i="11"/>
  <c r="D9077" i="11"/>
  <c r="C9061" i="11"/>
  <c r="D9061" i="11"/>
  <c r="C9045" i="11"/>
  <c r="D9045" i="11"/>
  <c r="C9029" i="11"/>
  <c r="D9029" i="11"/>
  <c r="C8997" i="11"/>
  <c r="D8997" i="11"/>
  <c r="C8981" i="11"/>
  <c r="D8981" i="11"/>
  <c r="C8949" i="11"/>
  <c r="D8949" i="11"/>
  <c r="C8933" i="11"/>
  <c r="D8933" i="11"/>
  <c r="C8917" i="11"/>
  <c r="D8917" i="11"/>
  <c r="C8901" i="11"/>
  <c r="D8901" i="11"/>
  <c r="C8885" i="11"/>
  <c r="D8885" i="11"/>
  <c r="C8869" i="11"/>
  <c r="D8869" i="11"/>
  <c r="C8853" i="11"/>
  <c r="D8853" i="11"/>
  <c r="C8837" i="11"/>
  <c r="D8837" i="11"/>
  <c r="C8821" i="11"/>
  <c r="D8821" i="11"/>
  <c r="C8805" i="11"/>
  <c r="D8805" i="11"/>
  <c r="C8789" i="11"/>
  <c r="D8789" i="11"/>
  <c r="C8773" i="11"/>
  <c r="D8773" i="11"/>
  <c r="C8757" i="11"/>
  <c r="D8757" i="11"/>
  <c r="C8741" i="11"/>
  <c r="D8741" i="11"/>
  <c r="C8725" i="11"/>
  <c r="D8725" i="11"/>
  <c r="C8709" i="11"/>
  <c r="D8709" i="11"/>
  <c r="C8693" i="11"/>
  <c r="D8693" i="11"/>
  <c r="C8677" i="11"/>
  <c r="D8677" i="11"/>
  <c r="C8661" i="11"/>
  <c r="D8661" i="11"/>
  <c r="C8645" i="11"/>
  <c r="D8645" i="11"/>
  <c r="C8629" i="11"/>
  <c r="D8629" i="11"/>
  <c r="C8613" i="11"/>
  <c r="D8613" i="11"/>
  <c r="C8597" i="11"/>
  <c r="D8597" i="11"/>
  <c r="C8581" i="11"/>
  <c r="D8581" i="11"/>
  <c r="C8565" i="11"/>
  <c r="D8565" i="11"/>
  <c r="C8533" i="11"/>
  <c r="D8533" i="11"/>
  <c r="C8517" i="11"/>
  <c r="D8517" i="11"/>
  <c r="C8501" i="11"/>
  <c r="D8501" i="11"/>
  <c r="C8469" i="11"/>
  <c r="D8469" i="11"/>
  <c r="C8453" i="11"/>
  <c r="D8453" i="11"/>
  <c r="C8437" i="11"/>
  <c r="D8437" i="11"/>
  <c r="C8421" i="11"/>
  <c r="D8421" i="11"/>
  <c r="C8405" i="11"/>
  <c r="D8405" i="11"/>
  <c r="C8389" i="11"/>
  <c r="D8389" i="11"/>
  <c r="C8373" i="11"/>
  <c r="D8373" i="11"/>
  <c r="C8357" i="11"/>
  <c r="D8357" i="11"/>
  <c r="C8341" i="11"/>
  <c r="D8341" i="11"/>
  <c r="C8325" i="11"/>
  <c r="D8325" i="11"/>
  <c r="C8309" i="11"/>
  <c r="D8309" i="11"/>
  <c r="C8293" i="11"/>
  <c r="D8293" i="11"/>
  <c r="C8277" i="11"/>
  <c r="D8277" i="11"/>
  <c r="C8261" i="11"/>
  <c r="D8261" i="11"/>
  <c r="C8069" i="11"/>
  <c r="D8069" i="11"/>
  <c r="C8053" i="11"/>
  <c r="D8053" i="11"/>
  <c r="C8037" i="11"/>
  <c r="D8037" i="11"/>
  <c r="C8005" i="11"/>
  <c r="D8005" i="11"/>
  <c r="C7989" i="11"/>
  <c r="D7989" i="11"/>
  <c r="C7973" i="11"/>
  <c r="D7973" i="11"/>
  <c r="C7957" i="11"/>
  <c r="D7957" i="11"/>
  <c r="C7941" i="11"/>
  <c r="D7941" i="11"/>
  <c r="C7861" i="11"/>
  <c r="D7861" i="11"/>
  <c r="C7845" i="11"/>
  <c r="D7845" i="11"/>
  <c r="C7829" i="11"/>
  <c r="D7829" i="11"/>
  <c r="C7621" i="11"/>
  <c r="D7621" i="11"/>
  <c r="C7605" i="11"/>
  <c r="D7605" i="11"/>
  <c r="C7589" i="11"/>
  <c r="D7589" i="11"/>
  <c r="C7557" i="11"/>
  <c r="D7557" i="11"/>
  <c r="C7525" i="11"/>
  <c r="D7525" i="11"/>
  <c r="C7509" i="11"/>
  <c r="D7509" i="11"/>
  <c r="C7493" i="11"/>
  <c r="D7493" i="11"/>
  <c r="C7477" i="11"/>
  <c r="D7477" i="11"/>
  <c r="C7461" i="11"/>
  <c r="D7461" i="11"/>
  <c r="C7445" i="11"/>
  <c r="D7445" i="11"/>
  <c r="C7429" i="11"/>
  <c r="D7429" i="11"/>
  <c r="D7278" i="11"/>
  <c r="C7278" i="11"/>
  <c r="D7236" i="11"/>
  <c r="C7236" i="11"/>
  <c r="D7214" i="11"/>
  <c r="C7214" i="11"/>
  <c r="D7172" i="11"/>
  <c r="C7172" i="11"/>
  <c r="D7150" i="11"/>
  <c r="C7150" i="11"/>
  <c r="D7108" i="11"/>
  <c r="C7108" i="11"/>
  <c r="D7086" i="11"/>
  <c r="C7086" i="11"/>
  <c r="D7065" i="11"/>
  <c r="C7065" i="11"/>
  <c r="D7044" i="11"/>
  <c r="C7044" i="11"/>
  <c r="D7022" i="11"/>
  <c r="C7022" i="11"/>
  <c r="D6980" i="11"/>
  <c r="C6980" i="11"/>
  <c r="D6958" i="11"/>
  <c r="C6958" i="11"/>
  <c r="D6937" i="11"/>
  <c r="C6937" i="11"/>
  <c r="D6916" i="11"/>
  <c r="C6916" i="11"/>
  <c r="D6894" i="11"/>
  <c r="C6894" i="11"/>
  <c r="C6873" i="11"/>
  <c r="D6873" i="11"/>
  <c r="D6852" i="11"/>
  <c r="C6852" i="11"/>
  <c r="D6830" i="11"/>
  <c r="C6830" i="11"/>
  <c r="D6788" i="11"/>
  <c r="C6788" i="11"/>
  <c r="D6766" i="11"/>
  <c r="C6766" i="11"/>
  <c r="D6724" i="11"/>
  <c r="C6724" i="11"/>
  <c r="D6702" i="11"/>
  <c r="C6702" i="11"/>
  <c r="D6681" i="11"/>
  <c r="C6681" i="11"/>
  <c r="D6660" i="11"/>
  <c r="C6660" i="11"/>
  <c r="D6638" i="11"/>
  <c r="C6638" i="11"/>
  <c r="C6617" i="11"/>
  <c r="D6617" i="11"/>
  <c r="C6596" i="11"/>
  <c r="D6596" i="11"/>
  <c r="D6574" i="11"/>
  <c r="C6574" i="11"/>
  <c r="C6542" i="11"/>
  <c r="D6542" i="11"/>
  <c r="D6510" i="11"/>
  <c r="C6510" i="11"/>
  <c r="D6478" i="11"/>
  <c r="C6478" i="11"/>
  <c r="C6446" i="11"/>
  <c r="D6446" i="11"/>
  <c r="D6414" i="11"/>
  <c r="C6414" i="11"/>
  <c r="D6382" i="11"/>
  <c r="C6382" i="11"/>
  <c r="D6318" i="11"/>
  <c r="C6318" i="11"/>
  <c r="C6286" i="11"/>
  <c r="D6286" i="11"/>
  <c r="D6254" i="11"/>
  <c r="C6254" i="11"/>
  <c r="D6222" i="11"/>
  <c r="C6222" i="11"/>
  <c r="D6190" i="11"/>
  <c r="C6190" i="11"/>
  <c r="D6158" i="11"/>
  <c r="C6158" i="11"/>
  <c r="D6126" i="11"/>
  <c r="C6126" i="11"/>
  <c r="D6094" i="11"/>
  <c r="C6094" i="11"/>
  <c r="C6062" i="11"/>
  <c r="D6062" i="11"/>
  <c r="D6030" i="11"/>
  <c r="C6030" i="11"/>
  <c r="D5998" i="11"/>
  <c r="C5998" i="11"/>
  <c r="D5966" i="11"/>
  <c r="C5966" i="11"/>
  <c r="C5934" i="11"/>
  <c r="D5934" i="11"/>
  <c r="C5902" i="11"/>
  <c r="D5902" i="11"/>
  <c r="D5870" i="11"/>
  <c r="C5870" i="11"/>
  <c r="C5838" i="11"/>
  <c r="D5838" i="11"/>
  <c r="C5806" i="11"/>
  <c r="D5806" i="11"/>
  <c r="C5774" i="11"/>
  <c r="D5774" i="11"/>
  <c r="C5742" i="11"/>
  <c r="D5742" i="11"/>
  <c r="C5710" i="11"/>
  <c r="D5710" i="11"/>
  <c r="C5678" i="11"/>
  <c r="D5678" i="11"/>
  <c r="D5614" i="11"/>
  <c r="C5614" i="11"/>
  <c r="C5226" i="11"/>
  <c r="D5226" i="11"/>
  <c r="D5183" i="11"/>
  <c r="C5183" i="11"/>
  <c r="D4382" i="11"/>
  <c r="C4382" i="11"/>
  <c r="C4318" i="11"/>
  <c r="D4318" i="11"/>
  <c r="C4254" i="11"/>
  <c r="D4254" i="11"/>
  <c r="D3934" i="11"/>
  <c r="C3934" i="11"/>
  <c r="C3870" i="11"/>
  <c r="D3870" i="11"/>
  <c r="C3806" i="11"/>
  <c r="D3806" i="11"/>
  <c r="C3595" i="11"/>
  <c r="D3595" i="11"/>
  <c r="D3339" i="11"/>
  <c r="C3339" i="11"/>
  <c r="C3083" i="11"/>
  <c r="D3083" i="11"/>
  <c r="D2722" i="11"/>
  <c r="C2722" i="11"/>
  <c r="C2594" i="11"/>
  <c r="D2594" i="11"/>
  <c r="C2466" i="11"/>
  <c r="D2466" i="11"/>
  <c r="C2338" i="11"/>
  <c r="D2338" i="11"/>
  <c r="C1980" i="11"/>
  <c r="D1980" i="11"/>
  <c r="D1752" i="11"/>
  <c r="C1752" i="11"/>
  <c r="C9999" i="11"/>
  <c r="D9999" i="11"/>
  <c r="C9983" i="11"/>
  <c r="D9983" i="11"/>
  <c r="C9967" i="11"/>
  <c r="D9967" i="11"/>
  <c r="C9951" i="11"/>
  <c r="D9951" i="11"/>
  <c r="C9935" i="11"/>
  <c r="D9935" i="11"/>
  <c r="C9919" i="11"/>
  <c r="D9919" i="11"/>
  <c r="C9903" i="11"/>
  <c r="D9903" i="11"/>
  <c r="C9887" i="11"/>
  <c r="D9887" i="11"/>
  <c r="C9871" i="11"/>
  <c r="D9871" i="11"/>
  <c r="C9855" i="11"/>
  <c r="D9855" i="11"/>
  <c r="C9807" i="11"/>
  <c r="D9807" i="11"/>
  <c r="C9791" i="11"/>
  <c r="D9791" i="11"/>
  <c r="C9759" i="11"/>
  <c r="D9759" i="11"/>
  <c r="C9743" i="11"/>
  <c r="D9743" i="11"/>
  <c r="C9727" i="11"/>
  <c r="D9727" i="11"/>
  <c r="C9711" i="11"/>
  <c r="D9711" i="11"/>
  <c r="C9695" i="11"/>
  <c r="D9695" i="11"/>
  <c r="C9679" i="11"/>
  <c r="D9679" i="11"/>
  <c r="C9663" i="11"/>
  <c r="D9663" i="11"/>
  <c r="C9647" i="11"/>
  <c r="D9647" i="11"/>
  <c r="C9631" i="11"/>
  <c r="D9631" i="11"/>
  <c r="C9615" i="11"/>
  <c r="D9615" i="11"/>
  <c r="C9599" i="11"/>
  <c r="D9599" i="11"/>
  <c r="C9583" i="11"/>
  <c r="D9583" i="11"/>
  <c r="C9567" i="11"/>
  <c r="D9567" i="11"/>
  <c r="C9551" i="11"/>
  <c r="D9551" i="11"/>
  <c r="C9535" i="11"/>
  <c r="D9535" i="11"/>
  <c r="C9519" i="11"/>
  <c r="D9519" i="11"/>
  <c r="C9503" i="11"/>
  <c r="D9503" i="11"/>
  <c r="C9487" i="11"/>
  <c r="D9487" i="11"/>
  <c r="C9471" i="11"/>
  <c r="D9471" i="11"/>
  <c r="C9455" i="11"/>
  <c r="D9455" i="11"/>
  <c r="C9439" i="11"/>
  <c r="D9439" i="11"/>
  <c r="C9423" i="11"/>
  <c r="D9423" i="11"/>
  <c r="C9407" i="11"/>
  <c r="D9407" i="11"/>
  <c r="C9391" i="11"/>
  <c r="D9391" i="11"/>
  <c r="C9375" i="11"/>
  <c r="D9375" i="11"/>
  <c r="C9359" i="11"/>
  <c r="D9359" i="11"/>
  <c r="C9343" i="11"/>
  <c r="D9343" i="11"/>
  <c r="C9327" i="11"/>
  <c r="D9327" i="11"/>
  <c r="C9311" i="11"/>
  <c r="D9311" i="11"/>
  <c r="C9295" i="11"/>
  <c r="D9295" i="11"/>
  <c r="C9279" i="11"/>
  <c r="D9279" i="11"/>
  <c r="C9263" i="11"/>
  <c r="D9263" i="11"/>
  <c r="C9247" i="11"/>
  <c r="D9247" i="11"/>
  <c r="C9231" i="11"/>
  <c r="D9231" i="11"/>
  <c r="C9215" i="11"/>
  <c r="D9215" i="11"/>
  <c r="C9199" i="11"/>
  <c r="D9199" i="11"/>
  <c r="C9183" i="11"/>
  <c r="D9183" i="11"/>
  <c r="C9167" i="11"/>
  <c r="D9167" i="11"/>
  <c r="C9151" i="11"/>
  <c r="D9151" i="11"/>
  <c r="C9135" i="11"/>
  <c r="D9135" i="11"/>
  <c r="C9119" i="11"/>
  <c r="D9119" i="11"/>
  <c r="C9103" i="11"/>
  <c r="D9103" i="11"/>
  <c r="C9087" i="11"/>
  <c r="D9087" i="11"/>
  <c r="C9071" i="11"/>
  <c r="D9071" i="11"/>
  <c r="C9055" i="11"/>
  <c r="D9055" i="11"/>
  <c r="C9039" i="11"/>
  <c r="D9039" i="11"/>
  <c r="C9023" i="11"/>
  <c r="D9023" i="11"/>
  <c r="C9007" i="11"/>
  <c r="D9007" i="11"/>
  <c r="C8991" i="11"/>
  <c r="D8991" i="11"/>
  <c r="C8975" i="11"/>
  <c r="D8975" i="11"/>
  <c r="C8959" i="11"/>
  <c r="D8959" i="11"/>
  <c r="C8943" i="11"/>
  <c r="D8943" i="11"/>
  <c r="C8927" i="11"/>
  <c r="D8927" i="11"/>
  <c r="C8911" i="11"/>
  <c r="D8911" i="11"/>
  <c r="C8895" i="11"/>
  <c r="D8895" i="11"/>
  <c r="C8879" i="11"/>
  <c r="D8879" i="11"/>
  <c r="C8863" i="11"/>
  <c r="D8863" i="11"/>
  <c r="C8847" i="11"/>
  <c r="D8847" i="11"/>
  <c r="C8831" i="11"/>
  <c r="D8831" i="11"/>
  <c r="C8815" i="11"/>
  <c r="D8815" i="11"/>
  <c r="C8799" i="11"/>
  <c r="D8799" i="11"/>
  <c r="C8783" i="11"/>
  <c r="D8783" i="11"/>
  <c r="C8767" i="11"/>
  <c r="D8767" i="11"/>
  <c r="C8751" i="11"/>
  <c r="D8751" i="11"/>
  <c r="C8735" i="11"/>
  <c r="D8735" i="11"/>
  <c r="C8719" i="11"/>
  <c r="D8719" i="11"/>
  <c r="C8703" i="11"/>
  <c r="D8703" i="11"/>
  <c r="C8687" i="11"/>
  <c r="D8687" i="11"/>
  <c r="C8671" i="11"/>
  <c r="D8671" i="11"/>
  <c r="C8655" i="11"/>
  <c r="D8655" i="11"/>
  <c r="C8639" i="11"/>
  <c r="D8639" i="11"/>
  <c r="C8623" i="11"/>
  <c r="D8623" i="11"/>
  <c r="C8607" i="11"/>
  <c r="D8607" i="11"/>
  <c r="C8591" i="11"/>
  <c r="D8591" i="11"/>
  <c r="C8575" i="11"/>
  <c r="D8575" i="11"/>
  <c r="C8559" i="11"/>
  <c r="D8559" i="11"/>
  <c r="C8543" i="11"/>
  <c r="D8543" i="11"/>
  <c r="C8527" i="11"/>
  <c r="D8527" i="11"/>
  <c r="C8511" i="11"/>
  <c r="D8511" i="11"/>
  <c r="C8495" i="11"/>
  <c r="D8495" i="11"/>
  <c r="C8479" i="11"/>
  <c r="D8479" i="11"/>
  <c r="C8463" i="11"/>
  <c r="D8463" i="11"/>
  <c r="C8447" i="11"/>
  <c r="D8447" i="11"/>
  <c r="C8431" i="11"/>
  <c r="D8431" i="11"/>
  <c r="C8415" i="11"/>
  <c r="D8415" i="11"/>
  <c r="C8399" i="11"/>
  <c r="D8399" i="11"/>
  <c r="C8383" i="11"/>
  <c r="D8383" i="11"/>
  <c r="C8367" i="11"/>
  <c r="D8367" i="11"/>
  <c r="C8351" i="11"/>
  <c r="D8351" i="11"/>
  <c r="C8335" i="11"/>
  <c r="D8335" i="11"/>
  <c r="C8319" i="11"/>
  <c r="D8319" i="11"/>
  <c r="C8303" i="11"/>
  <c r="D8303" i="11"/>
  <c r="C8287" i="11"/>
  <c r="D8287" i="11"/>
  <c r="C8271" i="11"/>
  <c r="D8271" i="11"/>
  <c r="C8255" i="11"/>
  <c r="D8255" i="11"/>
  <c r="C8207" i="11"/>
  <c r="D8207" i="11"/>
  <c r="C8191" i="11"/>
  <c r="D8191" i="11"/>
  <c r="C8175" i="11"/>
  <c r="D8175" i="11"/>
  <c r="D8159" i="11"/>
  <c r="C8159" i="11"/>
  <c r="D8143" i="11"/>
  <c r="C8143" i="11"/>
  <c r="C8111" i="11"/>
  <c r="D8111" i="11"/>
  <c r="C8095" i="11"/>
  <c r="D8095" i="11"/>
  <c r="C8079" i="11"/>
  <c r="D8079" i="11"/>
  <c r="D8063" i="11"/>
  <c r="C8063" i="11"/>
  <c r="D8047" i="11"/>
  <c r="C8047" i="11"/>
  <c r="C8015" i="11"/>
  <c r="D8015" i="11"/>
  <c r="D7999" i="11"/>
  <c r="C7999" i="11"/>
  <c r="C7983" i="11"/>
  <c r="D7983" i="11"/>
  <c r="C7951" i="11"/>
  <c r="D7951" i="11"/>
  <c r="C7919" i="11"/>
  <c r="D7919" i="11"/>
  <c r="C7855" i="11"/>
  <c r="D7855" i="11"/>
  <c r="D7839" i="11"/>
  <c r="C7839" i="11"/>
  <c r="C7823" i="11"/>
  <c r="D7823" i="11"/>
  <c r="C7807" i="11"/>
  <c r="D7807" i="11"/>
  <c r="C7791" i="11"/>
  <c r="D7791" i="11"/>
  <c r="C7775" i="11"/>
  <c r="D7775" i="11"/>
  <c r="D7743" i="11"/>
  <c r="C7743" i="11"/>
  <c r="C7727" i="11"/>
  <c r="D7727" i="11"/>
  <c r="D7711" i="11"/>
  <c r="C7711" i="11"/>
  <c r="C7695" i="11"/>
  <c r="D7695" i="11"/>
  <c r="C7679" i="11"/>
  <c r="D7679" i="11"/>
  <c r="C7631" i="11"/>
  <c r="D7631" i="11"/>
  <c r="C7599" i="11"/>
  <c r="D7599" i="11"/>
  <c r="C7567" i="11"/>
  <c r="D7567" i="11"/>
  <c r="C7551" i="11"/>
  <c r="D7551" i="11"/>
  <c r="D7535" i="11"/>
  <c r="C7535" i="11"/>
  <c r="C7503" i="11"/>
  <c r="D7503" i="11"/>
  <c r="D7487" i="11"/>
  <c r="C7487" i="11"/>
  <c r="C7455" i="11"/>
  <c r="D7455" i="11"/>
  <c r="C7439" i="11"/>
  <c r="D7439" i="11"/>
  <c r="D7423" i="11"/>
  <c r="C7423" i="11"/>
  <c r="D7407" i="11"/>
  <c r="C7407" i="11"/>
  <c r="D7375" i="11"/>
  <c r="C7375" i="11"/>
  <c r="C7343" i="11"/>
  <c r="D7343" i="11"/>
  <c r="C7311" i="11"/>
  <c r="D7311" i="11"/>
  <c r="D7292" i="11"/>
  <c r="C7292" i="11"/>
  <c r="D7270" i="11"/>
  <c r="C7270" i="11"/>
  <c r="C7228" i="11"/>
  <c r="D7228" i="11"/>
  <c r="C7164" i="11"/>
  <c r="D7164" i="11"/>
  <c r="D7142" i="11"/>
  <c r="C7142" i="11"/>
  <c r="C7100" i="11"/>
  <c r="D7100" i="11"/>
  <c r="C7036" i="11"/>
  <c r="D7036" i="11"/>
  <c r="D7014" i="11"/>
  <c r="C7014" i="11"/>
  <c r="C6972" i="11"/>
  <c r="D6972" i="11"/>
  <c r="C6908" i="11"/>
  <c r="D6908" i="11"/>
  <c r="D6886" i="11"/>
  <c r="C6886" i="11"/>
  <c r="C6844" i="11"/>
  <c r="D6844" i="11"/>
  <c r="C6780" i="11"/>
  <c r="D6780" i="11"/>
  <c r="D6758" i="11"/>
  <c r="C6758" i="11"/>
  <c r="C6737" i="11"/>
  <c r="D6737" i="11"/>
  <c r="C6716" i="11"/>
  <c r="D6716" i="11"/>
  <c r="D6673" i="11"/>
  <c r="C6673" i="11"/>
  <c r="C6652" i="11"/>
  <c r="D6652" i="11"/>
  <c r="D6630" i="11"/>
  <c r="C6630" i="11"/>
  <c r="D6588" i="11"/>
  <c r="C6588" i="11"/>
  <c r="C6530" i="11"/>
  <c r="D6530" i="11"/>
  <c r="C6466" i="11"/>
  <c r="D6466" i="11"/>
  <c r="C6402" i="11"/>
  <c r="D6402" i="11"/>
  <c r="C6338" i="11"/>
  <c r="D6338" i="11"/>
  <c r="C6274" i="11"/>
  <c r="D6274" i="11"/>
  <c r="C6210" i="11"/>
  <c r="D6210" i="11"/>
  <c r="C6146" i="11"/>
  <c r="D6146" i="11"/>
  <c r="C6082" i="11"/>
  <c r="D6082" i="11"/>
  <c r="D5986" i="11"/>
  <c r="C5986" i="11"/>
  <c r="D5922" i="11"/>
  <c r="C5922" i="11"/>
  <c r="D5858" i="11"/>
  <c r="C5858" i="11"/>
  <c r="D5794" i="11"/>
  <c r="C5794" i="11"/>
  <c r="D5730" i="11"/>
  <c r="C5730" i="11"/>
  <c r="C5602" i="11"/>
  <c r="D5602" i="11"/>
  <c r="D5570" i="11"/>
  <c r="C5570" i="11"/>
  <c r="C5506" i="11"/>
  <c r="D5506" i="11"/>
  <c r="D5474" i="11"/>
  <c r="C5474" i="11"/>
  <c r="C5442" i="11"/>
  <c r="D5442" i="11"/>
  <c r="C5410" i="11"/>
  <c r="D5410" i="11"/>
  <c r="D5378" i="11"/>
  <c r="C5378" i="11"/>
  <c r="C5346" i="11"/>
  <c r="D5346" i="11"/>
  <c r="C5314" i="11"/>
  <c r="D5314" i="11"/>
  <c r="C5282" i="11"/>
  <c r="D5282" i="11"/>
  <c r="D5250" i="11"/>
  <c r="C5250" i="11"/>
  <c r="C5210" i="11"/>
  <c r="D5210" i="11"/>
  <c r="D5167" i="11"/>
  <c r="C5167" i="11"/>
  <c r="D5062" i="11"/>
  <c r="C5062" i="11"/>
  <c r="C4870" i="11"/>
  <c r="D4870" i="11"/>
  <c r="D4806" i="11"/>
  <c r="C4806" i="11"/>
  <c r="C4614" i="11"/>
  <c r="D4614" i="11"/>
  <c r="C4550" i="11"/>
  <c r="D4550" i="11"/>
  <c r="C4486" i="11"/>
  <c r="D4486" i="11"/>
  <c r="D4358" i="11"/>
  <c r="C4358" i="11"/>
  <c r="D4294" i="11"/>
  <c r="C4294" i="11"/>
  <c r="C4230" i="11"/>
  <c r="D4230" i="11"/>
  <c r="D4166" i="11"/>
  <c r="C4166" i="11"/>
  <c r="D4102" i="11"/>
  <c r="C4102" i="11"/>
  <c r="C3974" i="11"/>
  <c r="D3974" i="11"/>
  <c r="D3846" i="11"/>
  <c r="C3846" i="11"/>
  <c r="D3782" i="11"/>
  <c r="C3782" i="11"/>
  <c r="C3718" i="11"/>
  <c r="D3718" i="11"/>
  <c r="D3563" i="11"/>
  <c r="C3563" i="11"/>
  <c r="D3222" i="11"/>
  <c r="C3222" i="11"/>
  <c r="C2674" i="11"/>
  <c r="D2674" i="11"/>
  <c r="D2546" i="11"/>
  <c r="C2546" i="11"/>
  <c r="D2418" i="11"/>
  <c r="C2418" i="11"/>
  <c r="D1894" i="11"/>
  <c r="C1894" i="11"/>
  <c r="C7303" i="11"/>
  <c r="D7303" i="11"/>
  <c r="C7287" i="11"/>
  <c r="D7287" i="11"/>
  <c r="C7271" i="11"/>
  <c r="D7271" i="11"/>
  <c r="C7239" i="11"/>
  <c r="D7239" i="11"/>
  <c r="C7223" i="11"/>
  <c r="D7223" i="11"/>
  <c r="C7207" i="11"/>
  <c r="D7207" i="11"/>
  <c r="C7191" i="11"/>
  <c r="D7191" i="11"/>
  <c r="C7175" i="11"/>
  <c r="D7175" i="11"/>
  <c r="C7159" i="11"/>
  <c r="D7159" i="11"/>
  <c r="C7143" i="11"/>
  <c r="D7143" i="11"/>
  <c r="C7127" i="11"/>
  <c r="D7127" i="11"/>
  <c r="C7111" i="11"/>
  <c r="D7111" i="11"/>
  <c r="C7095" i="11"/>
  <c r="D7095" i="11"/>
  <c r="C7079" i="11"/>
  <c r="D7079" i="11"/>
  <c r="C7063" i="11"/>
  <c r="D7063" i="11"/>
  <c r="C7047" i="11"/>
  <c r="D7047" i="11"/>
  <c r="C7031" i="11"/>
  <c r="D7031" i="11"/>
  <c r="C7015" i="11"/>
  <c r="D7015" i="11"/>
  <c r="C6999" i="11"/>
  <c r="D6999" i="11"/>
  <c r="C6983" i="11"/>
  <c r="D6983" i="11"/>
  <c r="C6967" i="11"/>
  <c r="D6967" i="11"/>
  <c r="C6951" i="11"/>
  <c r="D6951" i="11"/>
  <c r="C6935" i="11"/>
  <c r="D6935" i="11"/>
  <c r="C6919" i="11"/>
  <c r="D6919" i="11"/>
  <c r="C6903" i="11"/>
  <c r="D6903" i="11"/>
  <c r="C6887" i="11"/>
  <c r="D6887" i="11"/>
  <c r="C6871" i="11"/>
  <c r="D6871" i="11"/>
  <c r="C6855" i="11"/>
  <c r="D6855" i="11"/>
  <c r="C6839" i="11"/>
  <c r="D6839" i="11"/>
  <c r="C6823" i="11"/>
  <c r="D6823" i="11"/>
  <c r="C6807" i="11"/>
  <c r="D6807" i="11"/>
  <c r="C6791" i="11"/>
  <c r="D6791" i="11"/>
  <c r="C6775" i="11"/>
  <c r="D6775" i="11"/>
  <c r="C6759" i="11"/>
  <c r="D6759" i="11"/>
  <c r="C6743" i="11"/>
  <c r="D6743" i="11"/>
  <c r="C6727" i="11"/>
  <c r="D6727" i="11"/>
  <c r="C6711" i="11"/>
  <c r="D6711" i="11"/>
  <c r="C6695" i="11"/>
  <c r="D6695" i="11"/>
  <c r="C6679" i="11"/>
  <c r="D6679" i="11"/>
  <c r="C6663" i="11"/>
  <c r="D6663" i="11"/>
  <c r="C6647" i="11"/>
  <c r="D6647" i="11"/>
  <c r="C6631" i="11"/>
  <c r="D6631" i="11"/>
  <c r="C6615" i="11"/>
  <c r="D6615" i="11"/>
  <c r="C6599" i="11"/>
  <c r="D6599" i="11"/>
  <c r="C6583" i="11"/>
  <c r="D6583" i="11"/>
  <c r="C6567" i="11"/>
  <c r="D6567" i="11"/>
  <c r="C6551" i="11"/>
  <c r="D6551" i="11"/>
  <c r="C6535" i="11"/>
  <c r="D6535" i="11"/>
  <c r="C6519" i="11"/>
  <c r="D6519" i="11"/>
  <c r="C6503" i="11"/>
  <c r="D6503" i="11"/>
  <c r="C6487" i="11"/>
  <c r="D6487" i="11"/>
  <c r="C6471" i="11"/>
  <c r="D6471" i="11"/>
  <c r="C6455" i="11"/>
  <c r="D6455" i="11"/>
  <c r="C6439" i="11"/>
  <c r="D6439" i="11"/>
  <c r="C6423" i="11"/>
  <c r="D6423" i="11"/>
  <c r="C6407" i="11"/>
  <c r="D6407" i="11"/>
  <c r="C6391" i="11"/>
  <c r="D6391" i="11"/>
  <c r="C6375" i="11"/>
  <c r="D6375" i="11"/>
  <c r="C6359" i="11"/>
  <c r="D6359" i="11"/>
  <c r="C6343" i="11"/>
  <c r="D6343" i="11"/>
  <c r="C6327" i="11"/>
  <c r="D6327" i="11"/>
  <c r="C6311" i="11"/>
  <c r="D6311" i="11"/>
  <c r="C6295" i="11"/>
  <c r="D6295" i="11"/>
  <c r="C6279" i="11"/>
  <c r="D6279" i="11"/>
  <c r="C6263" i="11"/>
  <c r="D6263" i="11"/>
  <c r="C6247" i="11"/>
  <c r="D6247" i="11"/>
  <c r="C6231" i="11"/>
  <c r="D6231" i="11"/>
  <c r="C6215" i="11"/>
  <c r="D6215" i="11"/>
  <c r="C6199" i="11"/>
  <c r="D6199" i="11"/>
  <c r="C6183" i="11"/>
  <c r="D6183" i="11"/>
  <c r="C6167" i="11"/>
  <c r="D6167" i="11"/>
  <c r="C6151" i="11"/>
  <c r="D6151" i="11"/>
  <c r="C6135" i="11"/>
  <c r="D6135" i="11"/>
  <c r="C6119" i="11"/>
  <c r="D6119" i="11"/>
  <c r="C6103" i="11"/>
  <c r="D6103" i="11"/>
  <c r="C6087" i="11"/>
  <c r="D6087" i="11"/>
  <c r="C6071" i="11"/>
  <c r="D6071" i="11"/>
  <c r="C6055" i="11"/>
  <c r="D6055" i="11"/>
  <c r="C6039" i="11"/>
  <c r="D6039" i="11"/>
  <c r="C6023" i="11"/>
  <c r="D6023" i="11"/>
  <c r="C6007" i="11"/>
  <c r="D6007" i="11"/>
  <c r="C5991" i="11"/>
  <c r="D5991" i="11"/>
  <c r="C5975" i="11"/>
  <c r="D5975" i="11"/>
  <c r="C5959" i="11"/>
  <c r="D5959" i="11"/>
  <c r="C5943" i="11"/>
  <c r="D5943" i="11"/>
  <c r="C5927" i="11"/>
  <c r="D5927" i="11"/>
  <c r="C5911" i="11"/>
  <c r="D5911" i="11"/>
  <c r="C5895" i="11"/>
  <c r="D5895" i="11"/>
  <c r="C5879" i="11"/>
  <c r="D5879" i="11"/>
  <c r="C5863" i="11"/>
  <c r="D5863" i="11"/>
  <c r="C5847" i="11"/>
  <c r="D5847" i="11"/>
  <c r="C5831" i="11"/>
  <c r="D5831" i="11"/>
  <c r="C5815" i="11"/>
  <c r="D5815" i="11"/>
  <c r="C5799" i="11"/>
  <c r="D5799" i="11"/>
  <c r="C5783" i="11"/>
  <c r="D5783" i="11"/>
  <c r="D5767" i="11"/>
  <c r="C5767" i="11"/>
  <c r="D5751" i="11"/>
  <c r="C5751" i="11"/>
  <c r="C5719" i="11"/>
  <c r="D5719" i="11"/>
  <c r="C5703" i="11"/>
  <c r="D5703" i="11"/>
  <c r="C5687" i="11"/>
  <c r="D5687" i="11"/>
  <c r="D5655" i="11"/>
  <c r="C5655" i="11"/>
  <c r="C5639" i="11"/>
  <c r="D5639" i="11"/>
  <c r="D5623" i="11"/>
  <c r="C5623" i="11"/>
  <c r="C5607" i="11"/>
  <c r="D5607" i="11"/>
  <c r="C5591" i="11"/>
  <c r="D5591" i="11"/>
  <c r="C5575" i="11"/>
  <c r="D5575" i="11"/>
  <c r="C5559" i="11"/>
  <c r="D5559" i="11"/>
  <c r="C5543" i="11"/>
  <c r="D5543" i="11"/>
  <c r="D5527" i="11"/>
  <c r="C5527" i="11"/>
  <c r="D5511" i="11"/>
  <c r="C5511" i="11"/>
  <c r="D5495" i="11"/>
  <c r="C5495" i="11"/>
  <c r="C5463" i="11"/>
  <c r="D5463" i="11"/>
  <c r="D5431" i="11"/>
  <c r="C5431" i="11"/>
  <c r="D5415" i="11"/>
  <c r="C5415" i="11"/>
  <c r="C5399" i="11"/>
  <c r="D5399" i="11"/>
  <c r="D5383" i="11"/>
  <c r="C5383" i="11"/>
  <c r="C5367" i="11"/>
  <c r="D5367" i="11"/>
  <c r="D5351" i="11"/>
  <c r="C5351" i="11"/>
  <c r="C5335" i="11"/>
  <c r="D5335" i="11"/>
  <c r="C5303" i="11"/>
  <c r="D5303" i="11"/>
  <c r="C5287" i="11"/>
  <c r="D5287" i="11"/>
  <c r="D5271" i="11"/>
  <c r="C5271" i="11"/>
  <c r="C5195" i="11"/>
  <c r="D5195" i="11"/>
  <c r="C5131" i="11"/>
  <c r="D5131" i="11"/>
  <c r="C3662" i="11"/>
  <c r="D3662" i="11"/>
  <c r="C3619" i="11"/>
  <c r="D3619" i="11"/>
  <c r="D3534" i="11"/>
  <c r="C3534" i="11"/>
  <c r="C3491" i="11"/>
  <c r="D3491" i="11"/>
  <c r="D3363" i="11"/>
  <c r="C3363" i="11"/>
  <c r="D3278" i="11"/>
  <c r="C3278" i="11"/>
  <c r="C3235" i="11"/>
  <c r="D3235" i="11"/>
  <c r="D3107" i="11"/>
  <c r="C3107" i="11"/>
  <c r="C3064" i="11"/>
  <c r="D3064" i="11"/>
  <c r="D3014" i="11"/>
  <c r="C3014" i="11"/>
  <c r="C2950" i="11"/>
  <c r="D2950" i="11"/>
  <c r="D2886" i="11"/>
  <c r="C2886" i="11"/>
  <c r="C2694" i="11"/>
  <c r="D2694" i="11"/>
  <c r="D2502" i="11"/>
  <c r="C2502" i="11"/>
  <c r="D2310" i="11"/>
  <c r="C2310" i="11"/>
  <c r="D1816" i="11"/>
  <c r="C1816" i="11"/>
  <c r="C1295" i="11"/>
  <c r="D1295" i="11"/>
  <c r="D962" i="11"/>
  <c r="C962" i="11"/>
  <c r="C6573" i="11"/>
  <c r="D6573" i="11"/>
  <c r="C6557" i="11"/>
  <c r="D6557" i="11"/>
  <c r="C6541" i="11"/>
  <c r="D6541" i="11"/>
  <c r="C6525" i="11"/>
  <c r="D6525" i="11"/>
  <c r="C6509" i="11"/>
  <c r="D6509" i="11"/>
  <c r="C6493" i="11"/>
  <c r="D6493" i="11"/>
  <c r="C6477" i="11"/>
  <c r="D6477" i="11"/>
  <c r="C6461" i="11"/>
  <c r="D6461" i="11"/>
  <c r="C6445" i="11"/>
  <c r="D6445" i="11"/>
  <c r="C6429" i="11"/>
  <c r="D6429" i="11"/>
  <c r="C6413" i="11"/>
  <c r="D6413" i="11"/>
  <c r="C6397" i="11"/>
  <c r="D6397" i="11"/>
  <c r="C6381" i="11"/>
  <c r="D6381" i="11"/>
  <c r="C6365" i="11"/>
  <c r="D6365" i="11"/>
  <c r="C6349" i="11"/>
  <c r="D6349" i="11"/>
  <c r="C6333" i="11"/>
  <c r="D6333" i="11"/>
  <c r="C6317" i="11"/>
  <c r="D6317" i="11"/>
  <c r="C6301" i="11"/>
  <c r="D6301" i="11"/>
  <c r="C6285" i="11"/>
  <c r="D6285" i="11"/>
  <c r="C6269" i="11"/>
  <c r="D6269" i="11"/>
  <c r="C6253" i="11"/>
  <c r="D6253" i="11"/>
  <c r="C6221" i="11"/>
  <c r="D6221" i="11"/>
  <c r="C6205" i="11"/>
  <c r="D6205" i="11"/>
  <c r="C6189" i="11"/>
  <c r="D6189" i="11"/>
  <c r="C6157" i="11"/>
  <c r="D6157" i="11"/>
  <c r="C6141" i="11"/>
  <c r="D6141" i="11"/>
  <c r="C6125" i="11"/>
  <c r="D6125" i="11"/>
  <c r="C6093" i="11"/>
  <c r="D6093" i="11"/>
  <c r="C6077" i="11"/>
  <c r="D6077" i="11"/>
  <c r="C6061" i="11"/>
  <c r="D6061" i="11"/>
  <c r="C6029" i="11"/>
  <c r="D6029" i="11"/>
  <c r="C6013" i="11"/>
  <c r="D6013" i="11"/>
  <c r="C5997" i="11"/>
  <c r="D5997" i="11"/>
  <c r="C5965" i="11"/>
  <c r="D5965" i="11"/>
  <c r="C5949" i="11"/>
  <c r="D5949" i="11"/>
  <c r="C5933" i="11"/>
  <c r="D5933" i="11"/>
  <c r="C5901" i="11"/>
  <c r="D5901" i="11"/>
  <c r="C5885" i="11"/>
  <c r="D5885" i="11"/>
  <c r="C5869" i="11"/>
  <c r="D5869" i="11"/>
  <c r="C5837" i="11"/>
  <c r="D5837" i="11"/>
  <c r="C5821" i="11"/>
  <c r="D5821" i="11"/>
  <c r="C5805" i="11"/>
  <c r="D5805" i="11"/>
  <c r="D5773" i="11"/>
  <c r="C5773" i="11"/>
  <c r="C5757" i="11"/>
  <c r="D5757" i="11"/>
  <c r="C5741" i="11"/>
  <c r="D5741" i="11"/>
  <c r="D5709" i="11"/>
  <c r="C5709" i="11"/>
  <c r="C5677" i="11"/>
  <c r="D5677" i="11"/>
  <c r="D5661" i="11"/>
  <c r="C5661" i="11"/>
  <c r="D5645" i="11"/>
  <c r="C5645" i="11"/>
  <c r="D5613" i="11"/>
  <c r="C5613" i="11"/>
  <c r="D5597" i="11"/>
  <c r="C5597" i="11"/>
  <c r="C5581" i="11"/>
  <c r="D5581" i="11"/>
  <c r="C5565" i="11"/>
  <c r="D5565" i="11"/>
  <c r="D5549" i="11"/>
  <c r="C5549" i="11"/>
  <c r="D5203" i="11"/>
  <c r="C5203" i="11"/>
  <c r="C5139" i="11"/>
  <c r="D5139" i="11"/>
  <c r="C4508" i="11"/>
  <c r="D4508" i="11"/>
  <c r="C4444" i="11"/>
  <c r="D4444" i="11"/>
  <c r="D4412" i="11"/>
  <c r="C4412" i="11"/>
  <c r="D4348" i="11"/>
  <c r="C4348" i="11"/>
  <c r="D4124" i="11"/>
  <c r="C4124" i="11"/>
  <c r="C4092" i="11"/>
  <c r="D4092" i="11"/>
  <c r="D3996" i="11"/>
  <c r="C3996" i="11"/>
  <c r="D3836" i="11"/>
  <c r="C3836" i="11"/>
  <c r="C3635" i="11"/>
  <c r="D3635" i="11"/>
  <c r="D3507" i="11"/>
  <c r="C3507" i="11"/>
  <c r="D3422" i="11"/>
  <c r="C3422" i="11"/>
  <c r="D3379" i="11"/>
  <c r="C3379" i="11"/>
  <c r="C3251" i="11"/>
  <c r="D3251" i="11"/>
  <c r="D3166" i="11"/>
  <c r="C3166" i="11"/>
  <c r="C3123" i="11"/>
  <c r="D3123" i="11"/>
  <c r="D3038" i="11"/>
  <c r="C3038" i="11"/>
  <c r="D2974" i="11"/>
  <c r="C2974" i="11"/>
  <c r="C2910" i="11"/>
  <c r="D2910" i="11"/>
  <c r="D2846" i="11"/>
  <c r="C2846" i="11"/>
  <c r="D2782" i="11"/>
  <c r="C2782" i="11"/>
  <c r="D2718" i="11"/>
  <c r="C2718" i="11"/>
  <c r="C2590" i="11"/>
  <c r="D2590" i="11"/>
  <c r="D2398" i="11"/>
  <c r="C2398" i="11"/>
  <c r="C1858" i="11"/>
  <c r="D1858" i="11"/>
  <c r="D1745" i="11"/>
  <c r="C1745" i="11"/>
  <c r="D1380" i="11"/>
  <c r="C1380" i="11"/>
  <c r="D526" i="11"/>
  <c r="C526" i="11"/>
  <c r="C5185" i="11"/>
  <c r="D5185" i="11"/>
  <c r="D5153" i="11"/>
  <c r="C5153" i="11"/>
  <c r="D5089" i="11"/>
  <c r="C5089" i="11"/>
  <c r="D4993" i="11"/>
  <c r="C4993" i="11"/>
  <c r="C4929" i="11"/>
  <c r="D4929" i="11"/>
  <c r="C4897" i="11"/>
  <c r="D4897" i="11"/>
  <c r="D4833" i="11"/>
  <c r="C4833" i="11"/>
  <c r="D4737" i="11"/>
  <c r="C4737" i="11"/>
  <c r="D4673" i="11"/>
  <c r="C4673" i="11"/>
  <c r="C4641" i="11"/>
  <c r="D4641" i="11"/>
  <c r="C4577" i="11"/>
  <c r="D4577" i="11"/>
  <c r="D4529" i="11"/>
  <c r="C4529" i="11"/>
  <c r="C4513" i="11"/>
  <c r="D4513" i="11"/>
  <c r="C4481" i="11"/>
  <c r="D4481" i="11"/>
  <c r="D4465" i="11"/>
  <c r="C4465" i="11"/>
  <c r="D4449" i="11"/>
  <c r="C4449" i="11"/>
  <c r="D4417" i="11"/>
  <c r="C4417" i="11"/>
  <c r="D4401" i="11"/>
  <c r="C4401" i="11"/>
  <c r="C3663" i="11"/>
  <c r="D3663" i="11"/>
  <c r="C3620" i="11"/>
  <c r="D3620" i="11"/>
  <c r="C3599" i="11"/>
  <c r="D3599" i="11"/>
  <c r="C3535" i="11"/>
  <c r="D3535" i="11"/>
  <c r="C3471" i="11"/>
  <c r="D3471" i="11"/>
  <c r="C3428" i="11"/>
  <c r="D3428" i="11"/>
  <c r="C3407" i="11"/>
  <c r="D3407" i="11"/>
  <c r="D3364" i="11"/>
  <c r="C3364" i="11"/>
  <c r="C3279" i="11"/>
  <c r="D3279" i="11"/>
  <c r="C3215" i="11"/>
  <c r="D3215" i="11"/>
  <c r="D3172" i="11"/>
  <c r="C3172" i="11"/>
  <c r="C3151" i="11"/>
  <c r="D3151" i="11"/>
  <c r="C3108" i="11"/>
  <c r="D3108" i="11"/>
  <c r="C3087" i="11"/>
  <c r="D3087" i="11"/>
  <c r="D3066" i="11"/>
  <c r="C3066" i="11"/>
  <c r="C3016" i="11"/>
  <c r="D3016" i="11"/>
  <c r="C2952" i="11"/>
  <c r="D2952" i="11"/>
  <c r="C2888" i="11"/>
  <c r="D2888" i="11"/>
  <c r="C2856" i="11"/>
  <c r="D2856" i="11"/>
  <c r="C2792" i="11"/>
  <c r="D2792" i="11"/>
  <c r="C2664" i="11"/>
  <c r="D2664" i="11"/>
  <c r="C2632" i="11"/>
  <c r="D2632" i="11"/>
  <c r="D2600" i="11"/>
  <c r="C2600" i="11"/>
  <c r="D2568" i="11"/>
  <c r="C2568" i="11"/>
  <c r="D2536" i="11"/>
  <c r="C2536" i="11"/>
  <c r="D2504" i="11"/>
  <c r="C2504" i="11"/>
  <c r="C2312" i="11"/>
  <c r="D2312" i="11"/>
  <c r="D2270" i="11"/>
  <c r="C2270" i="11"/>
  <c r="D2046" i="11"/>
  <c r="C2046" i="11"/>
  <c r="D1876" i="11"/>
  <c r="C1876" i="11"/>
  <c r="D1820" i="11"/>
  <c r="C1820" i="11"/>
  <c r="C1644" i="11"/>
  <c r="D1644" i="11"/>
  <c r="D5119" i="11"/>
  <c r="C5119" i="11"/>
  <c r="D5103" i="11"/>
  <c r="C5103" i="11"/>
  <c r="C5087" i="11"/>
  <c r="D5087" i="11"/>
  <c r="C5071" i="11"/>
  <c r="D5071" i="11"/>
  <c r="D5039" i="11"/>
  <c r="C5039" i="11"/>
  <c r="C5007" i="11"/>
  <c r="D5007" i="11"/>
  <c r="C4975" i="11"/>
  <c r="D4975" i="11"/>
  <c r="D4959" i="11"/>
  <c r="C4959" i="11"/>
  <c r="C4943" i="11"/>
  <c r="D4943" i="11"/>
  <c r="D4927" i="11"/>
  <c r="C4927" i="11"/>
  <c r="C4911" i="11"/>
  <c r="D4911" i="11"/>
  <c r="C4895" i="11"/>
  <c r="D4895" i="11"/>
  <c r="C4879" i="11"/>
  <c r="D4879" i="11"/>
  <c r="C4863" i="11"/>
  <c r="D4863" i="11"/>
  <c r="D4847" i="11"/>
  <c r="C4847" i="11"/>
  <c r="D4831" i="11"/>
  <c r="C4831" i="11"/>
  <c r="C4815" i="11"/>
  <c r="D4815" i="11"/>
  <c r="D4799" i="11"/>
  <c r="C4799" i="11"/>
  <c r="C4783" i="11"/>
  <c r="D4783" i="11"/>
  <c r="D4767" i="11"/>
  <c r="C4767" i="11"/>
  <c r="C4751" i="11"/>
  <c r="D4751" i="11"/>
  <c r="D4719" i="11"/>
  <c r="C4719" i="11"/>
  <c r="C4703" i="11"/>
  <c r="D4703" i="11"/>
  <c r="C4687" i="11"/>
  <c r="D4687" i="11"/>
  <c r="C4655" i="11"/>
  <c r="D4655" i="11"/>
  <c r="C4639" i="11"/>
  <c r="D4639" i="11"/>
  <c r="D4623" i="11"/>
  <c r="C4623" i="11"/>
  <c r="C4607" i="11"/>
  <c r="D4607" i="11"/>
  <c r="D4591" i="11"/>
  <c r="C4591" i="11"/>
  <c r="D4575" i="11"/>
  <c r="C4575" i="11"/>
  <c r="C4559" i="11"/>
  <c r="D4559" i="11"/>
  <c r="D4543" i="11"/>
  <c r="C4543" i="11"/>
  <c r="C4511" i="11"/>
  <c r="D4511" i="11"/>
  <c r="C4447" i="11"/>
  <c r="D4447" i="11"/>
  <c r="D4431" i="11"/>
  <c r="C4431" i="11"/>
  <c r="D4415" i="11"/>
  <c r="C4415" i="11"/>
  <c r="C4399" i="11"/>
  <c r="D4399" i="11"/>
  <c r="D4383" i="11"/>
  <c r="C4383" i="11"/>
  <c r="D4351" i="11"/>
  <c r="C4351" i="11"/>
  <c r="C4335" i="11"/>
  <c r="D4335" i="11"/>
  <c r="D4319" i="11"/>
  <c r="C4319" i="11"/>
  <c r="D4303" i="11"/>
  <c r="C4303" i="11"/>
  <c r="D4287" i="11"/>
  <c r="C4287" i="11"/>
  <c r="D4255" i="11"/>
  <c r="C4255" i="11"/>
  <c r="D4239" i="11"/>
  <c r="C4239" i="11"/>
  <c r="D4223" i="11"/>
  <c r="C4223" i="11"/>
  <c r="C4207" i="11"/>
  <c r="D4207" i="11"/>
  <c r="D4191" i="11"/>
  <c r="C4191" i="11"/>
  <c r="D4175" i="11"/>
  <c r="C4175" i="11"/>
  <c r="D4159" i="11"/>
  <c r="C4159" i="11"/>
  <c r="C4143" i="11"/>
  <c r="D4143" i="11"/>
  <c r="D4127" i="11"/>
  <c r="C4127" i="11"/>
  <c r="C4095" i="11"/>
  <c r="D4095" i="11"/>
  <c r="D4063" i="11"/>
  <c r="C4063" i="11"/>
  <c r="C4047" i="11"/>
  <c r="D4047" i="11"/>
  <c r="D4031" i="11"/>
  <c r="C4031" i="11"/>
  <c r="D4015" i="11"/>
  <c r="C4015" i="11"/>
  <c r="D3999" i="11"/>
  <c r="C3999" i="11"/>
  <c r="C3967" i="11"/>
  <c r="D3967" i="11"/>
  <c r="C3951" i="11"/>
  <c r="D3951" i="11"/>
  <c r="D3935" i="11"/>
  <c r="C3935" i="11"/>
  <c r="C3903" i="11"/>
  <c r="D3903" i="11"/>
  <c r="C3871" i="11"/>
  <c r="D3871" i="11"/>
  <c r="D3855" i="11"/>
  <c r="C3855" i="11"/>
  <c r="C3839" i="11"/>
  <c r="D3839" i="11"/>
  <c r="D3807" i="11"/>
  <c r="C3807" i="11"/>
  <c r="C3791" i="11"/>
  <c r="D3791" i="11"/>
  <c r="D3775" i="11"/>
  <c r="C3775" i="11"/>
  <c r="D3759" i="11"/>
  <c r="C3759" i="11"/>
  <c r="C3743" i="11"/>
  <c r="D3743" i="11"/>
  <c r="C3727" i="11"/>
  <c r="D3727" i="11"/>
  <c r="D3711" i="11"/>
  <c r="C3711" i="11"/>
  <c r="C3695" i="11"/>
  <c r="D3695" i="11"/>
  <c r="C3679" i="11"/>
  <c r="D3679" i="11"/>
  <c r="C3660" i="11"/>
  <c r="D3660" i="11"/>
  <c r="C3639" i="11"/>
  <c r="D3639" i="11"/>
  <c r="D3596" i="11"/>
  <c r="C3596" i="11"/>
  <c r="D3575" i="11"/>
  <c r="C3575" i="11"/>
  <c r="D3511" i="11"/>
  <c r="C3511" i="11"/>
  <c r="C3447" i="11"/>
  <c r="D3447" i="11"/>
  <c r="D3404" i="11"/>
  <c r="C3404" i="11"/>
  <c r="C3383" i="11"/>
  <c r="D3383" i="11"/>
  <c r="C3340" i="11"/>
  <c r="D3340" i="11"/>
  <c r="C3319" i="11"/>
  <c r="D3319" i="11"/>
  <c r="D3255" i="11"/>
  <c r="C3255" i="11"/>
  <c r="C3148" i="11"/>
  <c r="D3148" i="11"/>
  <c r="D3127" i="11"/>
  <c r="C3127" i="11"/>
  <c r="D3106" i="11"/>
  <c r="C3106" i="11"/>
  <c r="C3063" i="11"/>
  <c r="D3063" i="11"/>
  <c r="D3012" i="11"/>
  <c r="C3012" i="11"/>
  <c r="C2980" i="11"/>
  <c r="D2980" i="11"/>
  <c r="D2948" i="11"/>
  <c r="C2948" i="11"/>
  <c r="C2916" i="11"/>
  <c r="D2916" i="11"/>
  <c r="C2884" i="11"/>
  <c r="D2884" i="11"/>
  <c r="C2788" i="11"/>
  <c r="D2788" i="11"/>
  <c r="C2596" i="11"/>
  <c r="D2596" i="11"/>
  <c r="D2265" i="11"/>
  <c r="C2265" i="11"/>
  <c r="C2222" i="11"/>
  <c r="D2222" i="11"/>
  <c r="D2094" i="11"/>
  <c r="C2094" i="11"/>
  <c r="C2040" i="11"/>
  <c r="D2040" i="11"/>
  <c r="D1926" i="11"/>
  <c r="C1926" i="11"/>
  <c r="C1869" i="11"/>
  <c r="D1869" i="11"/>
  <c r="D1756" i="11"/>
  <c r="C1756" i="11"/>
  <c r="C1698" i="11"/>
  <c r="D1698" i="11"/>
  <c r="D1628" i="11"/>
  <c r="C1628" i="11"/>
  <c r="D946" i="11"/>
  <c r="C946" i="11"/>
  <c r="D3653" i="11"/>
  <c r="C3653" i="11"/>
  <c r="C3637" i="11"/>
  <c r="D3637" i="11"/>
  <c r="C3621" i="11"/>
  <c r="D3621" i="11"/>
  <c r="C3605" i="11"/>
  <c r="D3605" i="11"/>
  <c r="D3573" i="11"/>
  <c r="C3573" i="11"/>
  <c r="D3557" i="11"/>
  <c r="C3557" i="11"/>
  <c r="D3541" i="11"/>
  <c r="C3541" i="11"/>
  <c r="D3509" i="11"/>
  <c r="C3509" i="11"/>
  <c r="D3493" i="11"/>
  <c r="C3493" i="11"/>
  <c r="D3477" i="11"/>
  <c r="C3477" i="11"/>
  <c r="D3445" i="11"/>
  <c r="C3445" i="11"/>
  <c r="D3429" i="11"/>
  <c r="C3429" i="11"/>
  <c r="D3413" i="11"/>
  <c r="C3413" i="11"/>
  <c r="D3381" i="11"/>
  <c r="C3381" i="11"/>
  <c r="D3365" i="11"/>
  <c r="C3365" i="11"/>
  <c r="D3349" i="11"/>
  <c r="C3349" i="11"/>
  <c r="D3317" i="11"/>
  <c r="C3317" i="11"/>
  <c r="D3301" i="11"/>
  <c r="C3301" i="11"/>
  <c r="D3285" i="11"/>
  <c r="C3285" i="11"/>
  <c r="D3253" i="11"/>
  <c r="C3253" i="11"/>
  <c r="D3237" i="11"/>
  <c r="C3237" i="11"/>
  <c r="D3221" i="11"/>
  <c r="C3221" i="11"/>
  <c r="D3189" i="11"/>
  <c r="C3189" i="11"/>
  <c r="D3173" i="11"/>
  <c r="C3173" i="11"/>
  <c r="D3157" i="11"/>
  <c r="C3157" i="11"/>
  <c r="D3125" i="11"/>
  <c r="C3125" i="11"/>
  <c r="C3093" i="11"/>
  <c r="D3093" i="11"/>
  <c r="D3061" i="11"/>
  <c r="C3061" i="11"/>
  <c r="C3029" i="11"/>
  <c r="D3029" i="11"/>
  <c r="D3013" i="11"/>
  <c r="C3013" i="11"/>
  <c r="D2997" i="11"/>
  <c r="C2997" i="11"/>
  <c r="C2981" i="11"/>
  <c r="D2981" i="11"/>
  <c r="D2965" i="11"/>
  <c r="C2965" i="11"/>
  <c r="C2949" i="11"/>
  <c r="D2949" i="11"/>
  <c r="D2933" i="11"/>
  <c r="C2933" i="11"/>
  <c r="D2885" i="11"/>
  <c r="C2885" i="11"/>
  <c r="C2869" i="11"/>
  <c r="D2869" i="11"/>
  <c r="C2853" i="11"/>
  <c r="D2853" i="11"/>
  <c r="C2837" i="11"/>
  <c r="D2837" i="11"/>
  <c r="D2821" i="11"/>
  <c r="C2821" i="11"/>
  <c r="D2805" i="11"/>
  <c r="C2805" i="11"/>
  <c r="D2773" i="11"/>
  <c r="C2773" i="11"/>
  <c r="C2757" i="11"/>
  <c r="D2757" i="11"/>
  <c r="D2741" i="11"/>
  <c r="C2741" i="11"/>
  <c r="C2725" i="11"/>
  <c r="D2725" i="11"/>
  <c r="C2709" i="11"/>
  <c r="D2709" i="11"/>
  <c r="D2677" i="11"/>
  <c r="C2677" i="11"/>
  <c r="D2661" i="11"/>
  <c r="C2661" i="11"/>
  <c r="D2629" i="11"/>
  <c r="C2629" i="11"/>
  <c r="C2597" i="11"/>
  <c r="D2597" i="11"/>
  <c r="D2581" i="11"/>
  <c r="C2581" i="11"/>
  <c r="D2565" i="11"/>
  <c r="C2565" i="11"/>
  <c r="C2549" i="11"/>
  <c r="D2549" i="11"/>
  <c r="D2533" i="11"/>
  <c r="C2533" i="11"/>
  <c r="C2501" i="11"/>
  <c r="D2501" i="11"/>
  <c r="C2453" i="11"/>
  <c r="D2453" i="11"/>
  <c r="C2421" i="11"/>
  <c r="D2421" i="11"/>
  <c r="C2405" i="11"/>
  <c r="D2405" i="11"/>
  <c r="C2389" i="11"/>
  <c r="D2389" i="11"/>
  <c r="C2373" i="11"/>
  <c r="D2373" i="11"/>
  <c r="D2357" i="11"/>
  <c r="C2357" i="11"/>
  <c r="D2309" i="11"/>
  <c r="C2309" i="11"/>
  <c r="D2266" i="11"/>
  <c r="C2266" i="11"/>
  <c r="D2245" i="11"/>
  <c r="C2245" i="11"/>
  <c r="C2202" i="11"/>
  <c r="D2202" i="11"/>
  <c r="C2181" i="11"/>
  <c r="D2181" i="11"/>
  <c r="D2117" i="11"/>
  <c r="C2117" i="11"/>
  <c r="C2041" i="11"/>
  <c r="D2041" i="11"/>
  <c r="C2013" i="11"/>
  <c r="D2013" i="11"/>
  <c r="C1985" i="11"/>
  <c r="D1985" i="11"/>
  <c r="C1870" i="11"/>
  <c r="D1870" i="11"/>
  <c r="D1842" i="11"/>
  <c r="C1842" i="11"/>
  <c r="D1814" i="11"/>
  <c r="C1814" i="11"/>
  <c r="D1729" i="11"/>
  <c r="C1729" i="11"/>
  <c r="C1634" i="11"/>
  <c r="D1634" i="11"/>
  <c r="D1404" i="11"/>
  <c r="C1404" i="11"/>
  <c r="C1348" i="11"/>
  <c r="D1348" i="11"/>
  <c r="D1086" i="11"/>
  <c r="C1086" i="11"/>
  <c r="D958" i="11"/>
  <c r="C958" i="11"/>
  <c r="D632" i="11"/>
  <c r="C632" i="11"/>
  <c r="D3031" i="11"/>
  <c r="C3031" i="11"/>
  <c r="C2983" i="11"/>
  <c r="D2983" i="11"/>
  <c r="D2967" i="11"/>
  <c r="C2967" i="11"/>
  <c r="C2935" i="11"/>
  <c r="D2935" i="11"/>
  <c r="C2919" i="11"/>
  <c r="D2919" i="11"/>
  <c r="D2887" i="11"/>
  <c r="C2887" i="11"/>
  <c r="C2807" i="11"/>
  <c r="D2807" i="11"/>
  <c r="D2727" i="11"/>
  <c r="C2727" i="11"/>
  <c r="C2695" i="11"/>
  <c r="D2695" i="11"/>
  <c r="C2519" i="11"/>
  <c r="D2519" i="11"/>
  <c r="C2503" i="11"/>
  <c r="D2503" i="11"/>
  <c r="D2455" i="11"/>
  <c r="C2455" i="11"/>
  <c r="D2423" i="11"/>
  <c r="C2423" i="11"/>
  <c r="D2407" i="11"/>
  <c r="C2407" i="11"/>
  <c r="C2343" i="11"/>
  <c r="D2343" i="11"/>
  <c r="D2327" i="11"/>
  <c r="C2327" i="11"/>
  <c r="D2290" i="11"/>
  <c r="C2290" i="11"/>
  <c r="C2248" i="11"/>
  <c r="D2248" i="11"/>
  <c r="D2226" i="11"/>
  <c r="C2226" i="11"/>
  <c r="D2205" i="11"/>
  <c r="C2205" i="11"/>
  <c r="C2184" i="11"/>
  <c r="D2184" i="11"/>
  <c r="C2162" i="11"/>
  <c r="D2162" i="11"/>
  <c r="C2141" i="11"/>
  <c r="D2141" i="11"/>
  <c r="C2120" i="11"/>
  <c r="D2120" i="11"/>
  <c r="C2098" i="11"/>
  <c r="D2098" i="11"/>
  <c r="C2073" i="11"/>
  <c r="D2073" i="11"/>
  <c r="D2017" i="11"/>
  <c r="C2017" i="11"/>
  <c r="D1874" i="11"/>
  <c r="C1874" i="11"/>
  <c r="D1704" i="11"/>
  <c r="C1704" i="11"/>
  <c r="D1639" i="11"/>
  <c r="C1639" i="11"/>
  <c r="C1468" i="11"/>
  <c r="D1468" i="11"/>
  <c r="D1412" i="11"/>
  <c r="C1412" i="11"/>
  <c r="C1298" i="11"/>
  <c r="D1298" i="11"/>
  <c r="C1102" i="11"/>
  <c r="D1102" i="11"/>
  <c r="C840" i="11"/>
  <c r="D840" i="11"/>
  <c r="D434" i="11"/>
  <c r="C434" i="11"/>
  <c r="C2000" i="11"/>
  <c r="D2000" i="11"/>
  <c r="C1957" i="11"/>
  <c r="D1957" i="11"/>
  <c r="C1936" i="11"/>
  <c r="D1936" i="11"/>
  <c r="D1914" i="11"/>
  <c r="C1914" i="11"/>
  <c r="C1893" i="11"/>
  <c r="D1893" i="11"/>
  <c r="D1578" i="11"/>
  <c r="C1578" i="11"/>
  <c r="C1535" i="11"/>
  <c r="D1535" i="11"/>
  <c r="C1407" i="11"/>
  <c r="D1407" i="11"/>
  <c r="D1194" i="11"/>
  <c r="C1194" i="11"/>
  <c r="D1146" i="11"/>
  <c r="C1146" i="11"/>
  <c r="C1082" i="11"/>
  <c r="D1082" i="11"/>
  <c r="C954" i="11"/>
  <c r="D954" i="11"/>
  <c r="D814" i="11"/>
  <c r="C814" i="11"/>
  <c r="C626" i="11"/>
  <c r="D626" i="11"/>
  <c r="C1094" i="11"/>
  <c r="D1094" i="11"/>
  <c r="C966" i="11"/>
  <c r="D966" i="11"/>
  <c r="D647" i="11"/>
  <c r="C647" i="11"/>
  <c r="C2303" i="11"/>
  <c r="D2303" i="11"/>
  <c r="C2287" i="11"/>
  <c r="D2287" i="11"/>
  <c r="C2271" i="11"/>
  <c r="D2271" i="11"/>
  <c r="D2239" i="11"/>
  <c r="C2239" i="11"/>
  <c r="C2223" i="11"/>
  <c r="D2223" i="11"/>
  <c r="C2207" i="11"/>
  <c r="D2207" i="11"/>
  <c r="D2175" i="11"/>
  <c r="C2175" i="11"/>
  <c r="C2159" i="11"/>
  <c r="D2159" i="11"/>
  <c r="D2095" i="11"/>
  <c r="C2095" i="11"/>
  <c r="D2031" i="11"/>
  <c r="C2031" i="11"/>
  <c r="D2015" i="11"/>
  <c r="C2015" i="11"/>
  <c r="C1983" i="11"/>
  <c r="D1983" i="11"/>
  <c r="C1871" i="11"/>
  <c r="D1871" i="11"/>
  <c r="D1807" i="11"/>
  <c r="C1807" i="11"/>
  <c r="C1791" i="11"/>
  <c r="D1791" i="11"/>
  <c r="D1663" i="11"/>
  <c r="C1663" i="11"/>
  <c r="C1646" i="11"/>
  <c r="D1646" i="11"/>
  <c r="D1582" i="11"/>
  <c r="C1582" i="11"/>
  <c r="D1560" i="11"/>
  <c r="C1560" i="11"/>
  <c r="D1539" i="11"/>
  <c r="C1539" i="11"/>
  <c r="C1432" i="11"/>
  <c r="D1432" i="11"/>
  <c r="C1390" i="11"/>
  <c r="D1390" i="11"/>
  <c r="D1240" i="11"/>
  <c r="C1240" i="11"/>
  <c r="C1198" i="11"/>
  <c r="D1198" i="11"/>
  <c r="D1056" i="11"/>
  <c r="C1056" i="11"/>
  <c r="D736" i="11"/>
  <c r="C736" i="11"/>
  <c r="D1611" i="11"/>
  <c r="C1611" i="11"/>
  <c r="D1590" i="11"/>
  <c r="C1590" i="11"/>
  <c r="C1547" i="11"/>
  <c r="D1547" i="11"/>
  <c r="C1504" i="11"/>
  <c r="D1504" i="11"/>
  <c r="C1483" i="11"/>
  <c r="D1483" i="11"/>
  <c r="C1462" i="11"/>
  <c r="D1462" i="11"/>
  <c r="D1440" i="11"/>
  <c r="C1440" i="11"/>
  <c r="C1334" i="11"/>
  <c r="D1334" i="11"/>
  <c r="D1206" i="11"/>
  <c r="C1206" i="11"/>
  <c r="D1036" i="11"/>
  <c r="C1036" i="11"/>
  <c r="C838" i="11"/>
  <c r="D838" i="11"/>
  <c r="D752" i="11"/>
  <c r="C752" i="11"/>
  <c r="C1625" i="11"/>
  <c r="D1625" i="11"/>
  <c r="D1529" i="11"/>
  <c r="C1529" i="11"/>
  <c r="D1513" i="11"/>
  <c r="C1513" i="11"/>
  <c r="D1497" i="11"/>
  <c r="C1497" i="11"/>
  <c r="C1481" i="11"/>
  <c r="D1481" i="11"/>
  <c r="D1289" i="11"/>
  <c r="C1289" i="11"/>
  <c r="C1257" i="11"/>
  <c r="D1257" i="11"/>
  <c r="C1193" i="11"/>
  <c r="D1193" i="11"/>
  <c r="D1017" i="11"/>
  <c r="C1017" i="11"/>
  <c r="D812" i="11"/>
  <c r="C812" i="11"/>
  <c r="D624" i="11"/>
  <c r="C624" i="11"/>
  <c r="D510" i="11"/>
  <c r="C510" i="11"/>
  <c r="C304" i="11"/>
  <c r="D304" i="11"/>
  <c r="C1119" i="11"/>
  <c r="D1119" i="11"/>
  <c r="C1103" i="11"/>
  <c r="D1103" i="11"/>
  <c r="D1039" i="11"/>
  <c r="C1039" i="11"/>
  <c r="D1023" i="11"/>
  <c r="C1023" i="11"/>
  <c r="C1007" i="11"/>
  <c r="D1007" i="11"/>
  <c r="C975" i="11"/>
  <c r="D975" i="11"/>
  <c r="D927" i="11"/>
  <c r="C927" i="11"/>
  <c r="C895" i="11"/>
  <c r="D895" i="11"/>
  <c r="D863" i="11"/>
  <c r="C863" i="11"/>
  <c r="D691" i="11"/>
  <c r="C691" i="11"/>
  <c r="D492" i="11"/>
  <c r="C492" i="11"/>
  <c r="C379" i="11"/>
  <c r="D379" i="11"/>
  <c r="C564" i="11"/>
  <c r="D564" i="11"/>
  <c r="D372" i="11"/>
  <c r="C372" i="11"/>
  <c r="D705" i="11"/>
  <c r="C705" i="11"/>
  <c r="C689" i="11"/>
  <c r="D689" i="11"/>
  <c r="D641" i="11"/>
  <c r="C641" i="11"/>
  <c r="D545" i="11"/>
  <c r="C545" i="11"/>
  <c r="C481" i="11"/>
  <c r="D481" i="11"/>
  <c r="C417" i="11"/>
  <c r="D417" i="11"/>
  <c r="D355" i="11"/>
  <c r="C355" i="11"/>
  <c r="C294" i="11"/>
  <c r="D294" i="11"/>
  <c r="D319" i="11"/>
  <c r="C319" i="11"/>
  <c r="D321" i="11"/>
  <c r="C321" i="11"/>
  <c r="D289" i="11"/>
  <c r="C289" i="11"/>
  <c r="D241" i="11"/>
  <c r="C241" i="11"/>
  <c r="C113" i="11"/>
  <c r="D113" i="11"/>
  <c r="D6440" i="11"/>
  <c r="C6440" i="11"/>
  <c r="D7136" i="11"/>
  <c r="C7136" i="11"/>
  <c r="D7346" i="11"/>
  <c r="C7346" i="11"/>
  <c r="D7714" i="11"/>
  <c r="C7714" i="11"/>
  <c r="D7922" i="11"/>
  <c r="C7922" i="11"/>
  <c r="D8094" i="11"/>
  <c r="C8094" i="11"/>
  <c r="D8434" i="11"/>
  <c r="C8434" i="11"/>
  <c r="C8606" i="11"/>
  <c r="D8606" i="11"/>
  <c r="C8846" i="11"/>
  <c r="D8846" i="11"/>
  <c r="C8946" i="11"/>
  <c r="D8946" i="11"/>
  <c r="C9022" i="11"/>
  <c r="D9022" i="11"/>
  <c r="C9098" i="11"/>
  <c r="D9098" i="11"/>
  <c r="C9172" i="11"/>
  <c r="D9172" i="11"/>
  <c r="C9250" i="11"/>
  <c r="D9250" i="11"/>
  <c r="C9322" i="11"/>
  <c r="D9322" i="11"/>
  <c r="D9378" i="11"/>
  <c r="C9378" i="11"/>
  <c r="D9436" i="11"/>
  <c r="C9436" i="11"/>
  <c r="D9492" i="11"/>
  <c r="C9492" i="11"/>
  <c r="D9606" i="11"/>
  <c r="C9606" i="11"/>
  <c r="D9662" i="11"/>
  <c r="C9662" i="11"/>
  <c r="D9718" i="11"/>
  <c r="C9718" i="11"/>
  <c r="D9778" i="11"/>
  <c r="C9778" i="11"/>
  <c r="D9890" i="11"/>
  <c r="C9890" i="11"/>
  <c r="D9942" i="11"/>
  <c r="C9942" i="11"/>
  <c r="D9914" i="11"/>
  <c r="C9914" i="11"/>
  <c r="D9870" i="11"/>
  <c r="C9870" i="11"/>
  <c r="D9828" i="11"/>
  <c r="C9828" i="11"/>
  <c r="D9742" i="11"/>
  <c r="C9742" i="11"/>
  <c r="D9700" i="11"/>
  <c r="C9700" i="11"/>
  <c r="D9658" i="11"/>
  <c r="C9658" i="11"/>
  <c r="D9614" i="11"/>
  <c r="C9614" i="11"/>
  <c r="D9572" i="11"/>
  <c r="C9572" i="11"/>
  <c r="D9530" i="11"/>
  <c r="C9530" i="11"/>
  <c r="D9486" i="11"/>
  <c r="C9486" i="11"/>
  <c r="D9444" i="11"/>
  <c r="C9444" i="11"/>
  <c r="D9402" i="11"/>
  <c r="C9402" i="11"/>
  <c r="D9358" i="11"/>
  <c r="C9358" i="11"/>
  <c r="C9316" i="11"/>
  <c r="D9316" i="11"/>
  <c r="C9204" i="11"/>
  <c r="D9204" i="11"/>
  <c r="C9090" i="11"/>
  <c r="D9090" i="11"/>
  <c r="C9034" i="11"/>
  <c r="D9034" i="11"/>
  <c r="C8978" i="11"/>
  <c r="D8978" i="11"/>
  <c r="C8834" i="11"/>
  <c r="D8834" i="11"/>
  <c r="C8750" i="11"/>
  <c r="D8750" i="11"/>
  <c r="C8578" i="11"/>
  <c r="D8578" i="11"/>
  <c r="C8494" i="11"/>
  <c r="D8494" i="11"/>
  <c r="D8406" i="11"/>
  <c r="C8406" i="11"/>
  <c r="D8238" i="11"/>
  <c r="C8238" i="11"/>
  <c r="D7894" i="11"/>
  <c r="C7894" i="11"/>
  <c r="D7810" i="11"/>
  <c r="C7810" i="11"/>
  <c r="D7658" i="11"/>
  <c r="C7658" i="11"/>
  <c r="D6666" i="11"/>
  <c r="C6666" i="11"/>
  <c r="C5928" i="11"/>
  <c r="D5928" i="11"/>
  <c r="D2570" i="11"/>
  <c r="C2570" i="11"/>
  <c r="C8574" i="11"/>
  <c r="D8574" i="11"/>
  <c r="D8486" i="11"/>
  <c r="C8486" i="11"/>
  <c r="D8402" i="11"/>
  <c r="C8402" i="11"/>
  <c r="D8230" i="11"/>
  <c r="C8230" i="11"/>
  <c r="D8146" i="11"/>
  <c r="C8146" i="11"/>
  <c r="D8062" i="11"/>
  <c r="C8062" i="11"/>
  <c r="D7974" i="11"/>
  <c r="C7974" i="11"/>
  <c r="D7890" i="11"/>
  <c r="C7890" i="11"/>
  <c r="D7806" i="11"/>
  <c r="C7806" i="11"/>
  <c r="D7650" i="11"/>
  <c r="C7650" i="11"/>
  <c r="D7478" i="11"/>
  <c r="C7478" i="11"/>
  <c r="C7248" i="11"/>
  <c r="D7248" i="11"/>
  <c r="D5864" i="11"/>
  <c r="C5864" i="11"/>
  <c r="D4754" i="11"/>
  <c r="C4754" i="11"/>
  <c r="C9274" i="11"/>
  <c r="D9274" i="11"/>
  <c r="C9230" i="11"/>
  <c r="D9230" i="11"/>
  <c r="C9188" i="11"/>
  <c r="D9188" i="11"/>
  <c r="C9146" i="11"/>
  <c r="D9146" i="11"/>
  <c r="C9102" i="11"/>
  <c r="D9102" i="11"/>
  <c r="C9018" i="11"/>
  <c r="D9018" i="11"/>
  <c r="C8974" i="11"/>
  <c r="D8974" i="11"/>
  <c r="C8874" i="11"/>
  <c r="D8874" i="11"/>
  <c r="C8746" i="11"/>
  <c r="D8746" i="11"/>
  <c r="C8682" i="11"/>
  <c r="D8682" i="11"/>
  <c r="C8618" i="11"/>
  <c r="D8618" i="11"/>
  <c r="C8554" i="11"/>
  <c r="D8554" i="11"/>
  <c r="D8490" i="11"/>
  <c r="C8490" i="11"/>
  <c r="D8426" i="11"/>
  <c r="C8426" i="11"/>
  <c r="D8362" i="11"/>
  <c r="C8362" i="11"/>
  <c r="D8298" i="11"/>
  <c r="C8298" i="11"/>
  <c r="D8234" i="11"/>
  <c r="C8234" i="11"/>
  <c r="D8170" i="11"/>
  <c r="C8170" i="11"/>
  <c r="D8106" i="11"/>
  <c r="C8106" i="11"/>
  <c r="D7914" i="11"/>
  <c r="C7914" i="11"/>
  <c r="D7782" i="11"/>
  <c r="C7782" i="11"/>
  <c r="D7698" i="11"/>
  <c r="C7698" i="11"/>
  <c r="D7526" i="11"/>
  <c r="C7526" i="11"/>
  <c r="D7326" i="11"/>
  <c r="C7326" i="11"/>
  <c r="C7184" i="11"/>
  <c r="D7184" i="11"/>
  <c r="D7034" i="11"/>
  <c r="C7034" i="11"/>
  <c r="D6880" i="11"/>
  <c r="C6880" i="11"/>
  <c r="D6730" i="11"/>
  <c r="C6730" i="11"/>
  <c r="D6120" i="11"/>
  <c r="C6120" i="11"/>
  <c r="C5672" i="11"/>
  <c r="D5672" i="11"/>
  <c r="C5218" i="11"/>
  <c r="D5218" i="11"/>
  <c r="D7666" i="11"/>
  <c r="C7666" i="11"/>
  <c r="D7578" i="11"/>
  <c r="C7578" i="11"/>
  <c r="D7494" i="11"/>
  <c r="C7494" i="11"/>
  <c r="D7402" i="11"/>
  <c r="C7402" i="11"/>
  <c r="D7274" i="11"/>
  <c r="C7274" i="11"/>
  <c r="C6976" i="11"/>
  <c r="D6976" i="11"/>
  <c r="C6672" i="11"/>
  <c r="D6672" i="11"/>
  <c r="C6424" i="11"/>
  <c r="D6424" i="11"/>
  <c r="C5960" i="11"/>
  <c r="D5960" i="11"/>
  <c r="C4946" i="11"/>
  <c r="D4946" i="11"/>
  <c r="D7758" i="11"/>
  <c r="C7758" i="11"/>
  <c r="D7694" i="11"/>
  <c r="C7694" i="11"/>
  <c r="D7630" i="11"/>
  <c r="C7630" i="11"/>
  <c r="D7502" i="11"/>
  <c r="C7502" i="11"/>
  <c r="D7354" i="11"/>
  <c r="C7354" i="11"/>
  <c r="C6912" i="11"/>
  <c r="D6912" i="11"/>
  <c r="C6800" i="11"/>
  <c r="D6800" i="11"/>
  <c r="D6688" i="11"/>
  <c r="C6688" i="11"/>
  <c r="D6568" i="11"/>
  <c r="C6568" i="11"/>
  <c r="C6232" i="11"/>
  <c r="D6232" i="11"/>
  <c r="C5896" i="11"/>
  <c r="D5896" i="11"/>
  <c r="D5544" i="11"/>
  <c r="C5544" i="11"/>
  <c r="D4562" i="11"/>
  <c r="C4562" i="11"/>
  <c r="D2954" i="11"/>
  <c r="C2954" i="11"/>
  <c r="D7430" i="11"/>
  <c r="C7430" i="11"/>
  <c r="C7301" i="11"/>
  <c r="D7301" i="11"/>
  <c r="C7216" i="11"/>
  <c r="D7216" i="11"/>
  <c r="D7130" i="11"/>
  <c r="C7130" i="11"/>
  <c r="C6960" i="11"/>
  <c r="D6960" i="11"/>
  <c r="D6874" i="11"/>
  <c r="C6874" i="11"/>
  <c r="C6704" i="11"/>
  <c r="D6704" i="11"/>
  <c r="D6618" i="11"/>
  <c r="C6618" i="11"/>
  <c r="C6456" i="11"/>
  <c r="D6456" i="11"/>
  <c r="C6200" i="11"/>
  <c r="D6200" i="11"/>
  <c r="C5944" i="11"/>
  <c r="D5944" i="11"/>
  <c r="C5688" i="11"/>
  <c r="D5688" i="11"/>
  <c r="D5154" i="11"/>
  <c r="C5154" i="11"/>
  <c r="C4658" i="11"/>
  <c r="D4658" i="11"/>
  <c r="C6528" i="11"/>
  <c r="D6528" i="11"/>
  <c r="C6272" i="11"/>
  <c r="D6272" i="11"/>
  <c r="D6144" i="11"/>
  <c r="C6144" i="11"/>
  <c r="C6016" i="11"/>
  <c r="D6016" i="11"/>
  <c r="C5888" i="11"/>
  <c r="D5888" i="11"/>
  <c r="D5760" i="11"/>
  <c r="C5760" i="11"/>
  <c r="D5632" i="11"/>
  <c r="C5632" i="11"/>
  <c r="D5058" i="11"/>
  <c r="C5058" i="11"/>
  <c r="C4802" i="11"/>
  <c r="D4802" i="11"/>
  <c r="C4546" i="11"/>
  <c r="D4546" i="11"/>
  <c r="C3131" i="11"/>
  <c r="D3131" i="11"/>
  <c r="C2666" i="11"/>
  <c r="D2666" i="11"/>
  <c r="D6544" i="11"/>
  <c r="C6544" i="11"/>
  <c r="D6416" i="11"/>
  <c r="C6416" i="11"/>
  <c r="D6288" i="11"/>
  <c r="C6288" i="11"/>
  <c r="D6160" i="11"/>
  <c r="C6160" i="11"/>
  <c r="D6032" i="11"/>
  <c r="C6032" i="11"/>
  <c r="D5904" i="11"/>
  <c r="C5904" i="11"/>
  <c r="D5776" i="11"/>
  <c r="C5776" i="11"/>
  <c r="C5648" i="11"/>
  <c r="D5648" i="11"/>
  <c r="D5090" i="11"/>
  <c r="C5090" i="11"/>
  <c r="D3515" i="11"/>
  <c r="C3515" i="11"/>
  <c r="C3174" i="11"/>
  <c r="D3174" i="11"/>
  <c r="C8670" i="11"/>
  <c r="D8670" i="11"/>
  <c r="D9396" i="11"/>
  <c r="C9396" i="11"/>
  <c r="D9802" i="11"/>
  <c r="C9802" i="11"/>
  <c r="D7886" i="11"/>
  <c r="C7886" i="11"/>
  <c r="C9186" i="11"/>
  <c r="D9186" i="11"/>
  <c r="D9622" i="11"/>
  <c r="C9622" i="11"/>
  <c r="D10004" i="11"/>
  <c r="C10004" i="11"/>
  <c r="C8822" i="11"/>
  <c r="D8822" i="11"/>
  <c r="D9446" i="11"/>
  <c r="C9446" i="11"/>
  <c r="D9852" i="11"/>
  <c r="C9852" i="11"/>
  <c r="C8566" i="11"/>
  <c r="D8566" i="11"/>
  <c r="D9372" i="11"/>
  <c r="C9372" i="11"/>
  <c r="D9772" i="11"/>
  <c r="C9772" i="11"/>
  <c r="D9770" i="11"/>
  <c r="C9770" i="11"/>
  <c r="D9566" i="11"/>
  <c r="C9566" i="11"/>
  <c r="D9366" i="11"/>
  <c r="C9366" i="11"/>
  <c r="C8988" i="11"/>
  <c r="D8988" i="11"/>
  <c r="D9430" i="11"/>
  <c r="C9430" i="11"/>
  <c r="D7942" i="11"/>
  <c r="C7942" i="11"/>
  <c r="D9844" i="11"/>
  <c r="C9844" i="11"/>
  <c r="D9642" i="11"/>
  <c r="C9642" i="11"/>
  <c r="D9442" i="11"/>
  <c r="C9442" i="11"/>
  <c r="C9214" i="11"/>
  <c r="D9214" i="11"/>
  <c r="C8938" i="11"/>
  <c r="D8938" i="11"/>
  <c r="C8630" i="11"/>
  <c r="D8630" i="11"/>
  <c r="D8182" i="11"/>
  <c r="C8182" i="11"/>
  <c r="D7670" i="11"/>
  <c r="C7670" i="11"/>
  <c r="D9978" i="11"/>
  <c r="C9978" i="11"/>
  <c r="D9886" i="11"/>
  <c r="C9886" i="11"/>
  <c r="D9788" i="11"/>
  <c r="C9788" i="11"/>
  <c r="D9660" i="11"/>
  <c r="C9660" i="11"/>
  <c r="D9558" i="11"/>
  <c r="C9558" i="11"/>
  <c r="D9460" i="11"/>
  <c r="C9460" i="11"/>
  <c r="D9332" i="11"/>
  <c r="C9332" i="11"/>
  <c r="C9206" i="11"/>
  <c r="D9206" i="11"/>
  <c r="D8980" i="11"/>
  <c r="C8980" i="11"/>
  <c r="C8626" i="11"/>
  <c r="D8626" i="11"/>
  <c r="D9970" i="11"/>
  <c r="C9970" i="11"/>
  <c r="D9884" i="11"/>
  <c r="C9884" i="11"/>
  <c r="D9782" i="11"/>
  <c r="C9782" i="11"/>
  <c r="D9682" i="11"/>
  <c r="C9682" i="11"/>
  <c r="D9580" i="11"/>
  <c r="C9580" i="11"/>
  <c r="D9482" i="11"/>
  <c r="C9482" i="11"/>
  <c r="D9374" i="11"/>
  <c r="C9374" i="11"/>
  <c r="C9266" i="11"/>
  <c r="D9266" i="11"/>
  <c r="C9110" i="11"/>
  <c r="D9110" i="11"/>
  <c r="C8582" i="11"/>
  <c r="D8582" i="11"/>
  <c r="D8118" i="11"/>
  <c r="C8118" i="11"/>
  <c r="D9946" i="11"/>
  <c r="C9946" i="11"/>
  <c r="D9874" i="11"/>
  <c r="C9874" i="11"/>
  <c r="D9798" i="11"/>
  <c r="C9798" i="11"/>
  <c r="D9724" i="11"/>
  <c r="C9724" i="11"/>
  <c r="D9644" i="11"/>
  <c r="C9644" i="11"/>
  <c r="D9570" i="11"/>
  <c r="C9570" i="11"/>
  <c r="D9494" i="11"/>
  <c r="C9494" i="11"/>
  <c r="D9418" i="11"/>
  <c r="C9418" i="11"/>
  <c r="C9342" i="11"/>
  <c r="D9342" i="11"/>
  <c r="C9254" i="11"/>
  <c r="D9254" i="11"/>
  <c r="C9150" i="11"/>
  <c r="D9150" i="11"/>
  <c r="C8950" i="11"/>
  <c r="D8950" i="11"/>
  <c r="D8438" i="11"/>
  <c r="C8438" i="11"/>
  <c r="D8206" i="11"/>
  <c r="C8206" i="11"/>
  <c r="D7722" i="11"/>
  <c r="C7722" i="11"/>
  <c r="D9068" i="11"/>
  <c r="C9068" i="11"/>
  <c r="C8970" i="11"/>
  <c r="D8970" i="11"/>
  <c r="C8838" i="11"/>
  <c r="D8838" i="11"/>
  <c r="C8690" i="11"/>
  <c r="D8690" i="11"/>
  <c r="D8482" i="11"/>
  <c r="C8482" i="11"/>
  <c r="D8030" i="11"/>
  <c r="C8030" i="11"/>
  <c r="D7798" i="11"/>
  <c r="C7798" i="11"/>
  <c r="D5106" i="11"/>
  <c r="C5106" i="11"/>
  <c r="D180" i="11"/>
  <c r="C185" i="11"/>
  <c r="C265" i="11"/>
  <c r="D1136" i="11"/>
  <c r="D22" i="11"/>
  <c r="D841" i="11"/>
  <c r="C1049" i="11"/>
  <c r="C1176" i="11"/>
  <c r="D1304" i="11"/>
  <c r="D1167" i="11"/>
  <c r="D1303" i="11"/>
  <c r="C727" i="11"/>
  <c r="D887" i="11"/>
  <c r="C983" i="11"/>
  <c r="D1063" i="11"/>
  <c r="C1305" i="11"/>
  <c r="D1369" i="11"/>
  <c r="D1441" i="11"/>
  <c r="D1355" i="11"/>
  <c r="D2060" i="11"/>
  <c r="C2172" i="11"/>
  <c r="D2228" i="11"/>
  <c r="C2308" i="11"/>
  <c r="C2484" i="11"/>
  <c r="C2660" i="11"/>
  <c r="C1259" i="11"/>
  <c r="D3162" i="11"/>
  <c r="D3194" i="11"/>
  <c r="C3234" i="11"/>
  <c r="C3266" i="11"/>
  <c r="D3418" i="11"/>
  <c r="D3450" i="11"/>
  <c r="C3490" i="11"/>
  <c r="C3522" i="11"/>
  <c r="D3706" i="11"/>
  <c r="C3730" i="11"/>
  <c r="C3834" i="11"/>
  <c r="D3858" i="11"/>
  <c r="D3890" i="11"/>
  <c r="D3954" i="11"/>
  <c r="C4010" i="11"/>
  <c r="C4034" i="11"/>
  <c r="C4082" i="11"/>
  <c r="D4162" i="11"/>
  <c r="D4218" i="11"/>
  <c r="C4266" i="11"/>
  <c r="C4290" i="11"/>
  <c r="C4338" i="11"/>
  <c r="D4418" i="11"/>
  <c r="D4474" i="11"/>
  <c r="C4522" i="11"/>
  <c r="C5128" i="11"/>
  <c r="C5261" i="11"/>
  <c r="D5320" i="11"/>
  <c r="C5341" i="11"/>
  <c r="C5389" i="11"/>
  <c r="D5416" i="11"/>
  <c r="D5448" i="11"/>
  <c r="C5469" i="11"/>
  <c r="D5528" i="11"/>
  <c r="C4576" i="11"/>
  <c r="D4624" i="11"/>
  <c r="C4704" i="11"/>
  <c r="D4752" i="11"/>
  <c r="C4832" i="11"/>
  <c r="D4880" i="11"/>
  <c r="C4960" i="11"/>
  <c r="D5008" i="11"/>
  <c r="C5088" i="11"/>
  <c r="C5253" i="11"/>
  <c r="D5285" i="11"/>
  <c r="C5317" i="11"/>
  <c r="C5365" i="11"/>
  <c r="C5397" i="11"/>
  <c r="C5429" i="11"/>
  <c r="C5461" i="11"/>
  <c r="C5509" i="11"/>
  <c r="D4617" i="11"/>
  <c r="C4668" i="11"/>
  <c r="C4732" i="11"/>
  <c r="C4777" i="11"/>
  <c r="D4841" i="11"/>
  <c r="D4892" i="11"/>
  <c r="D4937" i="11"/>
  <c r="D4988" i="11"/>
  <c r="D5052" i="11"/>
  <c r="C5097" i="11"/>
  <c r="C5148" i="11"/>
  <c r="C5294" i="11"/>
  <c r="D5340" i="11"/>
  <c r="C5422" i="11"/>
  <c r="D5468" i="11"/>
  <c r="D5813" i="11"/>
  <c r="D5877" i="11"/>
  <c r="D5941" i="11"/>
  <c r="D6005" i="11"/>
  <c r="D6069" i="11"/>
  <c r="D6133" i="11"/>
  <c r="D6197" i="11"/>
  <c r="D6261" i="11"/>
  <c r="D6325" i="11"/>
  <c r="D6389" i="11"/>
  <c r="D6453" i="11"/>
  <c r="D6517" i="11"/>
  <c r="D6581" i="11"/>
  <c r="D6645" i="11"/>
  <c r="D6837" i="11"/>
  <c r="D6901" i="11"/>
  <c r="D6965" i="11"/>
  <c r="D7029" i="11"/>
  <c r="D7269" i="11"/>
  <c r="C7306" i="11"/>
  <c r="D7349" i="11"/>
  <c r="D7397" i="11"/>
  <c r="C7450" i="11"/>
  <c r="C7482" i="11"/>
  <c r="D7517" i="11"/>
  <c r="C7554" i="11"/>
  <c r="D7637" i="11"/>
  <c r="D7661" i="11"/>
  <c r="D7701" i="11"/>
  <c r="D7757" i="11"/>
  <c r="D7773" i="11"/>
  <c r="D7789" i="11"/>
  <c r="D7805" i="11"/>
  <c r="D7925" i="11"/>
  <c r="D7997" i="11"/>
  <c r="C8074" i="11"/>
  <c r="D8101" i="11"/>
  <c r="D8141" i="11"/>
  <c r="D8245" i="11"/>
  <c r="D3136" i="11"/>
  <c r="D3168" i="11"/>
  <c r="D3208" i="11"/>
  <c r="C3296" i="11"/>
  <c r="C3392" i="11"/>
  <c r="D3440" i="11"/>
  <c r="C3472" i="11"/>
  <c r="D3632" i="11"/>
  <c r="C3712" i="11"/>
  <c r="C3744" i="11"/>
  <c r="D3824" i="11"/>
  <c r="D3984" i="11"/>
  <c r="D4016" i="11"/>
  <c r="C4064" i="11"/>
  <c r="C4176" i="11"/>
  <c r="C4224" i="11"/>
  <c r="C4256" i="11"/>
  <c r="D4336" i="11"/>
  <c r="D4496" i="11"/>
  <c r="D4528" i="11"/>
  <c r="C4625" i="11"/>
  <c r="D4785" i="11"/>
  <c r="C4881" i="11"/>
  <c r="D5041" i="11"/>
  <c r="D5137" i="11"/>
  <c r="D5174" i="11"/>
  <c r="C5233" i="11"/>
  <c r="D4601" i="11"/>
  <c r="C4665" i="11"/>
  <c r="C4716" i="11"/>
  <c r="C4780" i="11"/>
  <c r="C4830" i="11"/>
  <c r="D4894" i="11"/>
  <c r="D4953" i="11"/>
  <c r="C5022" i="11"/>
  <c r="C5113" i="11"/>
  <c r="C5150" i="11"/>
  <c r="C5214" i="11"/>
  <c r="D5823" i="11"/>
  <c r="D5917" i="11"/>
  <c r="D5999" i="11"/>
  <c r="D6079" i="11"/>
  <c r="D6173" i="11"/>
  <c r="D6255" i="11"/>
  <c r="D6367" i="11"/>
  <c r="D6495" i="11"/>
  <c r="D6607" i="11"/>
  <c r="D6799" i="11"/>
  <c r="D7119" i="11"/>
  <c r="C7734" i="11"/>
  <c r="C7790" i="11"/>
  <c r="C7854" i="11"/>
  <c r="D2758" i="11"/>
  <c r="C4609" i="11"/>
  <c r="C4961" i="11"/>
  <c r="D5025" i="11"/>
  <c r="D5094" i="11"/>
  <c r="D5140" i="11"/>
  <c r="C5524" i="11"/>
  <c r="C306" i="11"/>
  <c r="D780" i="11"/>
  <c r="D476" i="11"/>
  <c r="D849" i="11"/>
  <c r="D1127" i="11"/>
  <c r="C1394" i="11"/>
  <c r="D1653" i="11"/>
  <c r="C1829" i="11"/>
  <c r="D2192" i="11"/>
  <c r="C3206" i="11"/>
  <c r="C3878" i="11"/>
  <c r="C4006" i="11"/>
  <c r="C4390" i="11"/>
  <c r="C4518" i="11"/>
  <c r="D1030" i="11"/>
  <c r="D1642" i="11"/>
  <c r="C1882" i="11"/>
  <c r="C2109" i="11"/>
  <c r="C2269" i="11"/>
  <c r="D3084" i="11"/>
  <c r="C3230" i="11"/>
  <c r="C3406" i="11"/>
  <c r="C3742" i="11"/>
  <c r="D4062" i="11"/>
  <c r="D2152" i="11"/>
  <c r="C2376" i="11"/>
  <c r="C2551" i="11"/>
  <c r="D2760" i="11"/>
  <c r="D2914" i="11"/>
  <c r="D3697" i="11"/>
  <c r="D3761" i="11"/>
  <c r="D3825" i="11"/>
  <c r="D3889" i="11"/>
  <c r="D3953" i="11"/>
  <c r="D4017" i="11"/>
  <c r="D4081" i="11"/>
  <c r="D4145" i="11"/>
  <c r="D4209" i="11"/>
  <c r="D4273" i="11"/>
  <c r="D4337" i="11"/>
  <c r="D4478" i="11"/>
  <c r="D5666" i="11"/>
  <c r="D6649" i="11"/>
  <c r="C7001" i="11"/>
  <c r="C7615" i="11"/>
  <c r="D312" i="11"/>
  <c r="C1676" i="11"/>
  <c r="C2053" i="11"/>
  <c r="C2325" i="11"/>
  <c r="C2471" i="11"/>
  <c r="D2781" i="11"/>
  <c r="C3180" i="11"/>
  <c r="D3332" i="11"/>
  <c r="D3436" i="11"/>
  <c r="C3588" i="11"/>
  <c r="D3708" i="11"/>
  <c r="D3772" i="11"/>
  <c r="D3868" i="11"/>
  <c r="C4060" i="11"/>
  <c r="D4156" i="11"/>
  <c r="D4252" i="11"/>
  <c r="D4476" i="11"/>
  <c r="C5725" i="11"/>
  <c r="D2824" i="11"/>
  <c r="C4433" i="11"/>
  <c r="C5279" i="11"/>
  <c r="C5826" i="11"/>
  <c r="D6242" i="11"/>
  <c r="D6498" i="11"/>
  <c r="C7255" i="11"/>
  <c r="D1831" i="11"/>
  <c r="D2391" i="11"/>
  <c r="C2583" i="11"/>
  <c r="C2728" i="11"/>
  <c r="C4375" i="11"/>
  <c r="C4991" i="11"/>
  <c r="D611" i="11"/>
  <c r="D1463" i="11"/>
  <c r="C1933" i="11"/>
  <c r="C2167" i="11"/>
  <c r="D2279" i="11"/>
  <c r="C2631" i="11"/>
  <c r="C2762" i="11"/>
  <c r="D3042" i="11"/>
  <c r="C4495" i="11"/>
  <c r="C4735" i="11"/>
  <c r="C5842" i="11"/>
  <c r="D6322" i="11"/>
  <c r="C5311" i="11"/>
  <c r="D5630" i="11"/>
  <c r="C6950" i="11"/>
  <c r="D7464" i="11"/>
  <c r="D8998" i="11"/>
  <c r="D9060" i="11"/>
  <c r="C6609" i="11"/>
  <c r="C6865" i="11"/>
  <c r="C6993" i="11"/>
  <c r="C7121" i="11"/>
  <c r="C7249" i="11"/>
  <c r="D7967" i="11"/>
  <c r="D7327" i="11"/>
  <c r="C8322" i="11"/>
  <c r="D8549" i="11"/>
  <c r="D8658" i="11"/>
  <c r="D8738" i="11"/>
  <c r="D8957" i="11"/>
  <c r="C9096" i="11"/>
  <c r="D9285" i="11"/>
  <c r="D5726" i="11"/>
  <c r="D1672" i="11"/>
  <c r="D2591" i="11"/>
  <c r="D3000" i="11"/>
  <c r="C1823" i="11"/>
  <c r="C2920" i="11"/>
  <c r="C2999" i="11"/>
  <c r="C3269" i="11"/>
  <c r="C3525" i="11"/>
  <c r="D3911" i="11"/>
  <c r="C4823" i="11"/>
  <c r="D5671" i="11"/>
  <c r="C6350" i="11"/>
  <c r="C9592" i="11"/>
  <c r="C9786" i="11"/>
  <c r="D511" i="11"/>
  <c r="D3453" i="11"/>
  <c r="D2047" i="11"/>
  <c r="C7668" i="11"/>
  <c r="C7924" i="11"/>
  <c r="C4698" i="11"/>
  <c r="D4698" i="11"/>
  <c r="C7572" i="11"/>
  <c r="D7572" i="11"/>
  <c r="C7988" i="11"/>
  <c r="D7988" i="11"/>
  <c r="C3483" i="11"/>
  <c r="D3483" i="11"/>
  <c r="D4554" i="11"/>
  <c r="C4554" i="11"/>
  <c r="D7792" i="11"/>
  <c r="D2330" i="11"/>
  <c r="C2330" i="11"/>
  <c r="C2842" i="11"/>
  <c r="D2842" i="11"/>
  <c r="C4890" i="11"/>
  <c r="D4890" i="11"/>
  <c r="D5740" i="11"/>
  <c r="C5740" i="11"/>
  <c r="C5996" i="11"/>
  <c r="D5996" i="11"/>
  <c r="C6124" i="11"/>
  <c r="D6124" i="11"/>
  <c r="C6252" i="11"/>
  <c r="D6252" i="11"/>
  <c r="C6380" i="11"/>
  <c r="D6380" i="11"/>
  <c r="C6508" i="11"/>
  <c r="D6508" i="11"/>
  <c r="C6744" i="11"/>
  <c r="D6744" i="11"/>
  <c r="C6829" i="11"/>
  <c r="D6829" i="11"/>
  <c r="C6872" i="11"/>
  <c r="D6872" i="11"/>
  <c r="C6957" i="11"/>
  <c r="D6957" i="11"/>
  <c r="D7042" i="11"/>
  <c r="C7042" i="11"/>
  <c r="C7128" i="11"/>
  <c r="D7128" i="11"/>
  <c r="C7213" i="11"/>
  <c r="D7213" i="11"/>
  <c r="D7298" i="11"/>
  <c r="C7298" i="11"/>
  <c r="C7332" i="11"/>
  <c r="D7332" i="11"/>
  <c r="C7460" i="11"/>
  <c r="D7460" i="11"/>
  <c r="C7652" i="11"/>
  <c r="D7652" i="11"/>
  <c r="C7716" i="11"/>
  <c r="D7716" i="11"/>
  <c r="D7780" i="11"/>
  <c r="C7780" i="11"/>
  <c r="C7844" i="11"/>
  <c r="D7844" i="11"/>
  <c r="C7908" i="11"/>
  <c r="D7908" i="11"/>
  <c r="C7972" i="11"/>
  <c r="D7972" i="11"/>
  <c r="D8036" i="11"/>
  <c r="C8036" i="11"/>
  <c r="C8100" i="11"/>
  <c r="D8100" i="11"/>
  <c r="C8164" i="11"/>
  <c r="D8164" i="11"/>
  <c r="C3568" i="11"/>
  <c r="D3568" i="11"/>
  <c r="C5924" i="11"/>
  <c r="D5924" i="11"/>
  <c r="C6244" i="11"/>
  <c r="D6244" i="11"/>
  <c r="D6308" i="11"/>
  <c r="C6308" i="11"/>
  <c r="D6564" i="11"/>
  <c r="C6564" i="11"/>
  <c r="C6653" i="11"/>
  <c r="D6653" i="11"/>
  <c r="C6696" i="11"/>
  <c r="D6696" i="11"/>
  <c r="C6781" i="11"/>
  <c r="D6781" i="11"/>
  <c r="D6866" i="11"/>
  <c r="C6866" i="11"/>
  <c r="C6952" i="11"/>
  <c r="D6952" i="11"/>
  <c r="C7037" i="11"/>
  <c r="D7037" i="11"/>
  <c r="C7360" i="11"/>
  <c r="D7360" i="11"/>
  <c r="C7424" i="11"/>
  <c r="D7424" i="11"/>
  <c r="C7488" i="11"/>
  <c r="D7488" i="11"/>
  <c r="C7616" i="11"/>
  <c r="D7616" i="11"/>
  <c r="C7680" i="11"/>
  <c r="D7680" i="11"/>
  <c r="C7744" i="11"/>
  <c r="D7744" i="11"/>
  <c r="C7808" i="11"/>
  <c r="D7808" i="11"/>
  <c r="C7872" i="11"/>
  <c r="D7872" i="11"/>
  <c r="C7904" i="11"/>
  <c r="D7904" i="11"/>
  <c r="D7968" i="11"/>
  <c r="C7968" i="11"/>
  <c r="C8032" i="11"/>
  <c r="D8032" i="11"/>
  <c r="D8096" i="11"/>
  <c r="C8096" i="11"/>
  <c r="C8160" i="11"/>
  <c r="D8160" i="11"/>
  <c r="C8224" i="11"/>
  <c r="D8224" i="11"/>
  <c r="D8352" i="11"/>
  <c r="C8352" i="11"/>
  <c r="D8416" i="11"/>
  <c r="C8416" i="11"/>
  <c r="D8480" i="11"/>
  <c r="C8480" i="11"/>
  <c r="D8512" i="11"/>
  <c r="C8512" i="11"/>
  <c r="D8704" i="11"/>
  <c r="C8704" i="11"/>
  <c r="D8800" i="11"/>
  <c r="C8800" i="11"/>
  <c r="C8992" i="11"/>
  <c r="D8992" i="11"/>
  <c r="D9056" i="11"/>
  <c r="C9056" i="11"/>
  <c r="D9120" i="11"/>
  <c r="C9120" i="11"/>
  <c r="D9184" i="11"/>
  <c r="C9184" i="11"/>
  <c r="D9440" i="11"/>
  <c r="C9440" i="11"/>
  <c r="D9504" i="11"/>
  <c r="C9504" i="11"/>
  <c r="D9568" i="11"/>
  <c r="C9568" i="11"/>
  <c r="D9632" i="11"/>
  <c r="C9632" i="11"/>
  <c r="D9696" i="11"/>
  <c r="C9696" i="11"/>
  <c r="D9760" i="11"/>
  <c r="C9760" i="11"/>
  <c r="D9824" i="11"/>
  <c r="C9824" i="11"/>
  <c r="D9952" i="11"/>
  <c r="C9952" i="11"/>
  <c r="C10009" i="11"/>
  <c r="D10009" i="11"/>
  <c r="C9881" i="11"/>
  <c r="D9881" i="11"/>
  <c r="C9753" i="11"/>
  <c r="D9753" i="11"/>
  <c r="C9561" i="11"/>
  <c r="D9561" i="11"/>
  <c r="C8425" i="11"/>
  <c r="D8425" i="11"/>
  <c r="D7241" i="11"/>
  <c r="C7241" i="11"/>
  <c r="D7156" i="11"/>
  <c r="C7156" i="11"/>
  <c r="D7113" i="11"/>
  <c r="C7113" i="11"/>
  <c r="D7028" i="11"/>
  <c r="C7028" i="11"/>
  <c r="D6985" i="11"/>
  <c r="C6985" i="11"/>
  <c r="D6900" i="11"/>
  <c r="C6900" i="11"/>
  <c r="D6878" i="11"/>
  <c r="C6878" i="11"/>
  <c r="D6793" i="11"/>
  <c r="C6793" i="11"/>
  <c r="D6750" i="11"/>
  <c r="C6750" i="11"/>
  <c r="D6665" i="11"/>
  <c r="C6665" i="11"/>
  <c r="D6580" i="11"/>
  <c r="C6580" i="11"/>
  <c r="C6518" i="11"/>
  <c r="D6518" i="11"/>
  <c r="C6390" i="11"/>
  <c r="D6390" i="11"/>
  <c r="C6326" i="11"/>
  <c r="D6326" i="11"/>
  <c r="C6262" i="11"/>
  <c r="D6262" i="11"/>
  <c r="C6198" i="11"/>
  <c r="D6198" i="11"/>
  <c r="C6134" i="11"/>
  <c r="D6134" i="11"/>
  <c r="C6006" i="11"/>
  <c r="D6006" i="11"/>
  <c r="C5942" i="11"/>
  <c r="D5942" i="11"/>
  <c r="C5878" i="11"/>
  <c r="D5878" i="11"/>
  <c r="D5718" i="11"/>
  <c r="C5718" i="11"/>
  <c r="C9571" i="11"/>
  <c r="D9571" i="11"/>
  <c r="D1252" i="11"/>
  <c r="C4654" i="11"/>
  <c r="C3248" i="11"/>
  <c r="C3616" i="11"/>
  <c r="C5302" i="11"/>
  <c r="C5412" i="11"/>
  <c r="C5462" i="11"/>
  <c r="D5292" i="11"/>
  <c r="D5420" i="11"/>
  <c r="D5236" i="11"/>
  <c r="C3590" i="11"/>
  <c r="D3886" i="11"/>
  <c r="D3950" i="11"/>
  <c r="D4078" i="11"/>
  <c r="C6610" i="11"/>
  <c r="C7122" i="11"/>
  <c r="C5194" i="11"/>
  <c r="C6977" i="11"/>
  <c r="C7396" i="11"/>
  <c r="C8288" i="11"/>
  <c r="C8672" i="11"/>
  <c r="D8864" i="11"/>
  <c r="D9248" i="11"/>
  <c r="C6550" i="11"/>
  <c r="D7364" i="11"/>
  <c r="C5796" i="11"/>
  <c r="D8489" i="11"/>
  <c r="D5860" i="11"/>
  <c r="C6116" i="11"/>
  <c r="D6372" i="11"/>
  <c r="D5138" i="11"/>
  <c r="C9888" i="11"/>
  <c r="C9920" i="11"/>
  <c r="D9945" i="11"/>
  <c r="C5674" i="11"/>
  <c r="D7552" i="11"/>
  <c r="C4762" i="11"/>
  <c r="D3738" i="11"/>
  <c r="D3866" i="11"/>
  <c r="D3994" i="11"/>
  <c r="D4122" i="11"/>
  <c r="D4250" i="11"/>
  <c r="D4378" i="11"/>
  <c r="D4506" i="11"/>
  <c r="C4782" i="11"/>
  <c r="C5430" i="11"/>
  <c r="C5540" i="11"/>
  <c r="C7262" i="11"/>
  <c r="C5002" i="11"/>
  <c r="C5604" i="11"/>
  <c r="C6363" i="11"/>
  <c r="C6658" i="11"/>
  <c r="C7003" i="11"/>
  <c r="C7170" i="11"/>
  <c r="D6738" i="11"/>
  <c r="D7250" i="11"/>
  <c r="C6785" i="11"/>
  <c r="C7620" i="11"/>
  <c r="D7936" i="11"/>
  <c r="D6070" i="11"/>
  <c r="D8128" i="11"/>
  <c r="D7524" i="11"/>
  <c r="C7748" i="11"/>
  <c r="C8576" i="11"/>
  <c r="C8640" i="11"/>
  <c r="C5686" i="11"/>
  <c r="C9376" i="11"/>
  <c r="C9408" i="11"/>
  <c r="D9433" i="11"/>
  <c r="D7080" i="11"/>
  <c r="D1908" i="11"/>
  <c r="C2586" i="11"/>
  <c r="D2586" i="11"/>
  <c r="C3078" i="11"/>
  <c r="D3078" i="11"/>
  <c r="C3419" i="11"/>
  <c r="D3419" i="11"/>
  <c r="D5018" i="11"/>
  <c r="C5018" i="11"/>
  <c r="D5223" i="11"/>
  <c r="C5223" i="11"/>
  <c r="D5548" i="11"/>
  <c r="C5548" i="11"/>
  <c r="D5676" i="11"/>
  <c r="C5676" i="11"/>
  <c r="C5804" i="11"/>
  <c r="D5804" i="11"/>
  <c r="C5932" i="11"/>
  <c r="D5932" i="11"/>
  <c r="C6060" i="11"/>
  <c r="D6060" i="11"/>
  <c r="C6188" i="11"/>
  <c r="D6188" i="11"/>
  <c r="C6316" i="11"/>
  <c r="D6316" i="11"/>
  <c r="C6444" i="11"/>
  <c r="D6444" i="11"/>
  <c r="C6572" i="11"/>
  <c r="D6572" i="11"/>
  <c r="D6616" i="11"/>
  <c r="C6616" i="11"/>
  <c r="C6701" i="11"/>
  <c r="D6701" i="11"/>
  <c r="D6786" i="11"/>
  <c r="C6786" i="11"/>
  <c r="C7000" i="11"/>
  <c r="D7000" i="11"/>
  <c r="C7085" i="11"/>
  <c r="D7085" i="11"/>
  <c r="C7256" i="11"/>
  <c r="D7256" i="11"/>
  <c r="C7492" i="11"/>
  <c r="D7492" i="11"/>
  <c r="C7588" i="11"/>
  <c r="D7588" i="11"/>
  <c r="C7812" i="11"/>
  <c r="D7812" i="11"/>
  <c r="D7876" i="11"/>
  <c r="C7876" i="11"/>
  <c r="D7940" i="11"/>
  <c r="C7940" i="11"/>
  <c r="C8004" i="11"/>
  <c r="D8004" i="11"/>
  <c r="C8068" i="11"/>
  <c r="D8068" i="11"/>
  <c r="C8132" i="11"/>
  <c r="D8132" i="11"/>
  <c r="C8196" i="11"/>
  <c r="D8196" i="11"/>
  <c r="C3227" i="11"/>
  <c r="D3227" i="11"/>
  <c r="D4618" i="11"/>
  <c r="C4618" i="11"/>
  <c r="D4874" i="11"/>
  <c r="C4874" i="11"/>
  <c r="D5127" i="11"/>
  <c r="C5127" i="11"/>
  <c r="C5212" i="11"/>
  <c r="D5212" i="11"/>
  <c r="D5348" i="11"/>
  <c r="C5348" i="11"/>
  <c r="D5476" i="11"/>
  <c r="C5476" i="11"/>
  <c r="C5732" i="11"/>
  <c r="D5732" i="11"/>
  <c r="D5988" i="11"/>
  <c r="C5988" i="11"/>
  <c r="C6052" i="11"/>
  <c r="D6052" i="11"/>
  <c r="D6180" i="11"/>
  <c r="C6180" i="11"/>
  <c r="C6909" i="11"/>
  <c r="D6909" i="11"/>
  <c r="C6994" i="11"/>
  <c r="D6994" i="11"/>
  <c r="C7165" i="11"/>
  <c r="D7165" i="11"/>
  <c r="C7208" i="11"/>
  <c r="D7208" i="11"/>
  <c r="C7293" i="11"/>
  <c r="D7293" i="11"/>
  <c r="D7328" i="11"/>
  <c r="C7328" i="11"/>
  <c r="C7392" i="11"/>
  <c r="D7392" i="11"/>
  <c r="D7456" i="11"/>
  <c r="C7456" i="11"/>
  <c r="C7520" i="11"/>
  <c r="D7520" i="11"/>
  <c r="C7648" i="11"/>
  <c r="D7648" i="11"/>
  <c r="D7712" i="11"/>
  <c r="C7712" i="11"/>
  <c r="D7776" i="11"/>
  <c r="C7776" i="11"/>
  <c r="D7840" i="11"/>
  <c r="C7840" i="11"/>
  <c r="C8000" i="11"/>
  <c r="D8000" i="11"/>
  <c r="C8064" i="11"/>
  <c r="D8064" i="11"/>
  <c r="D8192" i="11"/>
  <c r="C8192" i="11"/>
  <c r="D8256" i="11"/>
  <c r="C8256" i="11"/>
  <c r="D8320" i="11"/>
  <c r="C8320" i="11"/>
  <c r="D8448" i="11"/>
  <c r="C8448" i="11"/>
  <c r="C8736" i="11"/>
  <c r="D8736" i="11"/>
  <c r="D8768" i="11"/>
  <c r="C8768" i="11"/>
  <c r="D8832" i="11"/>
  <c r="C8832" i="11"/>
  <c r="D8960" i="11"/>
  <c r="C8960" i="11"/>
  <c r="D9024" i="11"/>
  <c r="C9024" i="11"/>
  <c r="D9088" i="11"/>
  <c r="C9088" i="11"/>
  <c r="D9152" i="11"/>
  <c r="C9152" i="11"/>
  <c r="D9216" i="11"/>
  <c r="C9216" i="11"/>
  <c r="D9344" i="11"/>
  <c r="C9344" i="11"/>
  <c r="D9472" i="11"/>
  <c r="C9472" i="11"/>
  <c r="D9536" i="11"/>
  <c r="C9536" i="11"/>
  <c r="D9600" i="11"/>
  <c r="C9600" i="11"/>
  <c r="D9728" i="11"/>
  <c r="C9728" i="11"/>
  <c r="D9792" i="11"/>
  <c r="C9792" i="11"/>
  <c r="D9856" i="11"/>
  <c r="C9856" i="11"/>
  <c r="D9984" i="11"/>
  <c r="C9984" i="11"/>
  <c r="C9817" i="11"/>
  <c r="D9817" i="11"/>
  <c r="C9625" i="11"/>
  <c r="D9625" i="11"/>
  <c r="C9497" i="11"/>
  <c r="D9497" i="11"/>
  <c r="C9369" i="11"/>
  <c r="D9369" i="11"/>
  <c r="C8361" i="11"/>
  <c r="D8361" i="11"/>
  <c r="C8297" i="11"/>
  <c r="D8297" i="11"/>
  <c r="D7177" i="11"/>
  <c r="C7177" i="11"/>
  <c r="D7134" i="11"/>
  <c r="C7134" i="11"/>
  <c r="D7049" i="11"/>
  <c r="C7049" i="11"/>
  <c r="D7006" i="11"/>
  <c r="C7006" i="11"/>
  <c r="D6921" i="11"/>
  <c r="C6921" i="11"/>
  <c r="D6772" i="11"/>
  <c r="C6772" i="11"/>
  <c r="D6729" i="11"/>
  <c r="C6729" i="11"/>
  <c r="D6644" i="11"/>
  <c r="C6644" i="11"/>
  <c r="D6601" i="11"/>
  <c r="C6601" i="11"/>
  <c r="D6486" i="11"/>
  <c r="C6486" i="11"/>
  <c r="D6422" i="11"/>
  <c r="C6422" i="11"/>
  <c r="D6358" i="11"/>
  <c r="C6358" i="11"/>
  <c r="D6294" i="11"/>
  <c r="C6294" i="11"/>
  <c r="D6166" i="11"/>
  <c r="C6166" i="11"/>
  <c r="D6102" i="11"/>
  <c r="C6102" i="11"/>
  <c r="D6038" i="11"/>
  <c r="C6038" i="11"/>
  <c r="D5974" i="11"/>
  <c r="C5974" i="11"/>
  <c r="D5846" i="11"/>
  <c r="C5846" i="11"/>
  <c r="C5814" i="11"/>
  <c r="D5814" i="11"/>
  <c r="D5526" i="11"/>
  <c r="C5526" i="11"/>
  <c r="D5494" i="11"/>
  <c r="C5494" i="11"/>
  <c r="D5398" i="11"/>
  <c r="C5398" i="11"/>
  <c r="D5366" i="11"/>
  <c r="C5366" i="11"/>
  <c r="D5270" i="11"/>
  <c r="C5270" i="11"/>
  <c r="D5151" i="11"/>
  <c r="C5151" i="11"/>
  <c r="D5102" i="11"/>
  <c r="C5102" i="11"/>
  <c r="D4974" i="11"/>
  <c r="C4974" i="11"/>
  <c r="D4846" i="11"/>
  <c r="C4846" i="11"/>
  <c r="D4718" i="11"/>
  <c r="C4718" i="11"/>
  <c r="D4590" i="11"/>
  <c r="C4590" i="11"/>
  <c r="C4526" i="11"/>
  <c r="D4526" i="11"/>
  <c r="C4462" i="11"/>
  <c r="D4462" i="11"/>
  <c r="C4398" i="11"/>
  <c r="D4398" i="11"/>
  <c r="C4334" i="11"/>
  <c r="D4334" i="11"/>
  <c r="C4270" i="11"/>
  <c r="D4270" i="11"/>
  <c r="C4206" i="11"/>
  <c r="D4206" i="11"/>
  <c r="C4142" i="11"/>
  <c r="D4142" i="11"/>
  <c r="C4014" i="11"/>
  <c r="D4014" i="11"/>
  <c r="C3822" i="11"/>
  <c r="D3822" i="11"/>
  <c r="C3758" i="11"/>
  <c r="D3758" i="11"/>
  <c r="C3694" i="11"/>
  <c r="D3694" i="11"/>
  <c r="D3446" i="11"/>
  <c r="C3446" i="11"/>
  <c r="D3190" i="11"/>
  <c r="C3190" i="11"/>
  <c r="D2220" i="11"/>
  <c r="C2220" i="11"/>
  <c r="D2036" i="11"/>
  <c r="C2036" i="11"/>
  <c r="C930" i="11"/>
  <c r="D930" i="11"/>
  <c r="C9635" i="11"/>
  <c r="D9635" i="11"/>
  <c r="C9619" i="11"/>
  <c r="D9619" i="11"/>
  <c r="C9603" i="11"/>
  <c r="D9603" i="11"/>
  <c r="C9587" i="11"/>
  <c r="D9587" i="11"/>
  <c r="C9555" i="11"/>
  <c r="D9555" i="11"/>
  <c r="C9539" i="11"/>
  <c r="D9539" i="11"/>
  <c r="C9523" i="11"/>
  <c r="D9523" i="11"/>
  <c r="C9507" i="11"/>
  <c r="D9507" i="11"/>
  <c r="C9491" i="11"/>
  <c r="D9491" i="11"/>
  <c r="C9475" i="11"/>
  <c r="D9475" i="11"/>
  <c r="C9459" i="11"/>
  <c r="D9459" i="11"/>
  <c r="C9443" i="11"/>
  <c r="D9443" i="11"/>
  <c r="C9427" i="11"/>
  <c r="D9427" i="11"/>
  <c r="C9411" i="11"/>
  <c r="D9411" i="11"/>
  <c r="C9395" i="11"/>
  <c r="D9395" i="11"/>
  <c r="C9379" i="11"/>
  <c r="D9379" i="11"/>
  <c r="C9363" i="11"/>
  <c r="D9363" i="11"/>
  <c r="C9347" i="11"/>
  <c r="D9347" i="11"/>
  <c r="C9331" i="11"/>
  <c r="D9331" i="11"/>
  <c r="C9315" i="11"/>
  <c r="D9315" i="11"/>
  <c r="C9299" i="11"/>
  <c r="D9299" i="11"/>
  <c r="C9283" i="11"/>
  <c r="D9283" i="11"/>
  <c r="C9267" i="11"/>
  <c r="D9267" i="11"/>
  <c r="C9251" i="11"/>
  <c r="D9251" i="11"/>
  <c r="C9235" i="11"/>
  <c r="D9235" i="11"/>
  <c r="C9219" i="11"/>
  <c r="D9219" i="11"/>
  <c r="C9203" i="11"/>
  <c r="D9203" i="11"/>
  <c r="C9187" i="11"/>
  <c r="D9187" i="11"/>
  <c r="C9171" i="11"/>
  <c r="D9171" i="11"/>
  <c r="C9155" i="11"/>
  <c r="D9155" i="11"/>
  <c r="C9139" i="11"/>
  <c r="D9139" i="11"/>
  <c r="C9123" i="11"/>
  <c r="D9123" i="11"/>
  <c r="C9107" i="11"/>
  <c r="D9107" i="11"/>
  <c r="C9091" i="11"/>
  <c r="D9091" i="11"/>
  <c r="C9075" i="11"/>
  <c r="D9075" i="11"/>
  <c r="C9059" i="11"/>
  <c r="D9059" i="11"/>
  <c r="C9043" i="11"/>
  <c r="D9043" i="11"/>
  <c r="C9027" i="11"/>
  <c r="D9027" i="11"/>
  <c r="C9011" i="11"/>
  <c r="D9011" i="11"/>
  <c r="C8995" i="11"/>
  <c r="D8995" i="11"/>
  <c r="C8979" i="11"/>
  <c r="D8979" i="11"/>
  <c r="C8963" i="11"/>
  <c r="D8963" i="11"/>
  <c r="C8947" i="11"/>
  <c r="D8947" i="11"/>
  <c r="C8931" i="11"/>
  <c r="D8931" i="11"/>
  <c r="C8915" i="11"/>
  <c r="D8915" i="11"/>
  <c r="C8899" i="11"/>
  <c r="D8899" i="11"/>
  <c r="C8883" i="11"/>
  <c r="D8883" i="11"/>
  <c r="C8867" i="11"/>
  <c r="D8867" i="11"/>
  <c r="C8851" i="11"/>
  <c r="D8851" i="11"/>
  <c r="C8835" i="11"/>
  <c r="D8835" i="11"/>
  <c r="C8819" i="11"/>
  <c r="D8819" i="11"/>
  <c r="C8803" i="11"/>
  <c r="D8803" i="11"/>
  <c r="C8787" i="11"/>
  <c r="D8787" i="11"/>
  <c r="C8771" i="11"/>
  <c r="D8771" i="11"/>
  <c r="C8755" i="11"/>
  <c r="D8755" i="11"/>
  <c r="C8739" i="11"/>
  <c r="D8739" i="11"/>
  <c r="C8723" i="11"/>
  <c r="D8723" i="11"/>
  <c r="C8707" i="11"/>
  <c r="D8707" i="11"/>
  <c r="C8691" i="11"/>
  <c r="D8691" i="11"/>
  <c r="C8675" i="11"/>
  <c r="D8675" i="11"/>
  <c r="C8659" i="11"/>
  <c r="D8659" i="11"/>
  <c r="C8643" i="11"/>
  <c r="D8643" i="11"/>
  <c r="C8627" i="11"/>
  <c r="D8627" i="11"/>
  <c r="C8611" i="11"/>
  <c r="D8611" i="11"/>
  <c r="C8595" i="11"/>
  <c r="D8595" i="11"/>
  <c r="C8579" i="11"/>
  <c r="D8579" i="11"/>
  <c r="C8563" i="11"/>
  <c r="D8563" i="11"/>
  <c r="C8547" i="11"/>
  <c r="D8547" i="11"/>
  <c r="C8531" i="11"/>
  <c r="D8531" i="11"/>
  <c r="C8515" i="11"/>
  <c r="D8515" i="11"/>
  <c r="C8499" i="11"/>
  <c r="D8499" i="11"/>
  <c r="C8483" i="11"/>
  <c r="D8483" i="11"/>
  <c r="C8467" i="11"/>
  <c r="D8467" i="11"/>
  <c r="C8451" i="11"/>
  <c r="D8451" i="11"/>
  <c r="C8435" i="11"/>
  <c r="D8435" i="11"/>
  <c r="C8419" i="11"/>
  <c r="D8419" i="11"/>
  <c r="C8403" i="11"/>
  <c r="D8403" i="11"/>
  <c r="C8387" i="11"/>
  <c r="D8387" i="11"/>
  <c r="C8371" i="11"/>
  <c r="D8371" i="11"/>
  <c r="C8355" i="11"/>
  <c r="D8355" i="11"/>
  <c r="C8339" i="11"/>
  <c r="D8339" i="11"/>
  <c r="C8323" i="11"/>
  <c r="D8323" i="11"/>
  <c r="C8307" i="11"/>
  <c r="D8307" i="11"/>
  <c r="C8291" i="11"/>
  <c r="D8291" i="11"/>
  <c r="C8275" i="11"/>
  <c r="D8275" i="11"/>
  <c r="C8259" i="11"/>
  <c r="D8259" i="11"/>
  <c r="D7276" i="11"/>
  <c r="C7276" i="11"/>
  <c r="D7254" i="11"/>
  <c r="C7254" i="11"/>
  <c r="D7233" i="11"/>
  <c r="C7233" i="11"/>
  <c r="D7169" i="11"/>
  <c r="C7169" i="11"/>
  <c r="C7148" i="11"/>
  <c r="D7148" i="11"/>
  <c r="D7105" i="11"/>
  <c r="C7105" i="11"/>
  <c r="D7041" i="11"/>
  <c r="C7041" i="11"/>
  <c r="D6913" i="11"/>
  <c r="C6913" i="11"/>
  <c r="D6849" i="11"/>
  <c r="C6849" i="11"/>
  <c r="D6678" i="11"/>
  <c r="C6678" i="11"/>
  <c r="D6657" i="11"/>
  <c r="C6657" i="11"/>
  <c r="D6506" i="11"/>
  <c r="C6506" i="11"/>
  <c r="D6250" i="11"/>
  <c r="C6250" i="11"/>
  <c r="D5866" i="11"/>
  <c r="C5866" i="11"/>
  <c r="D5770" i="11"/>
  <c r="C5770" i="11"/>
  <c r="D5706" i="11"/>
  <c r="C5706" i="11"/>
  <c r="C5610" i="11"/>
  <c r="D5610" i="11"/>
  <c r="D5514" i="11"/>
  <c r="C5514" i="11"/>
  <c r="D5482" i="11"/>
  <c r="C5482" i="11"/>
  <c r="D5418" i="11"/>
  <c r="C5418" i="11"/>
  <c r="D5258" i="11"/>
  <c r="C5258" i="11"/>
  <c r="D5220" i="11"/>
  <c r="C5220" i="11"/>
  <c r="C5135" i="11"/>
  <c r="D5135" i="11"/>
  <c r="D5078" i="11"/>
  <c r="C5078" i="11"/>
  <c r="D5014" i="11"/>
  <c r="C5014" i="11"/>
  <c r="D4950" i="11"/>
  <c r="C4950" i="11"/>
  <c r="D4886" i="11"/>
  <c r="C4886" i="11"/>
  <c r="D4822" i="11"/>
  <c r="C4822" i="11"/>
  <c r="D4758" i="11"/>
  <c r="C4758" i="11"/>
  <c r="D4694" i="11"/>
  <c r="C4694" i="11"/>
  <c r="D4630" i="11"/>
  <c r="C4630" i="11"/>
  <c r="D4566" i="11"/>
  <c r="C4566" i="11"/>
  <c r="C3499" i="11"/>
  <c r="D3499" i="11"/>
  <c r="D2962" i="11"/>
  <c r="C2962" i="11"/>
  <c r="D1724" i="11"/>
  <c r="C1724" i="11"/>
  <c r="D1338" i="11"/>
  <c r="C1338" i="11"/>
  <c r="C7291" i="11"/>
  <c r="D7291" i="11"/>
  <c r="C7275" i="11"/>
  <c r="D7275" i="11"/>
  <c r="D7243" i="11"/>
  <c r="C7243" i="11"/>
  <c r="D7163" i="11"/>
  <c r="C7163" i="11"/>
  <c r="D7131" i="11"/>
  <c r="C7131" i="11"/>
  <c r="D7115" i="11"/>
  <c r="C7115" i="11"/>
  <c r="D7083" i="11"/>
  <c r="C7083" i="11"/>
  <c r="D7035" i="11"/>
  <c r="C7035" i="11"/>
  <c r="D6955" i="11"/>
  <c r="C6955" i="11"/>
  <c r="D6907" i="11"/>
  <c r="C6907" i="11"/>
  <c r="D6875" i="11"/>
  <c r="C6875" i="11"/>
  <c r="D6859" i="11"/>
  <c r="C6859" i="11"/>
  <c r="D6827" i="11"/>
  <c r="C6827" i="11"/>
  <c r="D6779" i="11"/>
  <c r="C6779" i="11"/>
  <c r="D6731" i="11"/>
  <c r="C6731" i="11"/>
  <c r="D6651" i="11"/>
  <c r="C6651" i="11"/>
  <c r="D6619" i="11"/>
  <c r="C6619" i="11"/>
  <c r="D6603" i="11"/>
  <c r="C6603" i="11"/>
  <c r="D6571" i="11"/>
  <c r="C6571" i="11"/>
  <c r="D6555" i="11"/>
  <c r="C6555" i="11"/>
  <c r="D6507" i="11"/>
  <c r="C6507" i="11"/>
  <c r="D6491" i="11"/>
  <c r="C6491" i="11"/>
  <c r="D6443" i="11"/>
  <c r="C6443" i="11"/>
  <c r="D6427" i="11"/>
  <c r="C6427" i="11"/>
  <c r="D6379" i="11"/>
  <c r="C6379" i="11"/>
  <c r="D6315" i="11"/>
  <c r="C6315" i="11"/>
  <c r="D6299" i="11"/>
  <c r="C6299" i="11"/>
  <c r="D6251" i="11"/>
  <c r="C6251" i="11"/>
  <c r="D6235" i="11"/>
  <c r="C6235" i="11"/>
  <c r="C5038" i="11"/>
  <c r="C5284" i="11"/>
  <c r="C5334" i="11"/>
  <c r="C3398" i="11"/>
  <c r="C6857" i="11"/>
  <c r="C6747" i="11"/>
  <c r="C6914" i="11"/>
  <c r="D3072" i="11"/>
  <c r="D5654" i="11"/>
  <c r="C6699" i="11"/>
  <c r="C7211" i="11"/>
  <c r="C7556" i="11"/>
  <c r="C7428" i="11"/>
  <c r="C7684" i="11"/>
  <c r="C8384" i="11"/>
  <c r="C8896" i="11"/>
  <c r="C9280" i="11"/>
  <c r="C6230" i="11"/>
  <c r="D5868" i="11"/>
  <c r="C6436" i="11"/>
  <c r="C2834" i="11"/>
  <c r="D2754" i="11"/>
  <c r="D4746" i="11"/>
  <c r="C5851" i="11"/>
  <c r="C6171" i="11"/>
  <c r="C6187" i="11"/>
  <c r="C5275" i="11"/>
  <c r="C4570" i="11"/>
  <c r="D4570" i="11"/>
  <c r="D4954" i="11"/>
  <c r="C4954" i="11"/>
  <c r="C6028" i="11"/>
  <c r="D6028" i="11"/>
  <c r="C6156" i="11"/>
  <c r="D6156" i="11"/>
  <c r="C6284" i="11"/>
  <c r="D6284" i="11"/>
  <c r="C6348" i="11"/>
  <c r="D6348" i="11"/>
  <c r="C6412" i="11"/>
  <c r="D6412" i="11"/>
  <c r="C6476" i="11"/>
  <c r="D6476" i="11"/>
  <c r="C6540" i="11"/>
  <c r="D6540" i="11"/>
  <c r="C6680" i="11"/>
  <c r="D6680" i="11"/>
  <c r="C6808" i="11"/>
  <c r="D6808" i="11"/>
  <c r="C6936" i="11"/>
  <c r="D6936" i="11"/>
  <c r="C7064" i="11"/>
  <c r="D7064" i="11"/>
  <c r="D7316" i="11"/>
  <c r="C7316" i="11"/>
  <c r="D7444" i="11"/>
  <c r="C7444" i="11"/>
  <c r="C7476" i="11"/>
  <c r="D7476" i="11"/>
  <c r="D7540" i="11"/>
  <c r="C7540" i="11"/>
  <c r="D7636" i="11"/>
  <c r="C7636" i="11"/>
  <c r="C7700" i="11"/>
  <c r="D7700" i="11"/>
  <c r="C7732" i="11"/>
  <c r="D7732" i="11"/>
  <c r="D7764" i="11"/>
  <c r="C7764" i="11"/>
  <c r="D7828" i="11"/>
  <c r="C7828" i="11"/>
  <c r="D7892" i="11"/>
  <c r="C7892" i="11"/>
  <c r="D7956" i="11"/>
  <c r="C7956" i="11"/>
  <c r="D8020" i="11"/>
  <c r="C8020" i="11"/>
  <c r="C8084" i="11"/>
  <c r="D8084" i="11"/>
  <c r="D8148" i="11"/>
  <c r="C8148" i="11"/>
  <c r="C8212" i="11"/>
  <c r="D8212" i="11"/>
  <c r="D8308" i="11"/>
  <c r="C8308" i="11"/>
  <c r="D8340" i="11"/>
  <c r="C8340" i="11"/>
  <c r="D8404" i="11"/>
  <c r="C8404" i="11"/>
  <c r="D8436" i="11"/>
  <c r="C8436" i="11"/>
  <c r="D8500" i="11"/>
  <c r="C8500" i="11"/>
  <c r="C2108" i="11"/>
  <c r="D2572" i="11"/>
  <c r="C2636" i="11"/>
  <c r="C3154" i="11"/>
  <c r="C3218" i="11"/>
  <c r="C3282" i="11"/>
  <c r="C3346" i="11"/>
  <c r="C3410" i="11"/>
  <c r="C3474" i="11"/>
  <c r="C3538" i="11"/>
  <c r="C3602" i="11"/>
  <c r="C3666" i="11"/>
  <c r="C5208" i="11"/>
  <c r="D4549" i="11"/>
  <c r="D4613" i="11"/>
  <c r="D4677" i="11"/>
  <c r="D4741" i="11"/>
  <c r="D4805" i="11"/>
  <c r="D4869" i="11"/>
  <c r="D4933" i="11"/>
  <c r="D4997" i="11"/>
  <c r="D5061" i="11"/>
  <c r="D5125" i="11"/>
  <c r="D5205" i="11"/>
  <c r="C3288" i="11"/>
  <c r="C3416" i="11"/>
  <c r="C3704" i="11"/>
  <c r="C3800" i="11"/>
  <c r="C3960" i="11"/>
  <c r="C4056" i="11"/>
  <c r="C4216" i="11"/>
  <c r="C4312" i="11"/>
  <c r="C4472" i="11"/>
  <c r="D5297" i="11"/>
  <c r="D5329" i="11"/>
  <c r="D6765" i="11"/>
  <c r="D7021" i="11"/>
  <c r="D2054" i="11"/>
  <c r="C5249" i="11"/>
  <c r="C5281" i="11"/>
  <c r="C5313" i="11"/>
  <c r="C5345" i="11"/>
  <c r="C5377" i="11"/>
  <c r="C5409" i="11"/>
  <c r="C5441" i="11"/>
  <c r="C5473" i="11"/>
  <c r="C5505" i="11"/>
  <c r="C5537" i="11"/>
  <c r="D5569" i="11"/>
  <c r="D5601" i="11"/>
  <c r="C2077" i="11"/>
  <c r="D3374" i="11"/>
  <c r="C2232" i="11"/>
  <c r="D1769" i="11"/>
  <c r="D2293" i="11"/>
  <c r="C3388" i="11"/>
  <c r="C3684" i="11"/>
  <c r="C4100" i="11"/>
  <c r="C4132" i="11"/>
  <c r="C4196" i="11"/>
  <c r="C5915" i="11"/>
  <c r="D6722" i="11"/>
  <c r="D6978" i="11"/>
  <c r="D7234" i="11"/>
  <c r="D2796" i="11"/>
  <c r="C4579" i="11"/>
  <c r="C5243" i="11"/>
  <c r="C5931" i="11"/>
  <c r="C5995" i="11"/>
  <c r="C6059" i="11"/>
  <c r="D8692" i="11"/>
  <c r="D5107" i="11"/>
  <c r="C5355" i="11"/>
  <c r="D5921" i="11"/>
  <c r="D6305" i="11"/>
  <c r="C5787" i="11"/>
  <c r="C872" i="11"/>
  <c r="C1853" i="11"/>
  <c r="C2665" i="11"/>
  <c r="D2537" i="11"/>
  <c r="C2795" i="11"/>
  <c r="C2384" i="11"/>
  <c r="D2553" i="11"/>
  <c r="D651" i="11"/>
  <c r="C4469" i="11"/>
  <c r="D5123" i="11"/>
  <c r="C5708" i="11"/>
  <c r="D7796" i="11"/>
  <c r="C2115" i="11"/>
  <c r="D2475" i="11"/>
  <c r="C2210" i="11"/>
  <c r="D712" i="11"/>
  <c r="D1715" i="11"/>
  <c r="D3367" i="11"/>
  <c r="D3747" i="11"/>
  <c r="D7860" i="11"/>
  <c r="D4515" i="11"/>
  <c r="D3907" i="11"/>
  <c r="D7192" i="11"/>
  <c r="C2443" i="11"/>
  <c r="D4419" i="11"/>
  <c r="D4931" i="11"/>
  <c r="D5755" i="11"/>
  <c r="C8276" i="11"/>
  <c r="D5900" i="11"/>
  <c r="C866" i="11"/>
  <c r="D866" i="11"/>
  <c r="D1794" i="11"/>
  <c r="C1794" i="11"/>
  <c r="D2490" i="11"/>
  <c r="C2490" i="11"/>
  <c r="C3355" i="11"/>
  <c r="D3355" i="11"/>
  <c r="D4714" i="11"/>
  <c r="C4714" i="11"/>
  <c r="D4842" i="11"/>
  <c r="C4842" i="11"/>
  <c r="D5098" i="11"/>
  <c r="C5098" i="11"/>
  <c r="C5191" i="11"/>
  <c r="D5191" i="11"/>
  <c r="D5652" i="11"/>
  <c r="C5652" i="11"/>
  <c r="D5908" i="11"/>
  <c r="C5908" i="11"/>
  <c r="D6548" i="11"/>
  <c r="C6548" i="11"/>
  <c r="C6642" i="11"/>
  <c r="D6642" i="11"/>
  <c r="C6685" i="11"/>
  <c r="D6685" i="11"/>
  <c r="C6770" i="11"/>
  <c r="D6770" i="11"/>
  <c r="C6813" i="11"/>
  <c r="D6813" i="11"/>
  <c r="C6898" i="11"/>
  <c r="D6898" i="11"/>
  <c r="C6941" i="11"/>
  <c r="D6941" i="11"/>
  <c r="C7026" i="11"/>
  <c r="D7026" i="11"/>
  <c r="C7069" i="11"/>
  <c r="D7069" i="11"/>
  <c r="C7112" i="11"/>
  <c r="D7112" i="11"/>
  <c r="C7154" i="11"/>
  <c r="D7154" i="11"/>
  <c r="C7197" i="11"/>
  <c r="D7197" i="11"/>
  <c r="C7240" i="11"/>
  <c r="D7240" i="11"/>
  <c r="D7282" i="11"/>
  <c r="C7282" i="11"/>
  <c r="D7320" i="11"/>
  <c r="C7320" i="11"/>
  <c r="C8152" i="11"/>
  <c r="D8152" i="11"/>
  <c r="D8184" i="11"/>
  <c r="C8184" i="11"/>
  <c r="D8280" i="11"/>
  <c r="C8280" i="11"/>
  <c r="D8312" i="11"/>
  <c r="C8312" i="11"/>
  <c r="D8344" i="11"/>
  <c r="C8344" i="11"/>
  <c r="D8408" i="11"/>
  <c r="C8408" i="11"/>
  <c r="D8440" i="11"/>
  <c r="C8440" i="11"/>
  <c r="D8472" i="11"/>
  <c r="C8472" i="11"/>
  <c r="D8568" i="11"/>
  <c r="C8568" i="11"/>
  <c r="D8632" i="11"/>
  <c r="C8632" i="11"/>
  <c r="D8696" i="11"/>
  <c r="C8696" i="11"/>
  <c r="D8760" i="11"/>
  <c r="C8760" i="11"/>
  <c r="D8824" i="11"/>
  <c r="C8824" i="11"/>
  <c r="D8888" i="11"/>
  <c r="C8888" i="11"/>
  <c r="D8952" i="11"/>
  <c r="C8952" i="11"/>
  <c r="D9016" i="11"/>
  <c r="C9016" i="11"/>
  <c r="D9080" i="11"/>
  <c r="C9080" i="11"/>
  <c r="D9144" i="11"/>
  <c r="C9144" i="11"/>
  <c r="D9208" i="11"/>
  <c r="C9208" i="11"/>
  <c r="D9272" i="11"/>
  <c r="C9272" i="11"/>
  <c r="D9432" i="11"/>
  <c r="C9432" i="11"/>
  <c r="D9528" i="11"/>
  <c r="C9528" i="11"/>
  <c r="D9560" i="11"/>
  <c r="C9560" i="11"/>
  <c r="D9624" i="11"/>
  <c r="C9624" i="11"/>
  <c r="D9688" i="11"/>
  <c r="C9688" i="11"/>
  <c r="D9720" i="11"/>
  <c r="C9720" i="11"/>
  <c r="D9816" i="11"/>
  <c r="C9816" i="11"/>
  <c r="D9944" i="11"/>
  <c r="C9944" i="11"/>
  <c r="C9997" i="11"/>
  <c r="D9997" i="11"/>
  <c r="C9965" i="11"/>
  <c r="D9965" i="11"/>
  <c r="C9949" i="11"/>
  <c r="D9949" i="11"/>
  <c r="C9917" i="11"/>
  <c r="D9917" i="11"/>
  <c r="C9901" i="11"/>
  <c r="D9901" i="11"/>
  <c r="C9885" i="11"/>
  <c r="D9885" i="11"/>
  <c r="C9789" i="11"/>
  <c r="D9789" i="11"/>
  <c r="C9741" i="11"/>
  <c r="D9741" i="11"/>
  <c r="C9725" i="11"/>
  <c r="D9725" i="11"/>
  <c r="C9709" i="11"/>
  <c r="D9709" i="11"/>
  <c r="C9693" i="11"/>
  <c r="D9693" i="11"/>
  <c r="C9613" i="11"/>
  <c r="D9613" i="11"/>
  <c r="C9597" i="11"/>
  <c r="D9597" i="11"/>
  <c r="C9533" i="11"/>
  <c r="D9533" i="11"/>
  <c r="C9453" i="11"/>
  <c r="D9453" i="11"/>
  <c r="C9437" i="11"/>
  <c r="D9437" i="11"/>
  <c r="C9405" i="11"/>
  <c r="D9405" i="11"/>
  <c r="C9389" i="11"/>
  <c r="D9389" i="11"/>
  <c r="C9341" i="11"/>
  <c r="D9341" i="11"/>
  <c r="C9309" i="11"/>
  <c r="D9309" i="11"/>
  <c r="C9245" i="11"/>
  <c r="D9245" i="11"/>
  <c r="C9181" i="11"/>
  <c r="D9181" i="11"/>
  <c r="C9117" i="11"/>
  <c r="D9117" i="11"/>
  <c r="C9053" i="11"/>
  <c r="D9053" i="11"/>
  <c r="C8989" i="11"/>
  <c r="D8989" i="11"/>
  <c r="C8925" i="11"/>
  <c r="D8925" i="11"/>
  <c r="C8861" i="11"/>
  <c r="D8861" i="11"/>
  <c r="C8797" i="11"/>
  <c r="D8797" i="11"/>
  <c r="C8733" i="11"/>
  <c r="D8733" i="11"/>
  <c r="C8669" i="11"/>
  <c r="D8669" i="11"/>
  <c r="C8605" i="11"/>
  <c r="D8605" i="11"/>
  <c r="C8541" i="11"/>
  <c r="D8541" i="11"/>
  <c r="C8493" i="11"/>
  <c r="D8493" i="11"/>
  <c r="C8413" i="11"/>
  <c r="D8413" i="11"/>
  <c r="C8365" i="11"/>
  <c r="D8365" i="11"/>
  <c r="C8285" i="11"/>
  <c r="D8285" i="11"/>
  <c r="D7204" i="11"/>
  <c r="C7204" i="11"/>
  <c r="D7182" i="11"/>
  <c r="C7182" i="11"/>
  <c r="D7140" i="11"/>
  <c r="C7140" i="11"/>
  <c r="D7054" i="11"/>
  <c r="C7054" i="11"/>
  <c r="D7012" i="11"/>
  <c r="C7012" i="11"/>
  <c r="D6926" i="11"/>
  <c r="C6926" i="11"/>
  <c r="D6820" i="11"/>
  <c r="C6820" i="11"/>
  <c r="D6734" i="11"/>
  <c r="C6734" i="11"/>
  <c r="D6628" i="11"/>
  <c r="C6628" i="11"/>
  <c r="D6526" i="11"/>
  <c r="C6526" i="11"/>
  <c r="D6430" i="11"/>
  <c r="C6430" i="11"/>
  <c r="D6398" i="11"/>
  <c r="C6398" i="11"/>
  <c r="D6366" i="11"/>
  <c r="C6366" i="11"/>
  <c r="D6302" i="11"/>
  <c r="C6302" i="11"/>
  <c r="D6238" i="11"/>
  <c r="C6238" i="11"/>
  <c r="D6110" i="11"/>
  <c r="C6110" i="11"/>
  <c r="D6046" i="11"/>
  <c r="C6046" i="11"/>
  <c r="D5886" i="11"/>
  <c r="C5886" i="11"/>
  <c r="D5822" i="11"/>
  <c r="C5822" i="11"/>
  <c r="D5566" i="11"/>
  <c r="C5566" i="11"/>
  <c r="D3467" i="11"/>
  <c r="C3467" i="11"/>
  <c r="C9975" i="11"/>
  <c r="D9975" i="11"/>
  <c r="C9927" i="11"/>
  <c r="D9927" i="11"/>
  <c r="C9847" i="11"/>
  <c r="D9847" i="11"/>
  <c r="C9799" i="11"/>
  <c r="D9799" i="11"/>
  <c r="C9719" i="11"/>
  <c r="D9719" i="11"/>
  <c r="C9671" i="11"/>
  <c r="D9671" i="11"/>
  <c r="C8167" i="11"/>
  <c r="D8167" i="11"/>
  <c r="C8119" i="11"/>
  <c r="D8119" i="11"/>
  <c r="C8103" i="11"/>
  <c r="D8103" i="11"/>
  <c r="C8071" i="11"/>
  <c r="D8071" i="11"/>
  <c r="C8007" i="11"/>
  <c r="D8007" i="11"/>
  <c r="C7991" i="11"/>
  <c r="D7991" i="11"/>
  <c r="C7975" i="11"/>
  <c r="D7975" i="11"/>
  <c r="C7815" i="11"/>
  <c r="D7815" i="11"/>
  <c r="C7783" i="11"/>
  <c r="D7783" i="11"/>
  <c r="C7751" i="11"/>
  <c r="D7751" i="11"/>
  <c r="C7735" i="11"/>
  <c r="D7735" i="11"/>
  <c r="C7607" i="11"/>
  <c r="D7607" i="11"/>
  <c r="C7591" i="11"/>
  <c r="D7591" i="11"/>
  <c r="C7559" i="11"/>
  <c r="D7559" i="11"/>
  <c r="C7431" i="11"/>
  <c r="D7431" i="11"/>
  <c r="C7351" i="11"/>
  <c r="D7351" i="11"/>
  <c r="C7068" i="11"/>
  <c r="D7068" i="11"/>
  <c r="C7004" i="11"/>
  <c r="D7004" i="11"/>
  <c r="C6940" i="11"/>
  <c r="D6940" i="11"/>
  <c r="D6876" i="11"/>
  <c r="C6876" i="11"/>
  <c r="C6812" i="11"/>
  <c r="D6812" i="11"/>
  <c r="C6620" i="11"/>
  <c r="D6620" i="11"/>
  <c r="C5330" i="11"/>
  <c r="D5330" i="11"/>
  <c r="C3179" i="11"/>
  <c r="D3179" i="11"/>
  <c r="D5775" i="11"/>
  <c r="C5775" i="11"/>
  <c r="C5647" i="11"/>
  <c r="D5647" i="11"/>
  <c r="C5583" i="11"/>
  <c r="D5583" i="11"/>
  <c r="D5567" i="11"/>
  <c r="C5567" i="11"/>
  <c r="C5519" i="11"/>
  <c r="D5519" i="11"/>
  <c r="C5503" i="11"/>
  <c r="D5503" i="11"/>
  <c r="C5487" i="11"/>
  <c r="D5487" i="11"/>
  <c r="C5263" i="11"/>
  <c r="D5263" i="11"/>
  <c r="C5247" i="11"/>
  <c r="D5247" i="11"/>
  <c r="C5163" i="11"/>
  <c r="D5163" i="11"/>
  <c r="C3299" i="11"/>
  <c r="D3299" i="11"/>
  <c r="C2918" i="11"/>
  <c r="D2918" i="11"/>
  <c r="D1986" i="11"/>
  <c r="C1986" i="11"/>
  <c r="D1758" i="11"/>
  <c r="C1758" i="11"/>
  <c r="C5749" i="11"/>
  <c r="D5749" i="11"/>
  <c r="D5541" i="11"/>
  <c r="C5541" i="11"/>
  <c r="C3571" i="11"/>
  <c r="D3571" i="11"/>
  <c r="D3187" i="11"/>
  <c r="C3187" i="11"/>
  <c r="C4489" i="11"/>
  <c r="D4489" i="11"/>
  <c r="D6123" i="11"/>
  <c r="C6123" i="11"/>
  <c r="D5979" i="11"/>
  <c r="C5979" i="11"/>
  <c r="D5867" i="11"/>
  <c r="C5867" i="11"/>
  <c r="D5771" i="11"/>
  <c r="C5771" i="11"/>
  <c r="D5515" i="11"/>
  <c r="C5515" i="11"/>
  <c r="C5451" i="11"/>
  <c r="D5451" i="11"/>
  <c r="C5403" i="11"/>
  <c r="D5403" i="11"/>
  <c r="D5339" i="11"/>
  <c r="C5339" i="11"/>
  <c r="D5259" i="11"/>
  <c r="C5259" i="11"/>
  <c r="C5158" i="11"/>
  <c r="D5158" i="11"/>
  <c r="C3502" i="11"/>
  <c r="D3502" i="11"/>
  <c r="C3459" i="11"/>
  <c r="D3459" i="11"/>
  <c r="C3246" i="11"/>
  <c r="D3246" i="11"/>
  <c r="C3203" i="11"/>
  <c r="D3203" i="11"/>
  <c r="C3030" i="11"/>
  <c r="D3030" i="11"/>
  <c r="D2774" i="11"/>
  <c r="C2774" i="11"/>
  <c r="D2710" i="11"/>
  <c r="C2710" i="11"/>
  <c r="D2582" i="11"/>
  <c r="C2582" i="11"/>
  <c r="C2518" i="11"/>
  <c r="D2518" i="11"/>
  <c r="C2454" i="11"/>
  <c r="D2454" i="11"/>
  <c r="D2161" i="11"/>
  <c r="C2161" i="11"/>
  <c r="C1958" i="11"/>
  <c r="D1958" i="11"/>
  <c r="D1844" i="11"/>
  <c r="C1844" i="11"/>
  <c r="C6497" i="11"/>
  <c r="D6497" i="11"/>
  <c r="C6241" i="11"/>
  <c r="D6241" i="11"/>
  <c r="C5985" i="11"/>
  <c r="D5985" i="11"/>
  <c r="D4484" i="11"/>
  <c r="C4484" i="11"/>
  <c r="D4292" i="11"/>
  <c r="C4292" i="11"/>
  <c r="D4164" i="11"/>
  <c r="C4164" i="11"/>
  <c r="D4036" i="11"/>
  <c r="C4036" i="11"/>
  <c r="D3908" i="11"/>
  <c r="C3908" i="11"/>
  <c r="D3780" i="11"/>
  <c r="C3780" i="11"/>
  <c r="D3432" i="11"/>
  <c r="C3432" i="11"/>
  <c r="D3176" i="11"/>
  <c r="C3176" i="11"/>
  <c r="C2990" i="11"/>
  <c r="D2990" i="11"/>
  <c r="D2278" i="11"/>
  <c r="C2278" i="11"/>
  <c r="D1886" i="11"/>
  <c r="C1886" i="11"/>
  <c r="D4517" i="11"/>
  <c r="C4517" i="11"/>
  <c r="D4501" i="11"/>
  <c r="C4501" i="11"/>
  <c r="D4437" i="11"/>
  <c r="C4437" i="11"/>
  <c r="C4373" i="11"/>
  <c r="D4373" i="11"/>
  <c r="D4325" i="11"/>
  <c r="C4325" i="11"/>
  <c r="D4309" i="11"/>
  <c r="C4309" i="11"/>
  <c r="D4181" i="11"/>
  <c r="C4181" i="11"/>
  <c r="D4133" i="11"/>
  <c r="C4133" i="11"/>
  <c r="D4117" i="11"/>
  <c r="C4117" i="11"/>
  <c r="C4085" i="11"/>
  <c r="D4085" i="11"/>
  <c r="C4021" i="11"/>
  <c r="D4021" i="11"/>
  <c r="D3973" i="11"/>
  <c r="C3973" i="11"/>
  <c r="C3957" i="11"/>
  <c r="D3957" i="11"/>
  <c r="C3893" i="11"/>
  <c r="D3893" i="11"/>
  <c r="C3733" i="11"/>
  <c r="D3733" i="11"/>
  <c r="C3701" i="11"/>
  <c r="D3701" i="11"/>
  <c r="C3519" i="11"/>
  <c r="D3519" i="11"/>
  <c r="D3092" i="11"/>
  <c r="C3092" i="11"/>
  <c r="C3071" i="11"/>
  <c r="D3071" i="11"/>
  <c r="D2928" i="11"/>
  <c r="C2928" i="11"/>
  <c r="D2864" i="11"/>
  <c r="C2864" i="11"/>
  <c r="C2640" i="11"/>
  <c r="D2640" i="11"/>
  <c r="C2608" i="11"/>
  <c r="D2608" i="11"/>
  <c r="C1720" i="11"/>
  <c r="D1720" i="11"/>
  <c r="D1042" i="11"/>
  <c r="C1042" i="11"/>
  <c r="D4947" i="11"/>
  <c r="C4947" i="11"/>
  <c r="C4819" i="11"/>
  <c r="D4819" i="11"/>
  <c r="D4803" i="11"/>
  <c r="C4803" i="11"/>
  <c r="D4787" i="11"/>
  <c r="C4787" i="11"/>
  <c r="D4675" i="11"/>
  <c r="C4675" i="11"/>
  <c r="C4659" i="11"/>
  <c r="D4659" i="11"/>
  <c r="C4627" i="11"/>
  <c r="D4627" i="11"/>
  <c r="C4563" i="11"/>
  <c r="D4563" i="11"/>
  <c r="C4403" i="11"/>
  <c r="D4403" i="11"/>
  <c r="C4275" i="11"/>
  <c r="D4275" i="11"/>
  <c r="D4163" i="11"/>
  <c r="C4163" i="11"/>
  <c r="C4083" i="11"/>
  <c r="D4083" i="11"/>
  <c r="C4035" i="11"/>
  <c r="D4035" i="11"/>
  <c r="C4003" i="11"/>
  <c r="D4003" i="11"/>
  <c r="C3875" i="11"/>
  <c r="D3875" i="11"/>
  <c r="C3859" i="11"/>
  <c r="D3859" i="11"/>
  <c r="C3827" i="11"/>
  <c r="D3827" i="11"/>
  <c r="C3731" i="11"/>
  <c r="D3731" i="11"/>
  <c r="C3683" i="11"/>
  <c r="D3683" i="11"/>
  <c r="D3580" i="11"/>
  <c r="C3580" i="11"/>
  <c r="D3452" i="11"/>
  <c r="C3452" i="11"/>
  <c r="D3324" i="11"/>
  <c r="C3324" i="11"/>
  <c r="C3303" i="11"/>
  <c r="D3303" i="11"/>
  <c r="C3239" i="11"/>
  <c r="D3239" i="11"/>
  <c r="D3196" i="11"/>
  <c r="C3196" i="11"/>
  <c r="C2860" i="11"/>
  <c r="D2860" i="11"/>
  <c r="D2380" i="11"/>
  <c r="C2380" i="11"/>
  <c r="D3065" i="11"/>
  <c r="C3065" i="11"/>
  <c r="C3049" i="11"/>
  <c r="D3049" i="11"/>
  <c r="C3017" i="11"/>
  <c r="D3017" i="11"/>
  <c r="D3001" i="11"/>
  <c r="C3001" i="11"/>
  <c r="D2921" i="11"/>
  <c r="C2921" i="11"/>
  <c r="D2889" i="11"/>
  <c r="C2889" i="11"/>
  <c r="C2809" i="11"/>
  <c r="D2809" i="11"/>
  <c r="C2473" i="11"/>
  <c r="D2473" i="11"/>
  <c r="C2409" i="11"/>
  <c r="D2409" i="11"/>
  <c r="C2393" i="11"/>
  <c r="D2393" i="11"/>
  <c r="D2361" i="11"/>
  <c r="C2361" i="11"/>
  <c r="D2122" i="11"/>
  <c r="C2122" i="11"/>
  <c r="D1793" i="11"/>
  <c r="C1793" i="11"/>
  <c r="D1420" i="11"/>
  <c r="C1420" i="11"/>
  <c r="D1250" i="11"/>
  <c r="C1250" i="11"/>
  <c r="C862" i="11"/>
  <c r="D862" i="11"/>
  <c r="D3019" i="11"/>
  <c r="C3019" i="11"/>
  <c r="C3003" i="11"/>
  <c r="D3003" i="11"/>
  <c r="C2923" i="11"/>
  <c r="D2923" i="11"/>
  <c r="D2875" i="11"/>
  <c r="C2875" i="11"/>
  <c r="D2715" i="11"/>
  <c r="C2715" i="11"/>
  <c r="C2507" i="11"/>
  <c r="D2507" i="11"/>
  <c r="D2491" i="11"/>
  <c r="C2491" i="11"/>
  <c r="D2331" i="11"/>
  <c r="C2331" i="11"/>
  <c r="D2274" i="11"/>
  <c r="C2274" i="11"/>
  <c r="D1682" i="11"/>
  <c r="C1682" i="11"/>
  <c r="C1098" i="11"/>
  <c r="D1098" i="11"/>
  <c r="D1034" i="11"/>
  <c r="C1034" i="11"/>
  <c r="C675" i="11"/>
  <c r="D675" i="11"/>
  <c r="C2147" i="11"/>
  <c r="D2147" i="11"/>
  <c r="D1987" i="11"/>
  <c r="C1987" i="11"/>
  <c r="D1891" i="11"/>
  <c r="C1891" i="11"/>
  <c r="C1747" i="11"/>
  <c r="D1747" i="11"/>
  <c r="C1630" i="11"/>
  <c r="D1630" i="11"/>
  <c r="D1552" i="11"/>
  <c r="C1552" i="11"/>
  <c r="C1296" i="11"/>
  <c r="D1296" i="11"/>
  <c r="C1044" i="11"/>
  <c r="D1044" i="11"/>
  <c r="C980" i="11"/>
  <c r="D980" i="11"/>
  <c r="D387" i="11"/>
  <c r="C387" i="11"/>
  <c r="C1645" i="11"/>
  <c r="D1645" i="11"/>
  <c r="C1565" i="11"/>
  <c r="D1565" i="11"/>
  <c r="C1229" i="11"/>
  <c r="D1229" i="11"/>
  <c r="D925" i="11"/>
  <c r="C925" i="11"/>
  <c r="D1043" i="11"/>
  <c r="C1043" i="11"/>
  <c r="C979" i="11"/>
  <c r="D979" i="11"/>
  <c r="D188" i="11"/>
  <c r="C188" i="11"/>
  <c r="C655" i="11"/>
  <c r="D655" i="11"/>
  <c r="D634" i="11"/>
  <c r="C634" i="11"/>
  <c r="C484" i="11"/>
  <c r="D484" i="11"/>
  <c r="D325" i="11"/>
  <c r="C325" i="11"/>
  <c r="D213" i="11"/>
  <c r="C213" i="11"/>
  <c r="D5992" i="11"/>
  <c r="C5992" i="11"/>
  <c r="D6986" i="11"/>
  <c r="C6986" i="11"/>
  <c r="D7210" i="11"/>
  <c r="C7210" i="11"/>
  <c r="D8050" i="11"/>
  <c r="C8050" i="11"/>
  <c r="D8222" i="11"/>
  <c r="C8222" i="11"/>
  <c r="D8390" i="11"/>
  <c r="C8390" i="11"/>
  <c r="C8702" i="11"/>
  <c r="D8702" i="11"/>
  <c r="C9078" i="11"/>
  <c r="D9078" i="11"/>
  <c r="D9364" i="11"/>
  <c r="C9364" i="11"/>
  <c r="C9420" i="11"/>
  <c r="D9420" i="11"/>
  <c r="D9590" i="11"/>
  <c r="C9590" i="11"/>
  <c r="D9650" i="11"/>
  <c r="C9650" i="11"/>
  <c r="D9762" i="11"/>
  <c r="C9762" i="11"/>
  <c r="D9820" i="11"/>
  <c r="C9820" i="11"/>
  <c r="D9974" i="11"/>
  <c r="C9974" i="11"/>
  <c r="D9924" i="11"/>
  <c r="C9924" i="11"/>
  <c r="D9796" i="11"/>
  <c r="C9796" i="11"/>
  <c r="D9754" i="11"/>
  <c r="C9754" i="11"/>
  <c r="D9710" i="11"/>
  <c r="C9710" i="11"/>
  <c r="D9668" i="11"/>
  <c r="C9668" i="11"/>
  <c r="D9582" i="11"/>
  <c r="C9582" i="11"/>
  <c r="D9540" i="11"/>
  <c r="C9540" i="11"/>
  <c r="D9454" i="11"/>
  <c r="C9454" i="11"/>
  <c r="D9412" i="11"/>
  <c r="C9412" i="11"/>
  <c r="C9326" i="11"/>
  <c r="D9326" i="11"/>
  <c r="C9162" i="11"/>
  <c r="D9162" i="11"/>
  <c r="C9106" i="11"/>
  <c r="D9106" i="11"/>
  <c r="C9046" i="11"/>
  <c r="D9046" i="11"/>
  <c r="C8854" i="11"/>
  <c r="D8854" i="11"/>
  <c r="C8598" i="11"/>
  <c r="D8598" i="11"/>
  <c r="D8258" i="11"/>
  <c r="C8258" i="11"/>
  <c r="D8002" i="11"/>
  <c r="C8002" i="11"/>
  <c r="C8594" i="11"/>
  <c r="D8594" i="11"/>
  <c r="C8510" i="11"/>
  <c r="D8510" i="11"/>
  <c r="D8082" i="11"/>
  <c r="C8082" i="11"/>
  <c r="D7998" i="11"/>
  <c r="C7998" i="11"/>
  <c r="D7826" i="11"/>
  <c r="C7826" i="11"/>
  <c r="D7522" i="11"/>
  <c r="C7522" i="11"/>
  <c r="D7018" i="11"/>
  <c r="C7018" i="11"/>
  <c r="C5175" i="11"/>
  <c r="D5175" i="11"/>
  <c r="D3323" i="11"/>
  <c r="C3323" i="11"/>
  <c r="D8506" i="11"/>
  <c r="C8506" i="11"/>
  <c r="D8442" i="11"/>
  <c r="C8442" i="11"/>
  <c r="D8378" i="11"/>
  <c r="C8378" i="11"/>
  <c r="D8314" i="11"/>
  <c r="C8314" i="11"/>
  <c r="D7634" i="11"/>
  <c r="C7634" i="11"/>
  <c r="D7358" i="11"/>
  <c r="C7358" i="11"/>
  <c r="D7072" i="11"/>
  <c r="C7072" i="11"/>
  <c r="D6922" i="11"/>
  <c r="C6922" i="11"/>
  <c r="D6248" i="11"/>
  <c r="C6248" i="11"/>
  <c r="C5784" i="11"/>
  <c r="D5784" i="11"/>
  <c r="D7602" i="11"/>
  <c r="C7602" i="11"/>
  <c r="D7426" i="11"/>
  <c r="C7426" i="11"/>
  <c r="D7314" i="11"/>
  <c r="C7314" i="11"/>
  <c r="D6536" i="11"/>
  <c r="C6536" i="11"/>
  <c r="C6088" i="11"/>
  <c r="D6088" i="11"/>
  <c r="D5608" i="11"/>
  <c r="C5608" i="11"/>
  <c r="D7774" i="11"/>
  <c r="C7774" i="11"/>
  <c r="D7710" i="11"/>
  <c r="C7710" i="11"/>
  <c r="D7646" i="11"/>
  <c r="C7646" i="11"/>
  <c r="D7582" i="11"/>
  <c r="C7582" i="11"/>
  <c r="D7518" i="11"/>
  <c r="C7518" i="11"/>
  <c r="D7454" i="11"/>
  <c r="C7454" i="11"/>
  <c r="D6944" i="11"/>
  <c r="C6944" i="11"/>
  <c r="D6602" i="11"/>
  <c r="C6602" i="11"/>
  <c r="D6312" i="11"/>
  <c r="C6312" i="11"/>
  <c r="C7152" i="11"/>
  <c r="D7152" i="11"/>
  <c r="D7066" i="11"/>
  <c r="C7066" i="11"/>
  <c r="C6264" i="11"/>
  <c r="D6264" i="11"/>
  <c r="D3110" i="11"/>
  <c r="C3110" i="11"/>
  <c r="C6432" i="11"/>
  <c r="D6432" i="11"/>
  <c r="C6304" i="11"/>
  <c r="D6304" i="11"/>
  <c r="C6176" i="11"/>
  <c r="D6176" i="11"/>
  <c r="C5792" i="11"/>
  <c r="D5792" i="11"/>
  <c r="C1196" i="11"/>
  <c r="D1196" i="11"/>
  <c r="C6320" i="11"/>
  <c r="D6320" i="11"/>
  <c r="C6064" i="11"/>
  <c r="D6064" i="11"/>
  <c r="C1224" i="11"/>
  <c r="D488" i="11"/>
  <c r="D1339" i="11"/>
  <c r="D1403" i="11"/>
  <c r="D1964" i="11"/>
  <c r="C1996" i="11"/>
  <c r="D2196" i="11"/>
  <c r="D2316" i="11"/>
  <c r="C2348" i="11"/>
  <c r="C2508" i="11"/>
  <c r="D2732" i="11"/>
  <c r="C5144" i="11"/>
  <c r="D4581" i="11"/>
  <c r="D4645" i="11"/>
  <c r="D4709" i="11"/>
  <c r="D4773" i="11"/>
  <c r="D4837" i="11"/>
  <c r="D4901" i="11"/>
  <c r="D4965" i="11"/>
  <c r="D5029" i="11"/>
  <c r="D5093" i="11"/>
  <c r="D5141" i="11"/>
  <c r="D5189" i="11"/>
  <c r="C7514" i="11"/>
  <c r="D7533" i="11"/>
  <c r="D7549" i="11"/>
  <c r="D7565" i="11"/>
  <c r="D7581" i="11"/>
  <c r="D7597" i="11"/>
  <c r="C7866" i="11"/>
  <c r="C7930" i="11"/>
  <c r="C7994" i="11"/>
  <c r="D8013" i="11"/>
  <c r="D8029" i="11"/>
  <c r="D8045" i="11"/>
  <c r="C3160" i="11"/>
  <c r="C3304" i="11"/>
  <c r="C3672" i="11"/>
  <c r="C3832" i="11"/>
  <c r="C3928" i="11"/>
  <c r="C4088" i="11"/>
  <c r="C4184" i="11"/>
  <c r="C4344" i="11"/>
  <c r="C4440" i="11"/>
  <c r="D5425" i="11"/>
  <c r="D5457" i="11"/>
  <c r="C4734" i="11"/>
  <c r="C4990" i="11"/>
  <c r="D6637" i="11"/>
  <c r="D6671" i="11"/>
  <c r="D6783" i="11"/>
  <c r="D6893" i="11"/>
  <c r="D6927" i="11"/>
  <c r="D7039" i="11"/>
  <c r="D7149" i="11"/>
  <c r="D7183" i="11"/>
  <c r="D7281" i="11"/>
  <c r="C7302" i="11"/>
  <c r="C7374" i="11"/>
  <c r="C8166" i="11"/>
  <c r="D1934" i="11"/>
  <c r="C2350" i="11"/>
  <c r="C2646" i="11"/>
  <c r="C4646" i="11"/>
  <c r="D5222" i="11"/>
  <c r="D5553" i="11"/>
  <c r="D5585" i="11"/>
  <c r="D5617" i="11"/>
  <c r="D9655" i="11"/>
  <c r="D9687" i="11"/>
  <c r="D9831" i="11"/>
  <c r="D9863" i="11"/>
  <c r="D9911" i="11"/>
  <c r="D9943" i="11"/>
  <c r="D328" i="11"/>
  <c r="D594" i="11"/>
  <c r="D851" i="11"/>
  <c r="D1357" i="11"/>
  <c r="D1581" i="11"/>
  <c r="C1202" i="11"/>
  <c r="D1737" i="11"/>
  <c r="C1865" i="11"/>
  <c r="C2233" i="11"/>
  <c r="C2320" i="11"/>
  <c r="D3350" i="11"/>
  <c r="C3526" i="11"/>
  <c r="D3686" i="11"/>
  <c r="C3750" i="11"/>
  <c r="D4198" i="11"/>
  <c r="C4262" i="11"/>
  <c r="D4350" i="11"/>
  <c r="D4594" i="11"/>
  <c r="D6969" i="11"/>
  <c r="C7033" i="11"/>
  <c r="C832" i="11"/>
  <c r="C3132" i="11"/>
  <c r="C3644" i="11"/>
  <c r="C3844" i="11"/>
  <c r="C3876" i="11"/>
  <c r="C3940" i="11"/>
  <c r="C4356" i="11"/>
  <c r="C5745" i="11"/>
  <c r="D2905" i="11"/>
  <c r="C5650" i="11"/>
  <c r="D5758" i="11"/>
  <c r="C6107" i="11"/>
  <c r="D6594" i="11"/>
  <c r="D6850" i="11"/>
  <c r="D7106" i="11"/>
  <c r="D502" i="11"/>
  <c r="D878" i="11"/>
  <c r="C1421" i="11"/>
  <c r="C1533" i="11"/>
  <c r="C1664" i="11"/>
  <c r="D1920" i="11"/>
  <c r="D2273" i="11"/>
  <c r="D3097" i="11"/>
  <c r="C4389" i="11"/>
  <c r="D5810" i="11"/>
  <c r="C6162" i="11"/>
  <c r="D6226" i="11"/>
  <c r="C7263" i="11"/>
  <c r="D5227" i="11"/>
  <c r="D5644" i="11"/>
  <c r="C8052" i="11"/>
  <c r="D8756" i="11"/>
  <c r="D9028" i="11"/>
  <c r="D5691" i="11"/>
  <c r="C7575" i="11"/>
  <c r="D5483" i="11"/>
  <c r="D5793" i="11"/>
  <c r="D6113" i="11"/>
  <c r="D6433" i="11"/>
  <c r="D6662" i="11"/>
  <c r="C6982" i="11"/>
  <c r="D7174" i="11"/>
  <c r="C8244" i="11"/>
  <c r="C8536" i="11"/>
  <c r="D8557" i="11"/>
  <c r="D8589" i="11"/>
  <c r="C8600" i="11"/>
  <c r="D8621" i="11"/>
  <c r="D8653" i="11"/>
  <c r="D8765" i="11"/>
  <c r="D8826" i="11"/>
  <c r="C8856" i="11"/>
  <c r="D8877" i="11"/>
  <c r="D8909" i="11"/>
  <c r="D9021" i="11"/>
  <c r="D9114" i="11"/>
  <c r="C9240" i="11"/>
  <c r="D9261" i="11"/>
  <c r="D9293" i="11"/>
  <c r="D5531" i="11"/>
  <c r="C6577" i="11"/>
  <c r="C8055" i="11"/>
  <c r="C725" i="11"/>
  <c r="D2352" i="11"/>
  <c r="C1825" i="11"/>
  <c r="C2448" i="11"/>
  <c r="D2345" i="11"/>
  <c r="D2441" i="11"/>
  <c r="D3765" i="11"/>
  <c r="C5621" i="11"/>
  <c r="D5723" i="11"/>
  <c r="D5964" i="11"/>
  <c r="D6220" i="11"/>
  <c r="D7927" i="11"/>
  <c r="D9325" i="11"/>
  <c r="C9370" i="11"/>
  <c r="C9626" i="11"/>
  <c r="C9848" i="11"/>
  <c r="C9882" i="11"/>
  <c r="C4786" i="11"/>
  <c r="C5711" i="11"/>
  <c r="D2747" i="11"/>
  <c r="C3845" i="11"/>
  <c r="C4037" i="11"/>
  <c r="D4405" i="11"/>
  <c r="D5662" i="11"/>
  <c r="D5836" i="11"/>
  <c r="D6008" i="11"/>
  <c r="D6092" i="11"/>
  <c r="D6168" i="11"/>
  <c r="C6762" i="11"/>
  <c r="D7623" i="11"/>
  <c r="D8135" i="11"/>
  <c r="D8397" i="11"/>
  <c r="D8445" i="11"/>
  <c r="D8477" i="11"/>
  <c r="D1245" i="11"/>
  <c r="C2761" i="11"/>
  <c r="D5426" i="11"/>
  <c r="D2049" i="11"/>
  <c r="C234" i="11"/>
  <c r="C1091" i="11"/>
  <c r="D2862" i="11"/>
  <c r="C5375" i="11"/>
  <c r="D5680" i="11"/>
  <c r="C4197" i="11"/>
  <c r="C1574" i="11"/>
  <c r="C3315" i="11"/>
  <c r="D3443" i="11"/>
  <c r="D5082" i="11"/>
  <c r="C5580" i="11"/>
  <c r="C5918" i="11"/>
  <c r="C6558" i="11"/>
  <c r="D2854" i="11"/>
  <c r="D4755" i="11"/>
  <c r="D4131" i="11"/>
  <c r="D4323" i="11"/>
  <c r="D2050" i="11"/>
  <c r="C6334" i="11"/>
  <c r="C6494" i="11"/>
  <c r="D7040" i="11"/>
  <c r="C7380" i="11"/>
  <c r="D9469" i="11"/>
  <c r="C3163" i="11"/>
  <c r="C4291" i="11"/>
  <c r="D2982" i="11"/>
  <c r="C6078" i="11"/>
  <c r="C6798" i="11"/>
  <c r="C8372" i="11"/>
  <c r="C8468" i="11"/>
  <c r="C9534" i="11"/>
  <c r="D9629" i="11"/>
  <c r="D9821" i="11"/>
  <c r="C6756" i="11"/>
  <c r="D6896" i="11"/>
  <c r="D7168" i="11"/>
  <c r="D5146" i="11"/>
  <c r="D5781" i="11"/>
  <c r="C6692" i="11"/>
  <c r="C7508" i="11"/>
  <c r="D9581" i="11"/>
  <c r="C2585" i="11"/>
  <c r="C7412" i="11"/>
  <c r="D9485" i="11"/>
  <c r="D9357" i="11"/>
  <c r="D3043" i="11"/>
  <c r="C9932" i="11"/>
  <c r="C3503" i="11"/>
  <c r="D3503" i="11"/>
  <c r="C5079" i="11"/>
  <c r="D5079" i="11"/>
  <c r="C5047" i="11"/>
  <c r="D5047" i="11"/>
  <c r="C5031" i="11"/>
  <c r="D5031" i="11"/>
  <c r="D4951" i="11"/>
  <c r="C4951" i="11"/>
  <c r="C4695" i="11"/>
  <c r="D4695" i="11"/>
  <c r="D4423" i="11"/>
  <c r="C4423" i="11"/>
  <c r="C3735" i="11"/>
  <c r="D3735" i="11"/>
  <c r="D2605" i="11"/>
  <c r="C2605" i="11"/>
  <c r="D2975" i="11"/>
  <c r="C2975" i="11"/>
  <c r="C2399" i="11"/>
  <c r="D2399" i="11"/>
  <c r="C1494" i="11"/>
  <c r="D1494" i="11"/>
  <c r="C3055" i="11"/>
  <c r="C4135" i="11"/>
  <c r="C4263" i="11"/>
  <c r="D3229" i="11"/>
  <c r="D3357" i="11"/>
  <c r="D3485" i="11"/>
  <c r="D3613" i="11"/>
  <c r="D4023" i="11"/>
  <c r="C4087" i="11"/>
  <c r="D1746" i="11"/>
  <c r="D2655" i="11"/>
  <c r="C1889" i="11"/>
  <c r="D2879" i="11"/>
  <c r="C3223" i="11"/>
  <c r="D1774" i="11"/>
  <c r="D2863" i="11"/>
  <c r="C2349" i="11"/>
  <c r="D3607" i="11"/>
  <c r="D5095" i="11"/>
  <c r="D3119" i="11"/>
  <c r="D3375" i="11"/>
  <c r="D1592" i="11"/>
  <c r="D9462" i="11"/>
  <c r="C9462" i="11"/>
  <c r="C9806" i="11"/>
  <c r="D9806" i="11"/>
  <c r="D9678" i="11"/>
  <c r="C9678" i="11"/>
  <c r="D9550" i="11"/>
  <c r="C9550" i="11"/>
  <c r="D9422" i="11"/>
  <c r="C9422" i="11"/>
  <c r="D8278" i="11"/>
  <c r="C8278" i="11"/>
  <c r="D8358" i="11"/>
  <c r="C8358" i="11"/>
  <c r="D7098" i="11"/>
  <c r="C7098" i="11"/>
  <c r="D7264" i="11"/>
  <c r="C7264" i="11"/>
  <c r="C7088" i="11"/>
  <c r="D7088" i="11"/>
  <c r="C6832" i="11"/>
  <c r="D6832" i="11"/>
  <c r="C5816" i="11"/>
  <c r="D5816" i="11"/>
  <c r="D994" i="11"/>
  <c r="C994" i="11"/>
  <c r="D6480" i="11"/>
  <c r="C6480" i="11"/>
  <c r="C6096" i="11"/>
  <c r="D6096" i="11"/>
  <c r="D5840" i="11"/>
  <c r="C5840" i="11"/>
  <c r="C9406" i="11"/>
  <c r="D9804" i="11"/>
  <c r="C4794" i="11"/>
  <c r="D4794" i="11"/>
  <c r="D6140" i="11"/>
  <c r="C6140" i="11"/>
  <c r="C6268" i="11"/>
  <c r="D6268" i="11"/>
  <c r="D6332" i="11"/>
  <c r="C6332" i="11"/>
  <c r="D7788" i="11"/>
  <c r="C7788" i="11"/>
  <c r="C8236" i="11"/>
  <c r="D8236" i="11"/>
  <c r="C9676" i="11"/>
  <c r="D9676" i="11"/>
  <c r="D5700" i="11"/>
  <c r="C8420" i="11"/>
  <c r="C8452" i="11"/>
  <c r="C6400" i="11"/>
  <c r="D6400" i="11"/>
  <c r="C9993" i="11"/>
  <c r="D9993" i="11"/>
  <c r="C9961" i="11"/>
  <c r="D9961" i="11"/>
  <c r="C9929" i="11"/>
  <c r="D9929" i="11"/>
  <c r="C9897" i="11"/>
  <c r="D9897" i="11"/>
  <c r="C9865" i="11"/>
  <c r="D9865" i="11"/>
  <c r="C9833" i="11"/>
  <c r="D9833" i="11"/>
  <c r="C9801" i="11"/>
  <c r="D9801" i="11"/>
  <c r="C9769" i="11"/>
  <c r="D9769" i="11"/>
  <c r="C9737" i="11"/>
  <c r="D9737" i="11"/>
  <c r="C9705" i="11"/>
  <c r="D9705" i="11"/>
  <c r="C9673" i="11"/>
  <c r="D9673" i="11"/>
  <c r="C9641" i="11"/>
  <c r="D9641" i="11"/>
  <c r="C9609" i="11"/>
  <c r="D9609" i="11"/>
  <c r="C9577" i="11"/>
  <c r="D9577" i="11"/>
  <c r="C9545" i="11"/>
  <c r="D9545" i="11"/>
  <c r="C9513" i="11"/>
  <c r="D9513" i="11"/>
  <c r="C9481" i="11"/>
  <c r="D9481" i="11"/>
  <c r="C9449" i="11"/>
  <c r="D9449" i="11"/>
  <c r="C9417" i="11"/>
  <c r="D9417" i="11"/>
  <c r="C9385" i="11"/>
  <c r="D9385" i="11"/>
  <c r="C9353" i="11"/>
  <c r="D9353" i="11"/>
  <c r="C9305" i="11"/>
  <c r="D9305" i="11"/>
  <c r="C9289" i="11"/>
  <c r="D9289" i="11"/>
  <c r="C9273" i="11"/>
  <c r="D9273" i="11"/>
  <c r="C9257" i="11"/>
  <c r="D9257" i="11"/>
  <c r="C9241" i="11"/>
  <c r="D9241" i="11"/>
  <c r="C9225" i="11"/>
  <c r="D9225" i="11"/>
  <c r="C9209" i="11"/>
  <c r="D9209" i="11"/>
  <c r="C9193" i="11"/>
  <c r="D9193" i="11"/>
  <c r="C9177" i="11"/>
  <c r="D9177" i="11"/>
  <c r="C9161" i="11"/>
  <c r="D9161" i="11"/>
  <c r="C9145" i="11"/>
  <c r="D9145" i="11"/>
  <c r="C9129" i="11"/>
  <c r="D9129" i="11"/>
  <c r="C9113" i="11"/>
  <c r="D9113" i="11"/>
  <c r="C9097" i="11"/>
  <c r="D9097" i="11"/>
  <c r="C9081" i="11"/>
  <c r="D9081" i="11"/>
  <c r="C9065" i="11"/>
  <c r="D9065" i="11"/>
  <c r="C9049" i="11"/>
  <c r="D9049" i="11"/>
  <c r="C9033" i="11"/>
  <c r="D9033" i="11"/>
  <c r="C9017" i="11"/>
  <c r="D9017" i="11"/>
  <c r="C9001" i="11"/>
  <c r="D9001" i="11"/>
  <c r="C8985" i="11"/>
  <c r="D8985" i="11"/>
  <c r="C8969" i="11"/>
  <c r="D8969" i="11"/>
  <c r="C8953" i="11"/>
  <c r="D8953" i="11"/>
  <c r="C8937" i="11"/>
  <c r="D8937" i="11"/>
  <c r="C8921" i="11"/>
  <c r="D8921" i="11"/>
  <c r="C8905" i="11"/>
  <c r="D8905" i="11"/>
  <c r="C8889" i="11"/>
  <c r="D8889" i="11"/>
  <c r="C8873" i="11"/>
  <c r="D8873" i="11"/>
  <c r="C8857" i="11"/>
  <c r="D8857" i="11"/>
  <c r="C8841" i="11"/>
  <c r="D8841" i="11"/>
  <c r="C8825" i="11"/>
  <c r="D8825" i="11"/>
  <c r="C8809" i="11"/>
  <c r="D8809" i="11"/>
  <c r="C8793" i="11"/>
  <c r="D8793" i="11"/>
  <c r="C8777" i="11"/>
  <c r="D8777" i="11"/>
  <c r="C8761" i="11"/>
  <c r="D8761" i="11"/>
  <c r="C8745" i="11"/>
  <c r="D8745" i="11"/>
  <c r="C8729" i="11"/>
  <c r="D8729" i="11"/>
  <c r="C8713" i="11"/>
  <c r="D8713" i="11"/>
  <c r="C8697" i="11"/>
  <c r="D8697" i="11"/>
  <c r="C8681" i="11"/>
  <c r="D8681" i="11"/>
  <c r="C8665" i="11"/>
  <c r="D8665" i="11"/>
  <c r="C8649" i="11"/>
  <c r="D8649" i="11"/>
  <c r="C8633" i="11"/>
  <c r="D8633" i="11"/>
  <c r="C8617" i="11"/>
  <c r="D8617" i="11"/>
  <c r="C8601" i="11"/>
  <c r="D8601" i="11"/>
  <c r="C8585" i="11"/>
  <c r="D8585" i="11"/>
  <c r="C8569" i="11"/>
  <c r="D8569" i="11"/>
  <c r="C8553" i="11"/>
  <c r="D8553" i="11"/>
  <c r="C8537" i="11"/>
  <c r="D8537" i="11"/>
  <c r="C8521" i="11"/>
  <c r="D8521" i="11"/>
  <c r="C8505" i="11"/>
  <c r="D8505" i="11"/>
  <c r="C8473" i="11"/>
  <c r="D8473" i="11"/>
  <c r="C8441" i="11"/>
  <c r="D8441" i="11"/>
  <c r="C8409" i="11"/>
  <c r="D8409" i="11"/>
  <c r="C8377" i="11"/>
  <c r="D8377" i="11"/>
  <c r="C8345" i="11"/>
  <c r="D8345" i="11"/>
  <c r="C8313" i="11"/>
  <c r="D8313" i="11"/>
  <c r="C8281" i="11"/>
  <c r="D8281" i="11"/>
  <c r="C7284" i="11"/>
  <c r="D7284" i="11"/>
  <c r="D7220" i="11"/>
  <c r="C7220" i="11"/>
  <c r="D7198" i="11"/>
  <c r="C7198" i="11"/>
  <c r="D7092" i="11"/>
  <c r="C7092" i="11"/>
  <c r="D7070" i="11"/>
  <c r="C7070" i="11"/>
  <c r="D6964" i="11"/>
  <c r="C6964" i="11"/>
  <c r="D6942" i="11"/>
  <c r="C6942" i="11"/>
  <c r="D6836" i="11"/>
  <c r="C6836" i="11"/>
  <c r="D6814" i="11"/>
  <c r="C6814" i="11"/>
  <c r="D6708" i="11"/>
  <c r="C6708" i="11"/>
  <c r="D6686" i="11"/>
  <c r="C6686" i="11"/>
  <c r="D6622" i="11"/>
  <c r="C6622" i="11"/>
  <c r="D5750" i="11"/>
  <c r="C5750" i="11"/>
  <c r="C2626" i="11"/>
  <c r="D2626" i="11"/>
  <c r="C10003" i="11"/>
  <c r="D10003" i="11"/>
  <c r="C9987" i="11"/>
  <c r="D9987" i="11"/>
  <c r="C9971" i="11"/>
  <c r="D9971" i="11"/>
  <c r="C9955" i="11"/>
  <c r="D9955" i="11"/>
  <c r="C9939" i="11"/>
  <c r="D9939" i="11"/>
  <c r="C9923" i="11"/>
  <c r="D9923" i="11"/>
  <c r="C9907" i="11"/>
  <c r="D9907" i="11"/>
  <c r="C9891" i="11"/>
  <c r="D9891" i="11"/>
  <c r="C9875" i="11"/>
  <c r="D9875" i="11"/>
  <c r="C9859" i="11"/>
  <c r="D9859" i="11"/>
  <c r="C9843" i="11"/>
  <c r="D9843" i="11"/>
  <c r="C9827" i="11"/>
  <c r="D9827" i="11"/>
  <c r="C9811" i="11"/>
  <c r="D9811" i="11"/>
  <c r="C9795" i="11"/>
  <c r="D9795" i="11"/>
  <c r="C9779" i="11"/>
  <c r="D9779" i="11"/>
  <c r="C9763" i="11"/>
  <c r="D9763" i="11"/>
  <c r="C9747" i="11"/>
  <c r="D9747" i="11"/>
  <c r="C9731" i="11"/>
  <c r="D9731" i="11"/>
  <c r="C9715" i="11"/>
  <c r="D9715" i="11"/>
  <c r="C9699" i="11"/>
  <c r="D9699" i="11"/>
  <c r="C9683" i="11"/>
  <c r="D9683" i="11"/>
  <c r="C9667" i="11"/>
  <c r="D9667" i="11"/>
  <c r="C9651" i="11"/>
  <c r="D9651" i="11"/>
  <c r="C7020" i="11"/>
  <c r="D7020" i="11"/>
  <c r="C6956" i="11"/>
  <c r="D6956" i="11"/>
  <c r="C6828" i="11"/>
  <c r="D6828" i="11"/>
  <c r="C6764" i="11"/>
  <c r="D6764" i="11"/>
  <c r="C6700" i="11"/>
  <c r="D6700" i="11"/>
  <c r="D6636" i="11"/>
  <c r="C6636" i="11"/>
  <c r="D6570" i="11"/>
  <c r="C6570" i="11"/>
  <c r="D6442" i="11"/>
  <c r="C6442" i="11"/>
  <c r="D6410" i="11"/>
  <c r="C6410" i="11"/>
  <c r="D6314" i="11"/>
  <c r="C6314" i="11"/>
  <c r="D6282" i="11"/>
  <c r="C6282" i="11"/>
  <c r="D6186" i="11"/>
  <c r="C6186" i="11"/>
  <c r="D6154" i="11"/>
  <c r="C6154" i="11"/>
  <c r="D6122" i="11"/>
  <c r="C6122" i="11"/>
  <c r="D6058" i="11"/>
  <c r="C6058" i="11"/>
  <c r="D6026" i="11"/>
  <c r="C6026" i="11"/>
  <c r="D5994" i="11"/>
  <c r="C5994" i="11"/>
  <c r="D5930" i="11"/>
  <c r="C5930" i="11"/>
  <c r="D5898" i="11"/>
  <c r="C5898" i="11"/>
  <c r="D5802" i="11"/>
  <c r="C5802" i="11"/>
  <c r="D5738" i="11"/>
  <c r="C5738" i="11"/>
  <c r="D2706" i="11"/>
  <c r="C2706" i="11"/>
  <c r="D5643" i="11"/>
  <c r="C5643" i="11"/>
  <c r="C5627" i="11"/>
  <c r="D5627" i="11"/>
  <c r="D5387" i="11"/>
  <c r="C5387" i="11"/>
  <c r="C5761" i="11"/>
  <c r="D5761" i="11"/>
  <c r="C5633" i="11"/>
  <c r="D5633" i="11"/>
  <c r="C5187" i="11"/>
  <c r="D5187" i="11"/>
  <c r="D4485" i="11"/>
  <c r="C4485" i="11"/>
  <c r="D4421" i="11"/>
  <c r="C4421" i="11"/>
  <c r="D4357" i="11"/>
  <c r="C4357" i="11"/>
  <c r="C1218" i="11"/>
  <c r="D1218" i="11"/>
  <c r="C5091" i="11"/>
  <c r="D5091" i="11"/>
  <c r="C4899" i="11"/>
  <c r="D4899" i="11"/>
  <c r="C4739" i="11"/>
  <c r="D4739" i="11"/>
  <c r="C4707" i="11"/>
  <c r="D4707" i="11"/>
  <c r="D4547" i="11"/>
  <c r="C4547" i="11"/>
  <c r="C4451" i="11"/>
  <c r="D4451" i="11"/>
  <c r="C4387" i="11"/>
  <c r="D4387" i="11"/>
  <c r="C4307" i="11"/>
  <c r="D4307" i="11"/>
  <c r="D4115" i="11"/>
  <c r="C4115" i="11"/>
  <c r="D3559" i="11"/>
  <c r="C3559" i="11"/>
  <c r="C3495" i="11"/>
  <c r="D3495" i="11"/>
  <c r="C3431" i="11"/>
  <c r="D3431" i="11"/>
  <c r="C2939" i="11"/>
  <c r="D2939" i="11"/>
  <c r="D2635" i="11"/>
  <c r="C2635" i="11"/>
  <c r="C2211" i="11"/>
  <c r="D2211" i="11"/>
  <c r="C1859" i="11"/>
  <c r="D1859" i="11"/>
  <c r="D1059" i="11"/>
  <c r="C1059" i="11"/>
  <c r="C581" i="11"/>
  <c r="D581" i="11"/>
  <c r="C158" i="11"/>
  <c r="C205" i="11"/>
  <c r="D717" i="11"/>
  <c r="D763" i="11"/>
  <c r="D909" i="11"/>
  <c r="D973" i="11"/>
  <c r="D1037" i="11"/>
  <c r="D1112" i="11"/>
  <c r="D1144" i="11"/>
  <c r="D1924" i="11"/>
  <c r="D7273" i="11"/>
  <c r="D7305" i="11"/>
  <c r="D7321" i="11"/>
  <c r="D7337" i="11"/>
  <c r="D7353" i="11"/>
  <c r="D7369" i="11"/>
  <c r="D7385" i="11"/>
  <c r="D7401" i="11"/>
  <c r="D7417" i="11"/>
  <c r="D7433" i="11"/>
  <c r="D7449" i="11"/>
  <c r="D7465" i="11"/>
  <c r="D7481" i="11"/>
  <c r="D7497" i="11"/>
  <c r="D7513" i="11"/>
  <c r="D7529" i="11"/>
  <c r="D7545" i="11"/>
  <c r="D7561" i="11"/>
  <c r="D7577" i="11"/>
  <c r="D7593" i="11"/>
  <c r="D7609" i="11"/>
  <c r="D7625" i="11"/>
  <c r="D7641" i="11"/>
  <c r="D7657" i="11"/>
  <c r="D7673" i="11"/>
  <c r="D7689" i="11"/>
  <c r="D7705" i="11"/>
  <c r="D7721" i="11"/>
  <c r="D7737" i="11"/>
  <c r="D7753" i="11"/>
  <c r="D7769" i="11"/>
  <c r="D7785" i="11"/>
  <c r="D7801" i="11"/>
  <c r="D7817" i="11"/>
  <c r="D7833" i="11"/>
  <c r="D7849" i="11"/>
  <c r="D7865" i="11"/>
  <c r="D7881" i="11"/>
  <c r="D7897" i="11"/>
  <c r="D7913" i="11"/>
  <c r="D7929" i="11"/>
  <c r="D7945" i="11"/>
  <c r="D7961" i="11"/>
  <c r="D7977" i="11"/>
  <c r="D7993" i="11"/>
  <c r="D8009" i="11"/>
  <c r="D8025" i="11"/>
  <c r="D8041" i="11"/>
  <c r="D8057" i="11"/>
  <c r="D8073" i="11"/>
  <c r="D8089" i="11"/>
  <c r="D8105" i="11"/>
  <c r="D8121" i="11"/>
  <c r="D8137" i="11"/>
  <c r="D8153" i="11"/>
  <c r="D8169" i="11"/>
  <c r="D8185" i="11"/>
  <c r="D8201" i="11"/>
  <c r="D8217" i="11"/>
  <c r="D8233" i="11"/>
  <c r="D8249" i="11"/>
  <c r="D7283" i="11"/>
  <c r="D7315" i="11"/>
  <c r="D7347" i="11"/>
  <c r="D7379" i="11"/>
  <c r="D7411" i="11"/>
  <c r="D7443" i="11"/>
  <c r="D7475" i="11"/>
  <c r="D7507" i="11"/>
  <c r="D7539" i="11"/>
  <c r="D7571" i="11"/>
  <c r="D7603" i="11"/>
  <c r="D7635" i="11"/>
  <c r="D7667" i="11"/>
  <c r="D7699" i="11"/>
  <c r="D7731" i="11"/>
  <c r="D7763" i="11"/>
  <c r="D7795" i="11"/>
  <c r="D7827" i="11"/>
  <c r="D7859" i="11"/>
  <c r="D7891" i="11"/>
  <c r="D7923" i="11"/>
  <c r="D7955" i="11"/>
  <c r="D7987" i="11"/>
  <c r="D8019" i="11"/>
  <c r="D8051" i="11"/>
  <c r="D8083" i="11"/>
  <c r="D8115" i="11"/>
  <c r="D8147" i="11"/>
  <c r="D8179" i="11"/>
  <c r="D8211" i="11"/>
  <c r="D8243" i="11"/>
  <c r="D9659" i="11"/>
  <c r="D9723" i="11"/>
  <c r="D9787" i="11"/>
  <c r="D9851" i="11"/>
  <c r="D9915" i="11"/>
  <c r="D9979" i="11"/>
  <c r="D163" i="11"/>
  <c r="D428" i="11"/>
  <c r="D517" i="11"/>
  <c r="C719" i="11"/>
  <c r="C1164" i="11"/>
  <c r="C1029" i="11"/>
  <c r="D1540" i="11"/>
  <c r="D1706" i="11"/>
  <c r="D1787" i="11"/>
  <c r="C1915" i="11"/>
  <c r="C1738" i="11"/>
  <c r="C1862" i="11"/>
  <c r="C2125" i="11"/>
  <c r="C2189" i="11"/>
  <c r="D2297" i="11"/>
  <c r="D2329" i="11"/>
  <c r="D2865" i="11"/>
  <c r="C2912" i="11"/>
  <c r="C3414" i="11"/>
  <c r="C3542" i="11"/>
  <c r="C3734" i="11"/>
  <c r="C3862" i="11"/>
  <c r="C3990" i="11"/>
  <c r="C4118" i="11"/>
  <c r="C4246" i="11"/>
  <c r="C4374" i="11"/>
  <c r="C4502" i="11"/>
  <c r="C1740" i="11"/>
  <c r="D1866" i="11"/>
  <c r="C2057" i="11"/>
  <c r="C3010" i="11"/>
  <c r="D3134" i="11"/>
  <c r="D3262" i="11"/>
  <c r="D3390" i="11"/>
  <c r="D3518" i="11"/>
  <c r="D3646" i="11"/>
  <c r="D3726" i="11"/>
  <c r="D3854" i="11"/>
  <c r="D3982" i="11"/>
  <c r="D4110" i="11"/>
  <c r="D4238" i="11"/>
  <c r="C1692" i="11"/>
  <c r="C1749" i="11"/>
  <c r="D1910" i="11"/>
  <c r="C1992" i="11"/>
  <c r="C2168" i="11"/>
  <c r="D2777" i="11"/>
  <c r="C2931" i="11"/>
  <c r="C2972" i="11"/>
  <c r="C3060" i="11"/>
  <c r="D3105" i="11"/>
  <c r="D3145" i="11"/>
  <c r="D3177" i="11"/>
  <c r="D3209" i="11"/>
  <c r="D3241" i="11"/>
  <c r="D3273" i="11"/>
  <c r="D3305" i="11"/>
  <c r="D3337" i="11"/>
  <c r="D3369" i="11"/>
  <c r="D3401" i="11"/>
  <c r="D3433" i="11"/>
  <c r="D3465" i="11"/>
  <c r="D3497" i="11"/>
  <c r="D3529" i="11"/>
  <c r="D3561" i="11"/>
  <c r="D3593" i="11"/>
  <c r="D3625" i="11"/>
  <c r="D3657" i="11"/>
  <c r="C5801" i="11"/>
  <c r="C5865" i="11"/>
  <c r="C5929" i="11"/>
  <c r="C5993" i="11"/>
  <c r="C6057" i="11"/>
  <c r="C6121" i="11"/>
  <c r="C6185" i="11"/>
  <c r="C6249" i="11"/>
  <c r="C6313" i="11"/>
  <c r="C6377" i="11"/>
  <c r="C6441" i="11"/>
  <c r="C6505" i="11"/>
  <c r="C6569" i="11"/>
  <c r="C6697" i="11"/>
  <c r="C6825" i="11"/>
  <c r="C6953" i="11"/>
  <c r="C7081" i="11"/>
  <c r="C7209" i="11"/>
  <c r="D272" i="11"/>
  <c r="C491" i="11"/>
  <c r="C542" i="11"/>
  <c r="C1445" i="11"/>
  <c r="D1753" i="11"/>
  <c r="D1836" i="11"/>
  <c r="D1938" i="11"/>
  <c r="C2101" i="11"/>
  <c r="C2165" i="11"/>
  <c r="C2229" i="11"/>
  <c r="D2841" i="11"/>
  <c r="C2880" i="11"/>
  <c r="C3024" i="11"/>
  <c r="C3156" i="11"/>
  <c r="C3220" i="11"/>
  <c r="C3284" i="11"/>
  <c r="C3348" i="11"/>
  <c r="C3412" i="11"/>
  <c r="C3476" i="11"/>
  <c r="C3540" i="11"/>
  <c r="C3604" i="11"/>
  <c r="C3668" i="11"/>
  <c r="C3732" i="11"/>
  <c r="C3796" i="11"/>
  <c r="C3860" i="11"/>
  <c r="C3924" i="11"/>
  <c r="C3988" i="11"/>
  <c r="C4052" i="11"/>
  <c r="C4116" i="11"/>
  <c r="C4180" i="11"/>
  <c r="C4244" i="11"/>
  <c r="C4308" i="11"/>
  <c r="C4388" i="11"/>
  <c r="C4516" i="11"/>
  <c r="C5130" i="11"/>
  <c r="D5651" i="11"/>
  <c r="D5779" i="11"/>
  <c r="C5843" i="11"/>
  <c r="C5907" i="11"/>
  <c r="C5971" i="11"/>
  <c r="C6035" i="11"/>
  <c r="C6099" i="11"/>
  <c r="C6163" i="11"/>
  <c r="C6227" i="11"/>
  <c r="C6291" i="11"/>
  <c r="C6355" i="11"/>
  <c r="C6419" i="11"/>
  <c r="C6483" i="11"/>
  <c r="C6547" i="11"/>
  <c r="C6611" i="11"/>
  <c r="C6675" i="11"/>
  <c r="C6739" i="11"/>
  <c r="D2897" i="11"/>
  <c r="C4691" i="11"/>
  <c r="C5354" i="11"/>
  <c r="D5578" i="11"/>
  <c r="C5819" i="11"/>
  <c r="C5947" i="11"/>
  <c r="C6075" i="11"/>
  <c r="C6203" i="11"/>
  <c r="C6331" i="11"/>
  <c r="C6459" i="11"/>
  <c r="C6587" i="11"/>
  <c r="C6683" i="11"/>
  <c r="C6843" i="11"/>
  <c r="C6939" i="11"/>
  <c r="C7099" i="11"/>
  <c r="C7195" i="11"/>
  <c r="C2090" i="11"/>
  <c r="C2154" i="11"/>
  <c r="D3036" i="11"/>
  <c r="D4835" i="11"/>
  <c r="C518" i="11"/>
  <c r="C700" i="11"/>
  <c r="D899" i="11"/>
  <c r="D1000" i="11"/>
  <c r="C1239" i="11"/>
  <c r="C1365" i="11"/>
  <c r="C1549" i="11"/>
  <c r="D1638" i="11"/>
  <c r="D1824" i="11"/>
  <c r="C1899" i="11"/>
  <c r="D1962" i="11"/>
  <c r="D2001" i="11"/>
  <c r="C2081" i="11"/>
  <c r="C2289" i="11"/>
  <c r="C2768" i="11"/>
  <c r="D3022" i="11"/>
  <c r="D3075" i="11"/>
  <c r="C4453" i="11"/>
  <c r="D4771" i="11"/>
  <c r="D4907" i="11"/>
  <c r="C4979" i="11"/>
  <c r="D5546" i="11"/>
  <c r="D5642" i="11"/>
  <c r="C5777" i="11"/>
  <c r="C5835" i="11"/>
  <c r="C5963" i="11"/>
  <c r="C6091" i="11"/>
  <c r="C6219" i="11"/>
  <c r="C6347" i="11"/>
  <c r="C6475" i="11"/>
  <c r="C6667" i="11"/>
  <c r="C6763" i="11"/>
  <c r="C6923" i="11"/>
  <c r="C7019" i="11"/>
  <c r="C7179" i="11"/>
  <c r="D4587" i="11"/>
  <c r="C5147" i="11"/>
  <c r="D5491" i="11"/>
  <c r="C5825" i="11"/>
  <c r="C5953" i="11"/>
  <c r="C6081" i="11"/>
  <c r="C6209" i="11"/>
  <c r="C6337" i="11"/>
  <c r="C6465" i="11"/>
  <c r="C6593" i="11"/>
  <c r="D4651" i="11"/>
  <c r="C4723" i="11"/>
  <c r="C5322" i="11"/>
  <c r="D5622" i="11"/>
  <c r="C5841" i="11"/>
  <c r="C5969" i="11"/>
  <c r="C6097" i="11"/>
  <c r="C6225" i="11"/>
  <c r="C6353" i="11"/>
  <c r="C6481" i="11"/>
  <c r="D6774" i="11"/>
  <c r="D6838" i="11"/>
  <c r="D6902" i="11"/>
  <c r="D6966" i="11"/>
  <c r="D7030" i="11"/>
  <c r="D7094" i="11"/>
  <c r="D7158" i="11"/>
  <c r="D7222" i="11"/>
  <c r="D5450" i="11"/>
  <c r="C5830" i="11"/>
  <c r="C5958" i="11"/>
  <c r="C6086" i="11"/>
  <c r="C6214" i="11"/>
  <c r="C6342" i="11"/>
  <c r="C6470" i="11"/>
  <c r="D6753" i="11"/>
  <c r="D6817" i="11"/>
  <c r="D6881" i="11"/>
  <c r="D6945" i="11"/>
  <c r="D7009" i="11"/>
  <c r="D7073" i="11"/>
  <c r="D7137" i="11"/>
  <c r="D7201" i="11"/>
  <c r="D5434" i="11"/>
  <c r="D5809" i="11"/>
  <c r="D5937" i="11"/>
  <c r="D6065" i="11"/>
  <c r="D6193" i="11"/>
  <c r="D6321" i="11"/>
  <c r="D6449" i="11"/>
  <c r="C6742" i="11"/>
  <c r="C6806" i="11"/>
  <c r="C6870" i="11"/>
  <c r="C6934" i="11"/>
  <c r="C6998" i="11"/>
  <c r="C7062" i="11"/>
  <c r="C7126" i="11"/>
  <c r="C7190" i="11"/>
  <c r="C446" i="11"/>
  <c r="C405" i="11"/>
  <c r="D707" i="11"/>
  <c r="C631" i="11"/>
  <c r="D739" i="11"/>
  <c r="D1725" i="11"/>
  <c r="D1352" i="11"/>
  <c r="D1543" i="11"/>
  <c r="C1810" i="11"/>
  <c r="D1563" i="11"/>
  <c r="D1656" i="11"/>
  <c r="D2544" i="11"/>
  <c r="C2793" i="11"/>
  <c r="D2155" i="11"/>
  <c r="C2672" i="11"/>
  <c r="C1615" i="11"/>
  <c r="C2139" i="11"/>
  <c r="D2353" i="11"/>
  <c r="C2419" i="11"/>
  <c r="C2514" i="11"/>
  <c r="D3113" i="11"/>
  <c r="C2171" i="11"/>
  <c r="C2450" i="11"/>
  <c r="D2723" i="11"/>
  <c r="C2835" i="11"/>
  <c r="C2963" i="11"/>
  <c r="D3009" i="11"/>
  <c r="C3070" i="11"/>
  <c r="C2619" i="11"/>
  <c r="C3048" i="11"/>
  <c r="D3717" i="11"/>
  <c r="D3861" i="11"/>
  <c r="D3989" i="11"/>
  <c r="D4443" i="11"/>
  <c r="C5530" i="11"/>
  <c r="C5729" i="11"/>
  <c r="D8265" i="11"/>
  <c r="D8393" i="11"/>
  <c r="D9321" i="11"/>
  <c r="D9337" i="11"/>
  <c r="C676" i="11"/>
  <c r="D3027" i="11"/>
  <c r="C3805" i="11"/>
  <c r="C3933" i="11"/>
  <c r="C4061" i="11"/>
  <c r="C4365" i="11"/>
  <c r="C4843" i="11"/>
  <c r="D5466" i="11"/>
  <c r="C6234" i="11"/>
  <c r="C2966" i="11"/>
  <c r="C3114" i="11"/>
  <c r="C3693" i="11"/>
  <c r="C3757" i="11"/>
  <c r="C3877" i="11"/>
  <c r="C4005" i="11"/>
  <c r="D4429" i="11"/>
  <c r="D4611" i="11"/>
  <c r="C5467" i="11"/>
  <c r="D5564" i="11"/>
  <c r="C5702" i="11"/>
  <c r="D5721" i="11"/>
  <c r="D5786" i="11"/>
  <c r="D6042" i="11"/>
  <c r="D6298" i="11"/>
  <c r="C6554" i="11"/>
  <c r="D9465" i="11"/>
  <c r="D9593" i="11"/>
  <c r="D9721" i="11"/>
  <c r="D9849" i="11"/>
  <c r="D9977" i="11"/>
  <c r="D375" i="11"/>
  <c r="D659" i="11"/>
  <c r="D1261" i="11"/>
  <c r="C1436" i="11"/>
  <c r="C1546" i="11"/>
  <c r="D1697" i="11"/>
  <c r="D2483" i="11"/>
  <c r="D2560" i="11"/>
  <c r="D2611" i="11"/>
  <c r="C2681" i="11"/>
  <c r="D2771" i="11"/>
  <c r="C2838" i="11"/>
  <c r="C3853" i="11"/>
  <c r="C3981" i="11"/>
  <c r="C4509" i="11"/>
  <c r="C4875" i="11"/>
  <c r="D5641" i="11"/>
  <c r="C5690" i="11"/>
  <c r="C5722" i="11"/>
  <c r="C5850" i="11"/>
  <c r="C6362" i="11"/>
  <c r="D7436" i="11"/>
  <c r="C996" i="11"/>
  <c r="C690" i="11"/>
  <c r="D504" i="11"/>
  <c r="D1010" i="11"/>
  <c r="D1314" i="11"/>
  <c r="D2146" i="11"/>
  <c r="C2347" i="11"/>
  <c r="C2561" i="11"/>
  <c r="C2657" i="11"/>
  <c r="D806" i="11"/>
  <c r="C1955" i="11"/>
  <c r="D2401" i="11"/>
  <c r="D555" i="11"/>
  <c r="C1027" i="11"/>
  <c r="D1286" i="11"/>
  <c r="D1587" i="11"/>
  <c r="C1931" i="11"/>
  <c r="C2243" i="11"/>
  <c r="D2403" i="11"/>
  <c r="D2857" i="11"/>
  <c r="D499" i="11"/>
  <c r="C2259" i="11"/>
  <c r="C2498" i="11"/>
  <c r="C2656" i="11"/>
  <c r="D2876" i="11"/>
  <c r="D3207" i="11"/>
  <c r="D3335" i="11"/>
  <c r="D3523" i="11"/>
  <c r="D3715" i="11"/>
  <c r="D3923" i="11"/>
  <c r="C4157" i="11"/>
  <c r="C4285" i="11"/>
  <c r="D4475" i="11"/>
  <c r="C4995" i="11"/>
  <c r="D5083" i="11"/>
  <c r="D5291" i="11"/>
  <c r="D5435" i="11"/>
  <c r="C6076" i="11"/>
  <c r="C6712" i="11"/>
  <c r="C6796" i="11"/>
  <c r="C6968" i="11"/>
  <c r="C7052" i="11"/>
  <c r="C7224" i="11"/>
  <c r="C7596" i="11"/>
  <c r="C882" i="11"/>
  <c r="C1764" i="11"/>
  <c r="C2529" i="11"/>
  <c r="D2859" i="11"/>
  <c r="D3403" i="11"/>
  <c r="D3659" i="11"/>
  <c r="D3811" i="11"/>
  <c r="D4067" i="11"/>
  <c r="C4229" i="11"/>
  <c r="C4371" i="11"/>
  <c r="D4643" i="11"/>
  <c r="D4827" i="11"/>
  <c r="D1181" i="11"/>
  <c r="C1627" i="11"/>
  <c r="D2624" i="11"/>
  <c r="C3081" i="11"/>
  <c r="D3347" i="11"/>
  <c r="D3603" i="11"/>
  <c r="D3699" i="11"/>
  <c r="D3891" i="11"/>
  <c r="C4109" i="11"/>
  <c r="C4237" i="11"/>
  <c r="C4541" i="11"/>
  <c r="C5075" i="11"/>
  <c r="C5834" i="11"/>
  <c r="C6090" i="11"/>
  <c r="C6346" i="11"/>
  <c r="D1809" i="11"/>
  <c r="D2114" i="11"/>
  <c r="C2371" i="11"/>
  <c r="C2569" i="11"/>
  <c r="D2752" i="11"/>
  <c r="C2955" i="11"/>
  <c r="D3199" i="11"/>
  <c r="D3327" i="11"/>
  <c r="D3739" i="11"/>
  <c r="D3971" i="11"/>
  <c r="C4149" i="11"/>
  <c r="C4277" i="11"/>
  <c r="C4413" i="11"/>
  <c r="D4987" i="11"/>
  <c r="C2379" i="11"/>
  <c r="D4259" i="11"/>
  <c r="D4667" i="11"/>
  <c r="D1795" i="11"/>
  <c r="D2547" i="11"/>
  <c r="D4195" i="11"/>
  <c r="D2873" i="11"/>
  <c r="C3091" i="11"/>
  <c r="C3591" i="11"/>
  <c r="C3803" i="11"/>
  <c r="D4211" i="11"/>
  <c r="D4955" i="11"/>
  <c r="D2067" i="11"/>
  <c r="C2827" i="11"/>
  <c r="D3291" i="11"/>
  <c r="D4091" i="11"/>
  <c r="C4355" i="11"/>
  <c r="C4811" i="11"/>
  <c r="D5179" i="11"/>
  <c r="D4459" i="11"/>
  <c r="C4555" i="11"/>
  <c r="C5251" i="11"/>
  <c r="C5606" i="11"/>
  <c r="D8321" i="11"/>
  <c r="D8449" i="11"/>
  <c r="C2425" i="11"/>
  <c r="C4187" i="11"/>
  <c r="C5027" i="11"/>
  <c r="D5667" i="11"/>
  <c r="D7480" i="11"/>
  <c r="D2697" i="11"/>
  <c r="C3487" i="11"/>
  <c r="C3979" i="11"/>
  <c r="D5043" i="11"/>
  <c r="D3139" i="11"/>
  <c r="D3647" i="11"/>
  <c r="C4331" i="11"/>
  <c r="C5754" i="11"/>
  <c r="C2915" i="11"/>
  <c r="D3423" i="11"/>
  <c r="D3851" i="11"/>
  <c r="D4531" i="11"/>
  <c r="C6378" i="11"/>
  <c r="D2178" i="11"/>
  <c r="D3331" i="11"/>
  <c r="D4411" i="11"/>
  <c r="C4283" i="11"/>
  <c r="C4699" i="11"/>
  <c r="C5323" i="11"/>
  <c r="C6538" i="11"/>
  <c r="C938" i="11"/>
  <c r="D2883" i="11"/>
  <c r="D3819" i="11"/>
  <c r="C4179" i="11"/>
  <c r="C3623" i="11"/>
  <c r="D7640" i="11"/>
  <c r="C8076" i="11"/>
  <c r="D5596" i="11"/>
  <c r="C5596" i="11"/>
  <c r="C5660" i="11"/>
  <c r="D5660" i="11"/>
  <c r="C5916" i="11"/>
  <c r="D5916" i="11"/>
  <c r="C6172" i="11"/>
  <c r="D6172" i="11"/>
  <c r="C6236" i="11"/>
  <c r="D6236" i="11"/>
  <c r="C6428" i="11"/>
  <c r="D6428" i="11"/>
  <c r="C6492" i="11"/>
  <c r="D6492" i="11"/>
  <c r="D6776" i="11"/>
  <c r="C6776" i="11"/>
  <c r="D6904" i="11"/>
  <c r="C6904" i="11"/>
  <c r="D7032" i="11"/>
  <c r="C7032" i="11"/>
  <c r="D7160" i="11"/>
  <c r="C7160" i="11"/>
  <c r="C7288" i="11"/>
  <c r="D7288" i="11"/>
  <c r="D7612" i="11"/>
  <c r="C7612" i="11"/>
  <c r="D7740" i="11"/>
  <c r="C7740" i="11"/>
  <c r="D7868" i="11"/>
  <c r="C7868" i="11"/>
  <c r="D8124" i="11"/>
  <c r="C8124" i="11"/>
  <c r="D8188" i="11"/>
  <c r="C8188" i="11"/>
  <c r="D8220" i="11"/>
  <c r="C8220" i="11"/>
  <c r="D5556" i="11"/>
  <c r="C5556" i="11"/>
  <c r="C5748" i="11"/>
  <c r="D5748" i="11"/>
  <c r="D5812" i="11"/>
  <c r="C5812" i="11"/>
  <c r="D5876" i="11"/>
  <c r="C5876" i="11"/>
  <c r="D5940" i="11"/>
  <c r="C5940" i="11"/>
  <c r="D6004" i="11"/>
  <c r="C6004" i="11"/>
  <c r="D6068" i="11"/>
  <c r="C6068" i="11"/>
  <c r="D6132" i="11"/>
  <c r="C6132" i="11"/>
  <c r="D6196" i="11"/>
  <c r="C6196" i="11"/>
  <c r="D6260" i="11"/>
  <c r="C6260" i="11"/>
  <c r="D6324" i="11"/>
  <c r="C6324" i="11"/>
  <c r="D6388" i="11"/>
  <c r="C6388" i="11"/>
  <c r="D6452" i="11"/>
  <c r="C6452" i="11"/>
  <c r="D6516" i="11"/>
  <c r="C6516" i="11"/>
  <c r="C7176" i="11"/>
  <c r="D7176" i="11"/>
  <c r="D7368" i="11"/>
  <c r="C7368" i="11"/>
  <c r="D7400" i="11"/>
  <c r="C7400" i="11"/>
  <c r="D7528" i="11"/>
  <c r="C7528" i="11"/>
  <c r="D7624" i="11"/>
  <c r="C7624" i="11"/>
  <c r="D7656" i="11"/>
  <c r="C7656" i="11"/>
  <c r="D7752" i="11"/>
  <c r="C7752" i="11"/>
  <c r="D7784" i="11"/>
  <c r="C7784" i="11"/>
  <c r="D7880" i="11"/>
  <c r="C7880" i="11"/>
  <c r="D7976" i="11"/>
  <c r="C7976" i="11"/>
  <c r="D8008" i="11"/>
  <c r="C8008" i="11"/>
  <c r="D8040" i="11"/>
  <c r="C8040" i="11"/>
  <c r="D8136" i="11"/>
  <c r="C8136" i="11"/>
  <c r="D8264" i="11"/>
  <c r="C8264" i="11"/>
  <c r="D8296" i="11"/>
  <c r="C8296" i="11"/>
  <c r="D8328" i="11"/>
  <c r="C8328" i="11"/>
  <c r="D8360" i="11"/>
  <c r="C8360" i="11"/>
  <c r="D8392" i="11"/>
  <c r="C8392" i="11"/>
  <c r="D8424" i="11"/>
  <c r="C8424" i="11"/>
  <c r="D8456" i="11"/>
  <c r="C8456" i="11"/>
  <c r="D8488" i="11"/>
  <c r="C8488" i="11"/>
  <c r="D9320" i="11"/>
  <c r="C9320" i="11"/>
  <c r="D9352" i="11"/>
  <c r="C9352" i="11"/>
  <c r="D9384" i="11"/>
  <c r="C9384" i="11"/>
  <c r="D9416" i="11"/>
  <c r="C9416" i="11"/>
  <c r="D9448" i="11"/>
  <c r="C9448" i="11"/>
  <c r="D9480" i="11"/>
  <c r="C9480" i="11"/>
  <c r="D9512" i="11"/>
  <c r="C9512" i="11"/>
  <c r="D9544" i="11"/>
  <c r="C9544" i="11"/>
  <c r="D9576" i="11"/>
  <c r="C9576" i="11"/>
  <c r="D9608" i="11"/>
  <c r="C9608" i="11"/>
  <c r="D9640" i="11"/>
  <c r="C9640" i="11"/>
  <c r="D9672" i="11"/>
  <c r="C9672" i="11"/>
  <c r="D9704" i="11"/>
  <c r="C9704" i="11"/>
  <c r="D9736" i="11"/>
  <c r="C9736" i="11"/>
  <c r="D9768" i="11"/>
  <c r="C9768" i="11"/>
  <c r="D9800" i="11"/>
  <c r="C9800" i="11"/>
  <c r="D9832" i="11"/>
  <c r="C9832" i="11"/>
  <c r="D9864" i="11"/>
  <c r="C9864" i="11"/>
  <c r="D9896" i="11"/>
  <c r="C9896" i="11"/>
  <c r="D9928" i="11"/>
  <c r="C9928" i="11"/>
  <c r="D9960" i="11"/>
  <c r="C9960" i="11"/>
  <c r="D9992" i="11"/>
  <c r="C9992" i="11"/>
  <c r="C10001" i="11"/>
  <c r="D10001" i="11"/>
  <c r="C9969" i="11"/>
  <c r="D9969" i="11"/>
  <c r="C9937" i="11"/>
  <c r="D9937" i="11"/>
  <c r="C9905" i="11"/>
  <c r="D9905" i="11"/>
  <c r="C9873" i="11"/>
  <c r="D9873" i="11"/>
  <c r="C9841" i="11"/>
  <c r="D9841" i="11"/>
  <c r="C9809" i="11"/>
  <c r="D9809" i="11"/>
  <c r="C9777" i="11"/>
  <c r="D9777" i="11"/>
  <c r="C9745" i="11"/>
  <c r="D9745" i="11"/>
  <c r="C9713" i="11"/>
  <c r="D9713" i="11"/>
  <c r="C9681" i="11"/>
  <c r="D9681" i="11"/>
  <c r="C9649" i="11"/>
  <c r="D9649" i="11"/>
  <c r="C9617" i="11"/>
  <c r="D9617" i="11"/>
  <c r="C9585" i="11"/>
  <c r="D9585" i="11"/>
  <c r="C9553" i="11"/>
  <c r="D9553" i="11"/>
  <c r="C9521" i="11"/>
  <c r="D9521" i="11"/>
  <c r="C9489" i="11"/>
  <c r="D9489" i="11"/>
  <c r="C9457" i="11"/>
  <c r="D9457" i="11"/>
  <c r="C9425" i="11"/>
  <c r="D9425" i="11"/>
  <c r="C9393" i="11"/>
  <c r="D9393" i="11"/>
  <c r="C9361" i="11"/>
  <c r="D9361" i="11"/>
  <c r="C9313" i="11"/>
  <c r="D9313" i="11"/>
  <c r="C9297" i="11"/>
  <c r="D9297" i="11"/>
  <c r="C9281" i="11"/>
  <c r="D9281" i="11"/>
  <c r="C9265" i="11"/>
  <c r="D9265" i="11"/>
  <c r="C9249" i="11"/>
  <c r="D9249" i="11"/>
  <c r="C9233" i="11"/>
  <c r="D9233" i="11"/>
  <c r="C9217" i="11"/>
  <c r="D9217" i="11"/>
  <c r="C9201" i="11"/>
  <c r="D9201" i="11"/>
  <c r="C9185" i="11"/>
  <c r="D9185" i="11"/>
  <c r="C9169" i="11"/>
  <c r="D9169" i="11"/>
  <c r="C9153" i="11"/>
  <c r="D9153" i="11"/>
  <c r="C9137" i="11"/>
  <c r="D9137" i="11"/>
  <c r="C9121" i="11"/>
  <c r="D9121" i="11"/>
  <c r="C9105" i="11"/>
  <c r="D9105" i="11"/>
  <c r="C9089" i="11"/>
  <c r="D9089" i="11"/>
  <c r="C9073" i="11"/>
  <c r="D9073" i="11"/>
  <c r="C9057" i="11"/>
  <c r="D9057" i="11"/>
  <c r="C9041" i="11"/>
  <c r="D9041" i="11"/>
  <c r="C9025" i="11"/>
  <c r="D9025" i="11"/>
  <c r="C9009" i="11"/>
  <c r="D9009" i="11"/>
  <c r="C8993" i="11"/>
  <c r="D8993" i="11"/>
  <c r="C8977" i="11"/>
  <c r="D8977" i="11"/>
  <c r="C8961" i="11"/>
  <c r="D8961" i="11"/>
  <c r="C8945" i="11"/>
  <c r="D8945" i="11"/>
  <c r="C8929" i="11"/>
  <c r="D8929" i="11"/>
  <c r="C8913" i="11"/>
  <c r="D8913" i="11"/>
  <c r="C8897" i="11"/>
  <c r="D8897" i="11"/>
  <c r="C8881" i="11"/>
  <c r="D8881" i="11"/>
  <c r="C8865" i="11"/>
  <c r="D8865" i="11"/>
  <c r="C8849" i="11"/>
  <c r="D8849" i="11"/>
  <c r="C8833" i="11"/>
  <c r="D8833" i="11"/>
  <c r="C8817" i="11"/>
  <c r="D8817" i="11"/>
  <c r="C8801" i="11"/>
  <c r="D8801" i="11"/>
  <c r="C8785" i="11"/>
  <c r="D8785" i="11"/>
  <c r="C8769" i="11"/>
  <c r="D8769" i="11"/>
  <c r="C8753" i="11"/>
  <c r="D8753" i="11"/>
  <c r="C8737" i="11"/>
  <c r="D8737" i="11"/>
  <c r="C8721" i="11"/>
  <c r="D8721" i="11"/>
  <c r="C8705" i="11"/>
  <c r="D8705" i="11"/>
  <c r="C8689" i="11"/>
  <c r="D8689" i="11"/>
  <c r="C8673" i="11"/>
  <c r="D8673" i="11"/>
  <c r="C8657" i="11"/>
  <c r="D8657" i="11"/>
  <c r="C8641" i="11"/>
  <c r="D8641" i="11"/>
  <c r="C8625" i="11"/>
  <c r="D8625" i="11"/>
  <c r="C8609" i="11"/>
  <c r="D8609" i="11"/>
  <c r="C8593" i="11"/>
  <c r="D8593" i="11"/>
  <c r="C8577" i="11"/>
  <c r="D8577" i="11"/>
  <c r="C8561" i="11"/>
  <c r="D8561" i="11"/>
  <c r="C8545" i="11"/>
  <c r="D8545" i="11"/>
  <c r="C8529" i="11"/>
  <c r="D8529" i="11"/>
  <c r="C8513" i="11"/>
  <c r="D8513" i="11"/>
  <c r="C8497" i="11"/>
  <c r="D8497" i="11"/>
  <c r="C8465" i="11"/>
  <c r="D8465" i="11"/>
  <c r="C8433" i="11"/>
  <c r="D8433" i="11"/>
  <c r="C8401" i="11"/>
  <c r="D8401" i="11"/>
  <c r="C8369" i="11"/>
  <c r="D8369" i="11"/>
  <c r="C8337" i="11"/>
  <c r="D8337" i="11"/>
  <c r="C8305" i="11"/>
  <c r="D8305" i="11"/>
  <c r="C8273" i="11"/>
  <c r="D8273" i="11"/>
  <c r="D7252" i="11"/>
  <c r="C7252" i="11"/>
  <c r="D7166" i="11"/>
  <c r="C7166" i="11"/>
  <c r="D7124" i="11"/>
  <c r="C7124" i="11"/>
  <c r="D7038" i="11"/>
  <c r="C7038" i="11"/>
  <c r="D6996" i="11"/>
  <c r="C6996" i="11"/>
  <c r="D6910" i="11"/>
  <c r="C6910" i="11"/>
  <c r="D6868" i="11"/>
  <c r="C6868" i="11"/>
  <c r="D6782" i="11"/>
  <c r="C6782" i="11"/>
  <c r="D6740" i="11"/>
  <c r="C6740" i="11"/>
  <c r="D6654" i="11"/>
  <c r="C6654" i="11"/>
  <c r="D6590" i="11"/>
  <c r="C6590" i="11"/>
  <c r="D5766" i="11"/>
  <c r="C5766" i="11"/>
  <c r="D5542" i="11"/>
  <c r="C5542" i="11"/>
  <c r="D7244" i="11"/>
  <c r="C7244" i="11"/>
  <c r="D7116" i="11"/>
  <c r="C7116" i="11"/>
  <c r="D6988" i="11"/>
  <c r="C6988" i="11"/>
  <c r="D6860" i="11"/>
  <c r="C6860" i="11"/>
  <c r="D6732" i="11"/>
  <c r="C6732" i="11"/>
  <c r="C5626" i="11"/>
  <c r="D5626" i="11"/>
  <c r="D5562" i="11"/>
  <c r="C5562" i="11"/>
  <c r="C5338" i="11"/>
  <c r="D5338" i="11"/>
  <c r="D3371" i="11"/>
  <c r="C3371" i="11"/>
  <c r="D3115" i="11"/>
  <c r="C3115" i="11"/>
  <c r="D5539" i="11"/>
  <c r="C5539" i="11"/>
  <c r="D5507" i="11"/>
  <c r="C5507" i="11"/>
  <c r="C5475" i="11"/>
  <c r="D5475" i="11"/>
  <c r="C5443" i="11"/>
  <c r="D5443" i="11"/>
  <c r="D5283" i="11"/>
  <c r="C5283" i="11"/>
  <c r="C5737" i="11"/>
  <c r="D5737" i="11"/>
  <c r="C5673" i="11"/>
  <c r="D5673" i="11"/>
  <c r="D5625" i="11"/>
  <c r="C5625" i="11"/>
  <c r="C5155" i="11"/>
  <c r="D5155" i="11"/>
  <c r="D4477" i="11"/>
  <c r="C4477" i="11"/>
  <c r="C5067" i="11"/>
  <c r="D5067" i="11"/>
  <c r="C5035" i="11"/>
  <c r="D5035" i="11"/>
  <c r="D4971" i="11"/>
  <c r="C4971" i="11"/>
  <c r="D4795" i="11"/>
  <c r="C4795" i="11"/>
  <c r="C4539" i="11"/>
  <c r="D4539" i="11"/>
  <c r="C4427" i="11"/>
  <c r="D4427" i="11"/>
  <c r="D4347" i="11"/>
  <c r="C4347" i="11"/>
  <c r="D4155" i="11"/>
  <c r="C4155" i="11"/>
  <c r="C4075" i="11"/>
  <c r="D4075" i="11"/>
  <c r="C3995" i="11"/>
  <c r="D3995" i="11"/>
  <c r="D3867" i="11"/>
  <c r="C3867" i="11"/>
  <c r="C1506" i="11"/>
  <c r="D1506" i="11"/>
  <c r="C2755" i="11"/>
  <c r="D2755" i="11"/>
  <c r="D2579" i="11"/>
  <c r="C2579" i="11"/>
  <c r="C1570" i="11"/>
  <c r="D1570" i="11"/>
  <c r="C2016" i="11"/>
  <c r="D2016" i="11"/>
  <c r="D1354" i="11"/>
  <c r="C1354" i="11"/>
  <c r="D1835" i="11"/>
  <c r="C1835" i="11"/>
  <c r="D1598" i="11"/>
  <c r="C1598" i="11"/>
  <c r="C784" i="11"/>
  <c r="D784" i="11"/>
  <c r="D1461" i="11"/>
  <c r="C1461" i="11"/>
  <c r="C637" i="11"/>
  <c r="D637" i="11"/>
  <c r="C621" i="11"/>
  <c r="D621" i="11"/>
  <c r="C506" i="11"/>
  <c r="D699" i="11"/>
  <c r="D733" i="11"/>
  <c r="D891" i="11"/>
  <c r="D989" i="11"/>
  <c r="D1053" i="11"/>
  <c r="D1133" i="11"/>
  <c r="D2716" i="11"/>
  <c r="D1199" i="11"/>
  <c r="D7265" i="11"/>
  <c r="D7297" i="11"/>
  <c r="D7313" i="11"/>
  <c r="D7329" i="11"/>
  <c r="D7345" i="11"/>
  <c r="D7361" i="11"/>
  <c r="D7377" i="11"/>
  <c r="D7393" i="11"/>
  <c r="D7409" i="11"/>
  <c r="D7425" i="11"/>
  <c r="D7441" i="11"/>
  <c r="D7457" i="11"/>
  <c r="D7473" i="11"/>
  <c r="D7489" i="11"/>
  <c r="D7505" i="11"/>
  <c r="D7521" i="11"/>
  <c r="D7537" i="11"/>
  <c r="D7553" i="11"/>
  <c r="D7569" i="11"/>
  <c r="D7585" i="11"/>
  <c r="D7601" i="11"/>
  <c r="D7617" i="11"/>
  <c r="D7633" i="11"/>
  <c r="D7649" i="11"/>
  <c r="D7665" i="11"/>
  <c r="D7681" i="11"/>
  <c r="D7697" i="11"/>
  <c r="D7713" i="11"/>
  <c r="D7729" i="11"/>
  <c r="D7745" i="11"/>
  <c r="D7761" i="11"/>
  <c r="D7777" i="11"/>
  <c r="D7793" i="11"/>
  <c r="D7809" i="11"/>
  <c r="D7825" i="11"/>
  <c r="D7841" i="11"/>
  <c r="D7857" i="11"/>
  <c r="D7873" i="11"/>
  <c r="D7889" i="11"/>
  <c r="D7905" i="11"/>
  <c r="D7921" i="11"/>
  <c r="D7937" i="11"/>
  <c r="D7953" i="11"/>
  <c r="D7969" i="11"/>
  <c r="D7985" i="11"/>
  <c r="D8001" i="11"/>
  <c r="D8017" i="11"/>
  <c r="D8033" i="11"/>
  <c r="D8049" i="11"/>
  <c r="D8065" i="11"/>
  <c r="D8081" i="11"/>
  <c r="D8097" i="11"/>
  <c r="D8113" i="11"/>
  <c r="D8129" i="11"/>
  <c r="D8145" i="11"/>
  <c r="D8161" i="11"/>
  <c r="D8177" i="11"/>
  <c r="D8193" i="11"/>
  <c r="D8209" i="11"/>
  <c r="D8225" i="11"/>
  <c r="D8241" i="11"/>
  <c r="C2302" i="11"/>
  <c r="D7267" i="11"/>
  <c r="D7299" i="11"/>
  <c r="D7331" i="11"/>
  <c r="D7363" i="11"/>
  <c r="D7395" i="11"/>
  <c r="D7427" i="11"/>
  <c r="D7459" i="11"/>
  <c r="D7491" i="11"/>
  <c r="D7523" i="11"/>
  <c r="D7555" i="11"/>
  <c r="D7587" i="11"/>
  <c r="D7619" i="11"/>
  <c r="D7651" i="11"/>
  <c r="D7683" i="11"/>
  <c r="D7715" i="11"/>
  <c r="D7747" i="11"/>
  <c r="D7779" i="11"/>
  <c r="D7811" i="11"/>
  <c r="D7843" i="11"/>
  <c r="D7875" i="11"/>
  <c r="D7907" i="11"/>
  <c r="D7939" i="11"/>
  <c r="D7971" i="11"/>
  <c r="D8003" i="11"/>
  <c r="D8035" i="11"/>
  <c r="D8067" i="11"/>
  <c r="D8099" i="11"/>
  <c r="D8131" i="11"/>
  <c r="D8163" i="11"/>
  <c r="D8195" i="11"/>
  <c r="D8227" i="11"/>
  <c r="D9691" i="11"/>
  <c r="D9755" i="11"/>
  <c r="D9819" i="11"/>
  <c r="D9883" i="11"/>
  <c r="D9947" i="11"/>
  <c r="D10011" i="11"/>
  <c r="D181" i="11"/>
  <c r="C397" i="11"/>
  <c r="C356" i="11"/>
  <c r="C541" i="11"/>
  <c r="D704" i="11"/>
  <c r="D653" i="11"/>
  <c r="C874" i="11"/>
  <c r="D948" i="11"/>
  <c r="D926" i="11"/>
  <c r="D1389" i="11"/>
  <c r="C1517" i="11"/>
  <c r="C1362" i="11"/>
  <c r="D1470" i="11"/>
  <c r="C1061" i="11"/>
  <c r="C1351" i="11"/>
  <c r="C1613" i="11"/>
  <c r="D1659" i="11"/>
  <c r="D1803" i="11"/>
  <c r="C1833" i="11"/>
  <c r="C1997" i="11"/>
  <c r="C2253" i="11"/>
  <c r="C2784" i="11"/>
  <c r="D2993" i="11"/>
  <c r="C3158" i="11"/>
  <c r="C3286" i="11"/>
  <c r="C3670" i="11"/>
  <c r="C3798" i="11"/>
  <c r="C3926" i="11"/>
  <c r="C4054" i="11"/>
  <c r="C4182" i="11"/>
  <c r="C4310" i="11"/>
  <c r="C4438" i="11"/>
  <c r="D1555" i="11"/>
  <c r="C1851" i="11"/>
  <c r="D1981" i="11"/>
  <c r="D2080" i="11"/>
  <c r="D2144" i="11"/>
  <c r="D2208" i="11"/>
  <c r="D2272" i="11"/>
  <c r="C2313" i="11"/>
  <c r="C2801" i="11"/>
  <c r="C2882" i="11"/>
  <c r="D2956" i="11"/>
  <c r="D3104" i="11"/>
  <c r="D3198" i="11"/>
  <c r="D3326" i="11"/>
  <c r="D3454" i="11"/>
  <c r="D3582" i="11"/>
  <c r="D3790" i="11"/>
  <c r="D3918" i="11"/>
  <c r="D4046" i="11"/>
  <c r="D4174" i="11"/>
  <c r="D4302" i="11"/>
  <c r="D1660" i="11"/>
  <c r="C1788" i="11"/>
  <c r="C2296" i="11"/>
  <c r="C2816" i="11"/>
  <c r="C2960" i="11"/>
  <c r="D3129" i="11"/>
  <c r="D3161" i="11"/>
  <c r="D3193" i="11"/>
  <c r="D3225" i="11"/>
  <c r="D3257" i="11"/>
  <c r="D3289" i="11"/>
  <c r="D3321" i="11"/>
  <c r="D3353" i="11"/>
  <c r="D3385" i="11"/>
  <c r="D3417" i="11"/>
  <c r="D3449" i="11"/>
  <c r="D3481" i="11"/>
  <c r="D3513" i="11"/>
  <c r="D3545" i="11"/>
  <c r="D3577" i="11"/>
  <c r="D3609" i="11"/>
  <c r="D3641" i="11"/>
  <c r="C5290" i="11"/>
  <c r="C5713" i="11"/>
  <c r="C5833" i="11"/>
  <c r="C5897" i="11"/>
  <c r="C5961" i="11"/>
  <c r="C6025" i="11"/>
  <c r="C6089" i="11"/>
  <c r="C6153" i="11"/>
  <c r="C6217" i="11"/>
  <c r="C6281" i="11"/>
  <c r="C6345" i="11"/>
  <c r="C6409" i="11"/>
  <c r="C6473" i="11"/>
  <c r="C6537" i="11"/>
  <c r="C6633" i="11"/>
  <c r="C6761" i="11"/>
  <c r="C6889" i="11"/>
  <c r="C7017" i="11"/>
  <c r="C7145" i="11"/>
  <c r="D218" i="11"/>
  <c r="C904" i="11"/>
  <c r="C968" i="11"/>
  <c r="C1413" i="11"/>
  <c r="C1596" i="11"/>
  <c r="C1973" i="11"/>
  <c r="C2766" i="11"/>
  <c r="D2961" i="11"/>
  <c r="C2995" i="11"/>
  <c r="C3124" i="11"/>
  <c r="C3188" i="11"/>
  <c r="C3252" i="11"/>
  <c r="C3316" i="11"/>
  <c r="C3380" i="11"/>
  <c r="C3444" i="11"/>
  <c r="C3508" i="11"/>
  <c r="C3572" i="11"/>
  <c r="C3636" i="11"/>
  <c r="C3700" i="11"/>
  <c r="C3764" i="11"/>
  <c r="C3828" i="11"/>
  <c r="C3892" i="11"/>
  <c r="C3956" i="11"/>
  <c r="C4020" i="11"/>
  <c r="C4084" i="11"/>
  <c r="C4148" i="11"/>
  <c r="C4212" i="11"/>
  <c r="C4276" i="11"/>
  <c r="C4340" i="11"/>
  <c r="C4452" i="11"/>
  <c r="C5386" i="11"/>
  <c r="C5811" i="11"/>
  <c r="C5875" i="11"/>
  <c r="C5939" i="11"/>
  <c r="C6003" i="11"/>
  <c r="C6067" i="11"/>
  <c r="C6131" i="11"/>
  <c r="C6195" i="11"/>
  <c r="C6259" i="11"/>
  <c r="C6323" i="11"/>
  <c r="C6387" i="11"/>
  <c r="C6451" i="11"/>
  <c r="C6515" i="11"/>
  <c r="C6579" i="11"/>
  <c r="C6643" i="11"/>
  <c r="C6707" i="11"/>
  <c r="C6771" i="11"/>
  <c r="C2867" i="11"/>
  <c r="C2908" i="11"/>
  <c r="C2944" i="11"/>
  <c r="C5883" i="11"/>
  <c r="C6011" i="11"/>
  <c r="C6139" i="11"/>
  <c r="C6267" i="11"/>
  <c r="C6395" i="11"/>
  <c r="C6523" i="11"/>
  <c r="C6715" i="11"/>
  <c r="C6811" i="11"/>
  <c r="C6971" i="11"/>
  <c r="C7067" i="11"/>
  <c r="C7227" i="11"/>
  <c r="C2026" i="11"/>
  <c r="D2186" i="11"/>
  <c r="D2250" i="11"/>
  <c r="D2830" i="11"/>
  <c r="C3025" i="11"/>
  <c r="C3058" i="11"/>
  <c r="D4372" i="11"/>
  <c r="D4404" i="11"/>
  <c r="D4436" i="11"/>
  <c r="D4468" i="11"/>
  <c r="D4500" i="11"/>
  <c r="D4532" i="11"/>
  <c r="D280" i="11"/>
  <c r="D429" i="11"/>
  <c r="C493" i="11"/>
  <c r="D786" i="11"/>
  <c r="D942" i="11"/>
  <c r="C1399" i="11"/>
  <c r="C1431" i="11"/>
  <c r="C1524" i="11"/>
  <c r="D1696" i="11"/>
  <c r="C1771" i="11"/>
  <c r="D1930" i="11"/>
  <c r="C2193" i="11"/>
  <c r="C2337" i="11"/>
  <c r="D2958" i="11"/>
  <c r="D3082" i="11"/>
  <c r="C3100" i="11"/>
  <c r="C5371" i="11"/>
  <c r="C5681" i="11"/>
  <c r="D5715" i="11"/>
  <c r="C5899" i="11"/>
  <c r="C6027" i="11"/>
  <c r="C6155" i="11"/>
  <c r="C6283" i="11"/>
  <c r="C6411" i="11"/>
  <c r="C6539" i="11"/>
  <c r="C6635" i="11"/>
  <c r="C6795" i="11"/>
  <c r="C6891" i="11"/>
  <c r="C7051" i="11"/>
  <c r="C7147" i="11"/>
  <c r="D5011" i="11"/>
  <c r="C5785" i="11"/>
  <c r="C5889" i="11"/>
  <c r="C6017" i="11"/>
  <c r="C6145" i="11"/>
  <c r="C6273" i="11"/>
  <c r="C6401" i="11"/>
  <c r="C6529" i="11"/>
  <c r="C6721" i="11"/>
  <c r="C6819" i="11"/>
  <c r="C6883" i="11"/>
  <c r="C6947" i="11"/>
  <c r="C7011" i="11"/>
  <c r="C7075" i="11"/>
  <c r="C7139" i="11"/>
  <c r="C7203" i="11"/>
  <c r="C5178" i="11"/>
  <c r="D5699" i="11"/>
  <c r="C5905" i="11"/>
  <c r="C6033" i="11"/>
  <c r="C6161" i="11"/>
  <c r="C6289" i="11"/>
  <c r="C6417" i="11"/>
  <c r="C6545" i="11"/>
  <c r="D6646" i="11"/>
  <c r="D2896" i="11"/>
  <c r="D5306" i="11"/>
  <c r="C5590" i="11"/>
  <c r="C5782" i="11"/>
  <c r="C5894" i="11"/>
  <c r="C6022" i="11"/>
  <c r="C6150" i="11"/>
  <c r="C6278" i="11"/>
  <c r="C6406" i="11"/>
  <c r="C6534" i="11"/>
  <c r="D6625" i="11"/>
  <c r="D5019" i="11"/>
  <c r="C5363" i="11"/>
  <c r="C5558" i="11"/>
  <c r="D5697" i="11"/>
  <c r="D5873" i="11"/>
  <c r="D6001" i="11"/>
  <c r="D6129" i="11"/>
  <c r="D6257" i="11"/>
  <c r="D6385" i="11"/>
  <c r="D6513" i="11"/>
  <c r="C6614" i="11"/>
  <c r="C386" i="11"/>
  <c r="C1090" i="11"/>
  <c r="D776" i="11"/>
  <c r="C1002" i="11"/>
  <c r="C1499" i="11"/>
  <c r="C1559" i="11"/>
  <c r="C1610" i="11"/>
  <c r="D1595" i="11"/>
  <c r="C886" i="11"/>
  <c r="C1503" i="11"/>
  <c r="C1683" i="11"/>
  <c r="C1827" i="11"/>
  <c r="D2027" i="11"/>
  <c r="D2283" i="11"/>
  <c r="C2011" i="11"/>
  <c r="C2267" i="11"/>
  <c r="C2386" i="11"/>
  <c r="C2651" i="11"/>
  <c r="D2770" i="11"/>
  <c r="D2811" i="11"/>
  <c r="D3026" i="11"/>
  <c r="C3047" i="11"/>
  <c r="C1979" i="11"/>
  <c r="C2299" i="11"/>
  <c r="C2355" i="11"/>
  <c r="D2417" i="11"/>
  <c r="C2523" i="11"/>
  <c r="D2577" i="11"/>
  <c r="C2642" i="11"/>
  <c r="C3111" i="11"/>
  <c r="D2953" i="11"/>
  <c r="D3685" i="11"/>
  <c r="D3749" i="11"/>
  <c r="D3797" i="11"/>
  <c r="D3925" i="11"/>
  <c r="D4053" i="11"/>
  <c r="D4381" i="11"/>
  <c r="D4963" i="11"/>
  <c r="C5427" i="11"/>
  <c r="D5459" i="11"/>
  <c r="D5594" i="11"/>
  <c r="C5657" i="11"/>
  <c r="C5914" i="11"/>
  <c r="C6170" i="11"/>
  <c r="C6426" i="11"/>
  <c r="D8329" i="11"/>
  <c r="D8457" i="11"/>
  <c r="D9329" i="11"/>
  <c r="D9345" i="11"/>
  <c r="D9377" i="11"/>
  <c r="D9409" i="11"/>
  <c r="D9441" i="11"/>
  <c r="D9473" i="11"/>
  <c r="D9505" i="11"/>
  <c r="D9537" i="11"/>
  <c r="D9569" i="11"/>
  <c r="D9601" i="11"/>
  <c r="D9633" i="11"/>
  <c r="D9665" i="11"/>
  <c r="D9697" i="11"/>
  <c r="D9729" i="11"/>
  <c r="D9761" i="11"/>
  <c r="D9793" i="11"/>
  <c r="D9825" i="11"/>
  <c r="D9857" i="11"/>
  <c r="D9889" i="11"/>
  <c r="D9921" i="11"/>
  <c r="D9953" i="11"/>
  <c r="D9985" i="11"/>
  <c r="D333" i="11"/>
  <c r="C616" i="11"/>
  <c r="D1509" i="11"/>
  <c r="C2881" i="11"/>
  <c r="C3869" i="11"/>
  <c r="C3997" i="11"/>
  <c r="C4533" i="11"/>
  <c r="C5635" i="11"/>
  <c r="D5665" i="11"/>
  <c r="C5707" i="11"/>
  <c r="C5978" i="11"/>
  <c r="C6522" i="11"/>
  <c r="D2926" i="11"/>
  <c r="C3050" i="11"/>
  <c r="C3725" i="11"/>
  <c r="C3813" i="11"/>
  <c r="C3941" i="11"/>
  <c r="C4069" i="11"/>
  <c r="D4379" i="11"/>
  <c r="D4491" i="11"/>
  <c r="D5242" i="11"/>
  <c r="C5763" i="11"/>
  <c r="D9401" i="11"/>
  <c r="D9529" i="11"/>
  <c r="D9657" i="11"/>
  <c r="D9785" i="11"/>
  <c r="D9913" i="11"/>
  <c r="D1222" i="11"/>
  <c r="D1731" i="11"/>
  <c r="D2363" i="11"/>
  <c r="C2601" i="11"/>
  <c r="C2731" i="11"/>
  <c r="C2787" i="11"/>
  <c r="D2812" i="11"/>
  <c r="C2902" i="11"/>
  <c r="C3789" i="11"/>
  <c r="C3917" i="11"/>
  <c r="C4045" i="11"/>
  <c r="D5051" i="11"/>
  <c r="C6106" i="11"/>
  <c r="C2729" i="11"/>
  <c r="C1849" i="11"/>
  <c r="C540" i="11"/>
  <c r="C754" i="11"/>
  <c r="D391" i="11"/>
  <c r="D222" i="11"/>
  <c r="D718" i="11"/>
  <c r="D1651" i="11"/>
  <c r="D1907" i="11"/>
  <c r="C2179" i="11"/>
  <c r="D1674" i="11"/>
  <c r="C1760" i="11"/>
  <c r="C2019" i="11"/>
  <c r="C2275" i="11"/>
  <c r="D2497" i="11"/>
  <c r="D2713" i="11"/>
  <c r="C858" i="11"/>
  <c r="D1626" i="11"/>
  <c r="D1668" i="11"/>
  <c r="D1778" i="11"/>
  <c r="C2131" i="11"/>
  <c r="D2659" i="11"/>
  <c r="D1652" i="11"/>
  <c r="C2851" i="11"/>
  <c r="D3143" i="11"/>
  <c r="D3271" i="11"/>
  <c r="D3395" i="11"/>
  <c r="D3651" i="11"/>
  <c r="D3795" i="11"/>
  <c r="D4051" i="11"/>
  <c r="C4221" i="11"/>
  <c r="C4349" i="11"/>
  <c r="D4525" i="11"/>
  <c r="D4867" i="11"/>
  <c r="C5331" i="11"/>
  <c r="C6668" i="11"/>
  <c r="C6924" i="11"/>
  <c r="C7180" i="11"/>
  <c r="D1640" i="11"/>
  <c r="C2457" i="11"/>
  <c r="C2987" i="11"/>
  <c r="D3531" i="11"/>
  <c r="D3723" i="11"/>
  <c r="D3939" i="11"/>
  <c r="C4165" i="11"/>
  <c r="C4293" i="11"/>
  <c r="C4483" i="11"/>
  <c r="C1890" i="11"/>
  <c r="D2464" i="11"/>
  <c r="C2745" i="11"/>
  <c r="C2985" i="11"/>
  <c r="D3219" i="11"/>
  <c r="D3475" i="11"/>
  <c r="D3763" i="11"/>
  <c r="D4019" i="11"/>
  <c r="C4173" i="11"/>
  <c r="C4301" i="11"/>
  <c r="C5215" i="11"/>
  <c r="C5419" i="11"/>
  <c r="C5739" i="11"/>
  <c r="C5962" i="11"/>
  <c r="C6218" i="11"/>
  <c r="C6474" i="11"/>
  <c r="C299" i="11"/>
  <c r="C591" i="11"/>
  <c r="C1190" i="11"/>
  <c r="D2819" i="11"/>
  <c r="D3135" i="11"/>
  <c r="D3263" i="11"/>
  <c r="D3675" i="11"/>
  <c r="D3843" i="11"/>
  <c r="D4099" i="11"/>
  <c r="C4213" i="11"/>
  <c r="C4341" i="11"/>
  <c r="D4603" i="11"/>
  <c r="C4747" i="11"/>
  <c r="D6892" i="11"/>
  <c r="C3899" i="11"/>
  <c r="C3771" i="11"/>
  <c r="C4467" i="11"/>
  <c r="C2400" i="11"/>
  <c r="C3275" i="11"/>
  <c r="C3463" i="11"/>
  <c r="C4059" i="11"/>
  <c r="D4339" i="11"/>
  <c r="D7212" i="11"/>
  <c r="D1837" i="11"/>
  <c r="C2411" i="11"/>
  <c r="D3835" i="11"/>
  <c r="C4227" i="11"/>
  <c r="C4435" i="11"/>
  <c r="D4595" i="11"/>
  <c r="C1310" i="11"/>
  <c r="D2451" i="11"/>
  <c r="C4571" i="11"/>
  <c r="C5347" i="11"/>
  <c r="D8257" i="11"/>
  <c r="D8385" i="11"/>
  <c r="D2195" i="11"/>
  <c r="C3090" i="11"/>
  <c r="D4011" i="11"/>
  <c r="C4315" i="11"/>
  <c r="D4299" i="11"/>
  <c r="C5411" i="11"/>
  <c r="C2675" i="11"/>
  <c r="D3391" i="11"/>
  <c r="D4043" i="11"/>
  <c r="C4235" i="11"/>
  <c r="C2753" i="11"/>
  <c r="D3583" i="11"/>
  <c r="C4139" i="11"/>
  <c r="C5315" i="11"/>
  <c r="C2891" i="11"/>
  <c r="C2555" i="11"/>
  <c r="D3243" i="11"/>
  <c r="D4243" i="11"/>
  <c r="D7084" i="11"/>
  <c r="D5756" i="11"/>
  <c r="C5756" i="11"/>
  <c r="D5884" i="11"/>
  <c r="C5884" i="11"/>
  <c r="C7308" i="11"/>
  <c r="D7308" i="11"/>
  <c r="C7468" i="11"/>
  <c r="D7468" i="11"/>
  <c r="C7532" i="11"/>
  <c r="D7532" i="11"/>
  <c r="C7628" i="11"/>
  <c r="D7628" i="11"/>
  <c r="C7724" i="11"/>
  <c r="D7724" i="11"/>
  <c r="C7756" i="11"/>
  <c r="D7756" i="11"/>
  <c r="C7820" i="11"/>
  <c r="D7820" i="11"/>
  <c r="C7852" i="11"/>
  <c r="D7852" i="11"/>
  <c r="C7884" i="11"/>
  <c r="D7884" i="11"/>
  <c r="D8012" i="11"/>
  <c r="C8012" i="11"/>
  <c r="C8172" i="11"/>
  <c r="D8172" i="11"/>
  <c r="C8204" i="11"/>
  <c r="D8204" i="11"/>
  <c r="C4586" i="11"/>
  <c r="D4586" i="11"/>
  <c r="C4970" i="11"/>
  <c r="D4970" i="11"/>
  <c r="C5588" i="11"/>
  <c r="D5588" i="11"/>
  <c r="D5844" i="11"/>
  <c r="C5844" i="11"/>
  <c r="D5972" i="11"/>
  <c r="C5972" i="11"/>
  <c r="D6036" i="11"/>
  <c r="C6036" i="11"/>
  <c r="D6100" i="11"/>
  <c r="C6100" i="11"/>
  <c r="D6164" i="11"/>
  <c r="C6164" i="11"/>
  <c r="D6228" i="11"/>
  <c r="C6228" i="11"/>
  <c r="D6292" i="11"/>
  <c r="C6292" i="11"/>
  <c r="D6356" i="11"/>
  <c r="C6356" i="11"/>
  <c r="D6420" i="11"/>
  <c r="C6420" i="11"/>
  <c r="D6484" i="11"/>
  <c r="C6484" i="11"/>
  <c r="C6600" i="11"/>
  <c r="D6600" i="11"/>
  <c r="C6728" i="11"/>
  <c r="D6728" i="11"/>
  <c r="C6856" i="11"/>
  <c r="D6856" i="11"/>
  <c r="D6984" i="11"/>
  <c r="C6984" i="11"/>
  <c r="D7352" i="11"/>
  <c r="C7352" i="11"/>
  <c r="C7384" i="11"/>
  <c r="D7384" i="11"/>
  <c r="C7416" i="11"/>
  <c r="D7416" i="11"/>
  <c r="D7448" i="11"/>
  <c r="C7448" i="11"/>
  <c r="C7512" i="11"/>
  <c r="D7512" i="11"/>
  <c r="D7544" i="11"/>
  <c r="C7544" i="11"/>
  <c r="C7608" i="11"/>
  <c r="D7608" i="11"/>
  <c r="C7672" i="11"/>
  <c r="D7672" i="11"/>
  <c r="C7736" i="11"/>
  <c r="D7736" i="11"/>
  <c r="C7800" i="11"/>
  <c r="D7800" i="11"/>
  <c r="C7832" i="11"/>
  <c r="D7832" i="11"/>
  <c r="D7864" i="11"/>
  <c r="C7864" i="11"/>
  <c r="C7896" i="11"/>
  <c r="D7896" i="11"/>
  <c r="C7928" i="11"/>
  <c r="D7928" i="11"/>
  <c r="C8088" i="11"/>
  <c r="D8088" i="11"/>
  <c r="D8248" i="11"/>
  <c r="C8248" i="11"/>
  <c r="D9336" i="11"/>
  <c r="C9336" i="11"/>
  <c r="C9933" i="11"/>
  <c r="D9933" i="11"/>
  <c r="C9805" i="11"/>
  <c r="D9805" i="11"/>
  <c r="C9677" i="11"/>
  <c r="D9677" i="11"/>
  <c r="C9549" i="11"/>
  <c r="D9549" i="11"/>
  <c r="C9421" i="11"/>
  <c r="D9421" i="11"/>
  <c r="C6462" i="11"/>
  <c r="D6462" i="11"/>
  <c r="C2530" i="11"/>
  <c r="D2530" i="11"/>
  <c r="C7655" i="11"/>
  <c r="D7655" i="11"/>
  <c r="D4391" i="11"/>
  <c r="C4391" i="11"/>
  <c r="C3687" i="11"/>
  <c r="D3687" i="11"/>
  <c r="D2991" i="11"/>
  <c r="C2991" i="11"/>
  <c r="D2843" i="11"/>
  <c r="C2843" i="11"/>
  <c r="C2828" i="11"/>
  <c r="D2828" i="11"/>
  <c r="D2802" i="11"/>
  <c r="C2802" i="11"/>
  <c r="D2789" i="11"/>
  <c r="C2789" i="11"/>
  <c r="D2776" i="11"/>
  <c r="C2776" i="11"/>
  <c r="C2759" i="11"/>
  <c r="D2759" i="11"/>
  <c r="C2743" i="11"/>
  <c r="D2743" i="11"/>
  <c r="C2696" i="11"/>
  <c r="D2696" i="11"/>
  <c r="D2670" i="11"/>
  <c r="C2670" i="11"/>
  <c r="C2633" i="11"/>
  <c r="D2633" i="11"/>
  <c r="D2606" i="11"/>
  <c r="C2606" i="11"/>
  <c r="C2593" i="11"/>
  <c r="D2593" i="11"/>
  <c r="C2545" i="11"/>
  <c r="D2545" i="11"/>
  <c r="D2510" i="11"/>
  <c r="C2510" i="11"/>
  <c r="C2485" i="11"/>
  <c r="D2485" i="11"/>
  <c r="C2449" i="11"/>
  <c r="D2449" i="11"/>
  <c r="D2406" i="11"/>
  <c r="C2406" i="11"/>
  <c r="C2224" i="11"/>
  <c r="D2224" i="11"/>
  <c r="C2160" i="11"/>
  <c r="D2160" i="11"/>
  <c r="C2096" i="11"/>
  <c r="D2096" i="11"/>
  <c r="C2012" i="11"/>
  <c r="D2012" i="11"/>
  <c r="D1982" i="11"/>
  <c r="C1982" i="11"/>
  <c r="C1967" i="11"/>
  <c r="D1967" i="11"/>
  <c r="D1949" i="11"/>
  <c r="C1949" i="11"/>
  <c r="C1935" i="11"/>
  <c r="D1935" i="11"/>
  <c r="D1917" i="11"/>
  <c r="C1917" i="11"/>
  <c r="D1800" i="11"/>
  <c r="C1800" i="11"/>
  <c r="C1781" i="11"/>
  <c r="D1781" i="11"/>
  <c r="D1739" i="11"/>
  <c r="C1739" i="11"/>
  <c r="D1722" i="11"/>
  <c r="C1722" i="11"/>
  <c r="C1708" i="11"/>
  <c r="D1708" i="11"/>
  <c r="D1643" i="11"/>
  <c r="C1643" i="11"/>
  <c r="D1603" i="11"/>
  <c r="C1603" i="11"/>
  <c r="D1580" i="11"/>
  <c r="C1580" i="11"/>
  <c r="C1564" i="11"/>
  <c r="D1564" i="11"/>
  <c r="C1551" i="11"/>
  <c r="D1551" i="11"/>
  <c r="D1519" i="11"/>
  <c r="C1519" i="11"/>
  <c r="D1500" i="11"/>
  <c r="C1500" i="11"/>
  <c r="D1474" i="11"/>
  <c r="C1474" i="11"/>
  <c r="D1446" i="11"/>
  <c r="C1446" i="11"/>
  <c r="C1405" i="11"/>
  <c r="D1405" i="11"/>
  <c r="D1382" i="11"/>
  <c r="C1382" i="11"/>
  <c r="C1327" i="11"/>
  <c r="D1327" i="11"/>
  <c r="D1292" i="11"/>
  <c r="C1292" i="11"/>
  <c r="C1274" i="11"/>
  <c r="D1274" i="11"/>
  <c r="D1254" i="11"/>
  <c r="C1254" i="11"/>
  <c r="D1226" i="11"/>
  <c r="C1226" i="11"/>
  <c r="C1208" i="11"/>
  <c r="D1208" i="11"/>
  <c r="C1191" i="11"/>
  <c r="D1191" i="11"/>
  <c r="D1161" i="11"/>
  <c r="C1161" i="11"/>
  <c r="C1079" i="11"/>
  <c r="D1079" i="11"/>
  <c r="D1064" i="11"/>
  <c r="C1064" i="11"/>
  <c r="D991" i="11"/>
  <c r="C991" i="11"/>
  <c r="C940" i="11"/>
  <c r="D940" i="11"/>
  <c r="D879" i="11"/>
  <c r="C879" i="11"/>
  <c r="C852" i="11"/>
  <c r="D852" i="11"/>
  <c r="C665" i="11"/>
  <c r="D665" i="11"/>
  <c r="D554" i="11"/>
  <c r="C554" i="11"/>
  <c r="D528" i="11"/>
  <c r="C528" i="11"/>
  <c r="C460" i="11"/>
  <c r="D460" i="11"/>
  <c r="D278" i="11"/>
  <c r="C278" i="11"/>
  <c r="C1528" i="11"/>
  <c r="D1528" i="11"/>
  <c r="D1430" i="11"/>
  <c r="C1430" i="11"/>
  <c r="C1381" i="11"/>
  <c r="D1381" i="11"/>
  <c r="C1367" i="11"/>
  <c r="D1367" i="11"/>
  <c r="D1350" i="11"/>
  <c r="C1350" i="11"/>
  <c r="C1333" i="11"/>
  <c r="D1333" i="11"/>
  <c r="D1318" i="11"/>
  <c r="C1318" i="11"/>
  <c r="C1255" i="11"/>
  <c r="D1255" i="11"/>
  <c r="D1242" i="11"/>
  <c r="C1242" i="11"/>
  <c r="C1223" i="11"/>
  <c r="D1223" i="11"/>
  <c r="C1129" i="11"/>
  <c r="D1129" i="11"/>
  <c r="C1095" i="11"/>
  <c r="D1095" i="11"/>
  <c r="C1006" i="11"/>
  <c r="D1006" i="11"/>
  <c r="C992" i="11"/>
  <c r="D992" i="11"/>
  <c r="C974" i="11"/>
  <c r="D974" i="11"/>
  <c r="D881" i="11"/>
  <c r="C881" i="11"/>
  <c r="D864" i="11"/>
  <c r="C864" i="11"/>
  <c r="C850" i="11"/>
  <c r="D850" i="11"/>
  <c r="C836" i="11"/>
  <c r="D836" i="11"/>
  <c r="C819" i="11"/>
  <c r="D819" i="11"/>
  <c r="D796" i="11"/>
  <c r="C796" i="11"/>
  <c r="C744" i="11"/>
  <c r="D744" i="11"/>
  <c r="D674" i="11"/>
  <c r="C674" i="11"/>
  <c r="C622" i="11"/>
  <c r="D622" i="11"/>
  <c r="C604" i="11"/>
  <c r="D604" i="11"/>
  <c r="C585" i="11"/>
  <c r="D585" i="11"/>
  <c r="C569" i="11"/>
  <c r="D569" i="11"/>
  <c r="D553" i="11"/>
  <c r="C553" i="11"/>
  <c r="D514" i="11"/>
  <c r="C514" i="11"/>
  <c r="D489" i="11"/>
  <c r="C489" i="11"/>
  <c r="D433" i="11"/>
  <c r="C433" i="11"/>
  <c r="C352" i="11"/>
  <c r="D352" i="11"/>
  <c r="D326" i="11"/>
  <c r="C326" i="11"/>
  <c r="C787" i="11"/>
  <c r="D787" i="11"/>
  <c r="D770" i="11"/>
  <c r="C770" i="11"/>
  <c r="D738" i="11"/>
  <c r="C738" i="11"/>
  <c r="D723" i="11"/>
  <c r="C723" i="11"/>
  <c r="D567" i="11"/>
  <c r="C567" i="11"/>
  <c r="C548" i="11"/>
  <c r="D548" i="11"/>
  <c r="C534" i="11"/>
  <c r="D534" i="11"/>
  <c r="C516" i="11"/>
  <c r="D516" i="11"/>
  <c r="D501" i="11"/>
  <c r="C501" i="11"/>
  <c r="D485" i="11"/>
  <c r="C485" i="11"/>
  <c r="D443" i="11"/>
  <c r="C443" i="11"/>
  <c r="C421" i="11"/>
  <c r="D421" i="11"/>
  <c r="D394" i="11"/>
  <c r="C394" i="11"/>
  <c r="D339" i="11"/>
  <c r="C339" i="11"/>
  <c r="C256" i="11"/>
  <c r="D256" i="11"/>
  <c r="D486" i="11"/>
  <c r="C486" i="11"/>
  <c r="D470" i="11"/>
  <c r="C470" i="11"/>
  <c r="D454" i="11"/>
  <c r="C454" i="11"/>
  <c r="C422" i="11"/>
  <c r="D422" i="11"/>
  <c r="D409" i="11"/>
  <c r="C409" i="11"/>
  <c r="D395" i="11"/>
  <c r="C395" i="11"/>
  <c r="D286" i="11"/>
  <c r="C286" i="11"/>
  <c r="C288" i="11"/>
  <c r="D288" i="11"/>
  <c r="C370" i="11"/>
  <c r="D370" i="11"/>
  <c r="C487" i="11"/>
  <c r="D487" i="11"/>
  <c r="D579" i="11"/>
  <c r="C579" i="11"/>
  <c r="C670" i="11"/>
  <c r="D670" i="11"/>
  <c r="C722" i="11"/>
  <c r="D722" i="11"/>
  <c r="C767" i="11"/>
  <c r="D767" i="11"/>
  <c r="C870" i="11"/>
  <c r="D870" i="11"/>
  <c r="D1057" i="11"/>
  <c r="C1057" i="11"/>
  <c r="C1081" i="11"/>
  <c r="D1081" i="11"/>
  <c r="D1113" i="11"/>
  <c r="C1113" i="11"/>
  <c r="D1197" i="11"/>
  <c r="C1197" i="11"/>
  <c r="C1411" i="11"/>
  <c r="D1411" i="11"/>
  <c r="C1467" i="11"/>
  <c r="D1467" i="11"/>
  <c r="C1495" i="11"/>
  <c r="D1495" i="11"/>
  <c r="D1544" i="11"/>
  <c r="C1544" i="11"/>
  <c r="D1606" i="11"/>
  <c r="C1606" i="11"/>
  <c r="C1694" i="11"/>
  <c r="D1694" i="11"/>
  <c r="D1821" i="11"/>
  <c r="C1821" i="11"/>
  <c r="C1845" i="11"/>
  <c r="D1845" i="11"/>
  <c r="C1927" i="11"/>
  <c r="D1927" i="11"/>
  <c r="C1970" i="11"/>
  <c r="D1970" i="11"/>
  <c r="C1988" i="11"/>
  <c r="D1988" i="11"/>
  <c r="C2074" i="11"/>
  <c r="D2074" i="11"/>
  <c r="C45" i="11"/>
  <c r="D70" i="11"/>
  <c r="D93" i="11"/>
  <c r="C221" i="11"/>
  <c r="C253" i="11"/>
  <c r="C273" i="11"/>
  <c r="C293" i="11"/>
  <c r="D131" i="11"/>
  <c r="D1120" i="11"/>
  <c r="C432" i="11"/>
  <c r="C464" i="11"/>
  <c r="C496" i="11"/>
  <c r="C697" i="11"/>
  <c r="D1264" i="11"/>
  <c r="C77" i="11"/>
  <c r="D967" i="11"/>
  <c r="D1385" i="11"/>
  <c r="C1168" i="11"/>
  <c r="D1247" i="11"/>
  <c r="D1956" i="11"/>
  <c r="D2004" i="11"/>
  <c r="D2140" i="11"/>
  <c r="D2324" i="11"/>
  <c r="D2524" i="11"/>
  <c r="D2580" i="11"/>
  <c r="C1204" i="11"/>
  <c r="C1340" i="11"/>
  <c r="C2110" i="11"/>
  <c r="C2238" i="11"/>
  <c r="C2462" i="11"/>
  <c r="D316" i="11"/>
  <c r="C365" i="11"/>
  <c r="C577" i="11"/>
  <c r="D721" i="11"/>
  <c r="C533" i="11"/>
  <c r="C625" i="11"/>
  <c r="C1084" i="11"/>
  <c r="D1801" i="11"/>
  <c r="C1566" i="11"/>
  <c r="C2765" i="11"/>
  <c r="C453" i="11"/>
  <c r="D638" i="11"/>
  <c r="D746" i="11"/>
  <c r="D684" i="11"/>
  <c r="C2183" i="11"/>
  <c r="D708" i="11"/>
  <c r="C1271" i="11"/>
  <c r="C2354" i="11"/>
  <c r="C934" i="11"/>
  <c r="D1616" i="11"/>
  <c r="D401" i="11"/>
  <c r="C2427" i="11"/>
  <c r="C1342" i="11"/>
  <c r="D2836" i="11"/>
  <c r="C2836" i="11"/>
  <c r="C2810" i="11"/>
  <c r="D2810" i="11"/>
  <c r="C2794" i="11"/>
  <c r="D2794" i="11"/>
  <c r="D2750" i="11"/>
  <c r="C2750" i="11"/>
  <c r="C2599" i="11"/>
  <c r="D2599" i="11"/>
  <c r="D2574" i="11"/>
  <c r="C2574" i="11"/>
  <c r="C2554" i="11"/>
  <c r="D2554" i="11"/>
  <c r="C2517" i="11"/>
  <c r="D2517" i="11"/>
  <c r="C2492" i="11"/>
  <c r="D2492" i="11"/>
  <c r="C2472" i="11"/>
  <c r="D2472" i="11"/>
  <c r="C2378" i="11"/>
  <c r="D2378" i="11"/>
  <c r="C2365" i="11"/>
  <c r="D2365" i="11"/>
  <c r="C2344" i="11"/>
  <c r="D2344" i="11"/>
  <c r="D2311" i="11"/>
  <c r="C2311" i="11"/>
  <c r="D2294" i="11"/>
  <c r="C2294" i="11"/>
  <c r="D2281" i="11"/>
  <c r="C2281" i="11"/>
  <c r="C2260" i="11"/>
  <c r="D2260" i="11"/>
  <c r="D2247" i="11"/>
  <c r="C2247" i="11"/>
  <c r="D2230" i="11"/>
  <c r="C2230" i="11"/>
  <c r="D2166" i="11"/>
  <c r="C2166" i="11"/>
  <c r="D2153" i="11"/>
  <c r="C2153" i="11"/>
  <c r="C2132" i="11"/>
  <c r="D2132" i="11"/>
  <c r="D2119" i="11"/>
  <c r="C2119" i="11"/>
  <c r="D2102" i="11"/>
  <c r="C2102" i="11"/>
  <c r="D2089" i="11"/>
  <c r="C2089" i="11"/>
  <c r="D2055" i="11"/>
  <c r="C2055" i="11"/>
  <c r="D2038" i="11"/>
  <c r="C2038" i="11"/>
  <c r="D2025" i="11"/>
  <c r="C2025" i="11"/>
  <c r="D1991" i="11"/>
  <c r="C1991" i="11"/>
  <c r="D1942" i="11"/>
  <c r="C1942" i="11"/>
  <c r="C1909" i="11"/>
  <c r="D1909" i="11"/>
  <c r="C1863" i="11"/>
  <c r="D1863" i="11"/>
  <c r="C1838" i="11"/>
  <c r="D1838" i="11"/>
  <c r="D1808" i="11"/>
  <c r="C1808" i="11"/>
  <c r="D1744" i="11"/>
  <c r="C1744" i="11"/>
  <c r="C1695" i="11"/>
  <c r="D1695" i="11"/>
  <c r="C1669" i="11"/>
  <c r="D1669" i="11"/>
  <c r="D1658" i="11"/>
  <c r="C1658" i="11"/>
  <c r="D1623" i="11"/>
  <c r="C1623" i="11"/>
  <c r="C1597" i="11"/>
  <c r="D1597" i="11"/>
  <c r="D1571" i="11"/>
  <c r="C1571" i="11"/>
  <c r="D1527" i="11"/>
  <c r="C1527" i="11"/>
  <c r="D1466" i="11"/>
  <c r="C1466" i="11"/>
  <c r="D1438" i="11"/>
  <c r="C1438" i="11"/>
  <c r="D1414" i="11"/>
  <c r="C1414" i="11"/>
  <c r="D1335" i="11"/>
  <c r="C1335" i="11"/>
  <c r="D1283" i="11"/>
  <c r="C1283" i="11"/>
  <c r="C1237" i="11"/>
  <c r="D1237" i="11"/>
  <c r="C1104" i="11"/>
  <c r="D1104" i="11"/>
  <c r="C1072" i="11"/>
  <c r="D1072" i="11"/>
  <c r="D1054" i="11"/>
  <c r="C1054" i="11"/>
  <c r="C737" i="11"/>
  <c r="D737" i="11"/>
  <c r="C515" i="11"/>
  <c r="D515" i="11"/>
  <c r="D441" i="11"/>
  <c r="C441" i="11"/>
  <c r="D373" i="11"/>
  <c r="C373" i="11"/>
  <c r="D336" i="11"/>
  <c r="C336" i="11"/>
  <c r="C300" i="11"/>
  <c r="D300" i="11"/>
  <c r="C252" i="11"/>
  <c r="D252" i="11"/>
  <c r="C1521" i="11"/>
  <c r="D1521" i="11"/>
  <c r="C1505" i="11"/>
  <c r="D1505" i="11"/>
  <c r="C1485" i="11"/>
  <c r="D1485" i="11"/>
  <c r="C1469" i="11"/>
  <c r="D1469" i="11"/>
  <c r="C1455" i="11"/>
  <c r="D1455" i="11"/>
  <c r="C1437" i="11"/>
  <c r="D1437" i="11"/>
  <c r="C1423" i="11"/>
  <c r="D1423" i="11"/>
  <c r="D1406" i="11"/>
  <c r="C1406" i="11"/>
  <c r="C1392" i="11"/>
  <c r="D1392" i="11"/>
  <c r="C1373" i="11"/>
  <c r="D1373" i="11"/>
  <c r="C1360" i="11"/>
  <c r="D1360" i="11"/>
  <c r="C1326" i="11"/>
  <c r="D1326" i="11"/>
  <c r="C1306" i="11"/>
  <c r="D1306" i="11"/>
  <c r="D1249" i="11"/>
  <c r="C1249" i="11"/>
  <c r="D1231" i="11"/>
  <c r="C1231" i="11"/>
  <c r="D1148" i="11"/>
  <c r="C1148" i="11"/>
  <c r="D1071" i="11"/>
  <c r="C1071" i="11"/>
  <c r="D1058" i="11"/>
  <c r="C1058" i="11"/>
  <c r="C1045" i="11"/>
  <c r="D1045" i="11"/>
  <c r="D1018" i="11"/>
  <c r="C1018" i="11"/>
  <c r="C963" i="11"/>
  <c r="D963" i="11"/>
  <c r="D932" i="11"/>
  <c r="C932" i="11"/>
  <c r="D888" i="11"/>
  <c r="C888" i="11"/>
  <c r="D857" i="11"/>
  <c r="C857" i="11"/>
  <c r="D769" i="11"/>
  <c r="C769" i="11"/>
  <c r="C735" i="11"/>
  <c r="D735" i="11"/>
  <c r="C710" i="11"/>
  <c r="D710" i="11"/>
  <c r="D593" i="11"/>
  <c r="C593" i="11"/>
  <c r="D578" i="11"/>
  <c r="C578" i="11"/>
  <c r="D562" i="11"/>
  <c r="C562" i="11"/>
  <c r="C524" i="11"/>
  <c r="D524" i="11"/>
  <c r="C447" i="11"/>
  <c r="D447" i="11"/>
  <c r="C338" i="11"/>
  <c r="D338" i="11"/>
  <c r="D190" i="11"/>
  <c r="C190" i="11"/>
  <c r="C820" i="11"/>
  <c r="D820" i="11"/>
  <c r="D673" i="11"/>
  <c r="C673" i="11"/>
  <c r="C661" i="11"/>
  <c r="D661" i="11"/>
  <c r="D609" i="11"/>
  <c r="C609" i="11"/>
  <c r="D595" i="11"/>
  <c r="C595" i="11"/>
  <c r="D559" i="11"/>
  <c r="C559" i="11"/>
  <c r="C508" i="11"/>
  <c r="D508" i="11"/>
  <c r="D494" i="11"/>
  <c r="C494" i="11"/>
  <c r="D475" i="11"/>
  <c r="C475" i="11"/>
  <c r="C408" i="11"/>
  <c r="D408" i="11"/>
  <c r="D353" i="11"/>
  <c r="C353" i="11"/>
  <c r="D330" i="11"/>
  <c r="C330" i="11"/>
  <c r="D314" i="11"/>
  <c r="C314" i="11"/>
  <c r="D298" i="11"/>
  <c r="C298" i="11"/>
  <c r="D269" i="11"/>
  <c r="C269" i="11"/>
  <c r="D478" i="11"/>
  <c r="C478" i="11"/>
  <c r="D462" i="11"/>
  <c r="C462" i="11"/>
  <c r="D430" i="11"/>
  <c r="C430" i="11"/>
  <c r="D402" i="11"/>
  <c r="C402" i="11"/>
  <c r="D388" i="11"/>
  <c r="C388" i="11"/>
  <c r="D374" i="11"/>
  <c r="C374" i="11"/>
  <c r="C358" i="11"/>
  <c r="D358" i="11"/>
  <c r="D254" i="11"/>
  <c r="C254" i="11"/>
  <c r="C212" i="11"/>
  <c r="D212" i="11"/>
  <c r="D169" i="11"/>
  <c r="C169" i="11"/>
  <c r="D257" i="11"/>
  <c r="C257" i="11"/>
  <c r="D342" i="11"/>
  <c r="C342" i="11"/>
  <c r="C403" i="11"/>
  <c r="D403" i="11"/>
  <c r="C463" i="11"/>
  <c r="D463" i="11"/>
  <c r="C556" i="11"/>
  <c r="D556" i="11"/>
  <c r="D605" i="11"/>
  <c r="C605" i="11"/>
  <c r="D643" i="11"/>
  <c r="C643" i="11"/>
  <c r="D698" i="11"/>
  <c r="C698" i="11"/>
  <c r="C791" i="11"/>
  <c r="D791" i="11"/>
  <c r="D826" i="11"/>
  <c r="C826" i="11"/>
  <c r="C853" i="11"/>
  <c r="D853" i="11"/>
  <c r="C890" i="11"/>
  <c r="D890" i="11"/>
  <c r="C947" i="11"/>
  <c r="D947" i="11"/>
  <c r="C1069" i="11"/>
  <c r="D1069" i="11"/>
  <c r="C1097" i="11"/>
  <c r="D1097" i="11"/>
  <c r="D1130" i="11"/>
  <c r="C1130" i="11"/>
  <c r="D1156" i="11"/>
  <c r="C1156" i="11"/>
  <c r="C1209" i="11"/>
  <c r="D1209" i="11"/>
  <c r="C1234" i="11"/>
  <c r="D1234" i="11"/>
  <c r="D1366" i="11"/>
  <c r="C1366" i="11"/>
  <c r="C1429" i="11"/>
  <c r="D1429" i="11"/>
  <c r="D1454" i="11"/>
  <c r="C1454" i="11"/>
  <c r="D1484" i="11"/>
  <c r="C1484" i="11"/>
  <c r="D1557" i="11"/>
  <c r="C1557" i="11"/>
  <c r="D1618" i="11"/>
  <c r="C1618" i="11"/>
  <c r="C1637" i="11"/>
  <c r="D1637" i="11"/>
  <c r="C1703" i="11"/>
  <c r="D1703" i="11"/>
  <c r="D1723" i="11"/>
  <c r="C1723" i="11"/>
  <c r="D1834" i="11"/>
  <c r="C1834" i="11"/>
  <c r="C1855" i="11"/>
  <c r="D1855" i="11"/>
  <c r="C1879" i="11"/>
  <c r="D1879" i="11"/>
  <c r="C1918" i="11"/>
  <c r="D1918" i="11"/>
  <c r="D1937" i="11"/>
  <c r="C1937" i="11"/>
  <c r="D1961" i="11"/>
  <c r="C1961" i="11"/>
  <c r="C2024" i="11"/>
  <c r="D2024" i="11"/>
  <c r="D2043" i="11"/>
  <c r="C2043" i="11"/>
  <c r="D2065" i="11"/>
  <c r="C2065" i="11"/>
  <c r="C410" i="11"/>
  <c r="D410" i="11"/>
  <c r="D477" i="11"/>
  <c r="C477" i="11"/>
  <c r="D86" i="11"/>
  <c r="D153" i="11"/>
  <c r="D176" i="11"/>
  <c r="D197" i="11"/>
  <c r="C233" i="11"/>
  <c r="C305" i="11"/>
  <c r="D701" i="11"/>
  <c r="D813" i="11"/>
  <c r="D1096" i="11"/>
  <c r="C777" i="11"/>
  <c r="C889" i="11"/>
  <c r="C953" i="11"/>
  <c r="C1001" i="11"/>
  <c r="D1220" i="11"/>
  <c r="D1284" i="11"/>
  <c r="D1316" i="11"/>
  <c r="C1324" i="11"/>
  <c r="D1363" i="11"/>
  <c r="D2076" i="11"/>
  <c r="D2100" i="11"/>
  <c r="D2204" i="11"/>
  <c r="D2676" i="11"/>
  <c r="D1273" i="11"/>
  <c r="C1998" i="11"/>
  <c r="D224" i="11"/>
  <c r="D308" i="11"/>
  <c r="C337" i="11"/>
  <c r="C377" i="11"/>
  <c r="D276" i="11"/>
  <c r="C685" i="11"/>
  <c r="D236" i="11"/>
  <c r="D284" i="11"/>
  <c r="C444" i="11"/>
  <c r="D810" i="11"/>
  <c r="C984" i="11"/>
  <c r="D1135" i="11"/>
  <c r="D1159" i="11"/>
  <c r="C1754" i="11"/>
  <c r="D2032" i="11"/>
  <c r="C2217" i="11"/>
  <c r="D1397" i="11"/>
  <c r="D1881" i="11"/>
  <c r="D2663" i="11"/>
  <c r="C226" i="11"/>
  <c r="C461" i="11"/>
  <c r="D1447" i="11"/>
  <c r="C834" i="11"/>
  <c r="C503" i="11"/>
  <c r="C438" i="11"/>
  <c r="C654" i="11"/>
  <c r="C527" i="11"/>
  <c r="D1530" i="11"/>
  <c r="C1479" i="11"/>
  <c r="D1145" i="11"/>
  <c r="D2817" i="11"/>
  <c r="C423" i="11"/>
  <c r="C2251" i="11"/>
  <c r="C343" i="11"/>
  <c r="C109" i="11"/>
  <c r="D29" i="11"/>
  <c r="C217" i="11"/>
  <c r="C126" i="11"/>
  <c r="C442" i="11"/>
  <c r="D206" i="11"/>
  <c r="C1203" i="11"/>
  <c r="D520" i="11"/>
  <c r="C544" i="11"/>
  <c r="D1085" i="11"/>
  <c r="D1336" i="11"/>
  <c r="D1163" i="11"/>
  <c r="D1200" i="11"/>
  <c r="D935" i="11"/>
  <c r="D1409" i="11"/>
  <c r="C2030" i="11"/>
  <c r="D2478" i="11"/>
  <c r="D320" i="11"/>
  <c r="C392" i="11"/>
  <c r="D367" i="11"/>
  <c r="C262" i="11"/>
  <c r="D549" i="11"/>
  <c r="C656" i="11"/>
  <c r="C589" i="11"/>
  <c r="D883" i="11"/>
  <c r="C981" i="11"/>
  <c r="D1175" i="11"/>
  <c r="D1523" i="11"/>
  <c r="C949" i="11"/>
  <c r="D1475" i="11"/>
  <c r="D1228" i="11"/>
  <c r="D1691" i="11"/>
  <c r="D1619" i="11"/>
  <c r="D1657" i="11"/>
  <c r="C2264" i="11"/>
  <c r="D437" i="11"/>
  <c r="D459" i="11"/>
  <c r="C2069" i="11"/>
  <c r="C2806" i="11"/>
  <c r="D730" i="11"/>
  <c r="D332" i="11"/>
  <c r="C741" i="11"/>
  <c r="C846" i="11"/>
  <c r="D1510" i="11"/>
  <c r="D970" i="11"/>
  <c r="D1822" i="11"/>
  <c r="C790" i="11"/>
  <c r="D959" i="11"/>
  <c r="D2641" i="11"/>
  <c r="C1789" i="11"/>
  <c r="C2736" i="11"/>
  <c r="D479" i="11"/>
  <c r="C614" i="11"/>
  <c r="C122" i="11"/>
  <c r="D174" i="11"/>
  <c r="D138" i="11"/>
  <c r="C201" i="11"/>
  <c r="C225" i="11"/>
  <c r="D249" i="11"/>
  <c r="C277" i="11"/>
  <c r="D426" i="11"/>
  <c r="C474" i="11"/>
  <c r="C522" i="11"/>
  <c r="D809" i="11"/>
  <c r="D1117" i="11"/>
  <c r="D1157" i="11"/>
  <c r="C1269" i="11"/>
  <c r="D759" i="11"/>
  <c r="C839" i="11"/>
  <c r="D1107" i="11"/>
  <c r="C1361" i="11"/>
  <c r="D1451" i="11"/>
  <c r="D2652" i="11"/>
  <c r="C2374" i="11"/>
  <c r="C2542" i="11"/>
  <c r="D270" i="11"/>
  <c r="D860" i="11"/>
  <c r="C679" i="11"/>
  <c r="D990" i="11"/>
  <c r="C1287" i="11"/>
  <c r="D1140" i="11"/>
  <c r="C2128" i="11"/>
  <c r="D1502" i="11"/>
  <c r="C1538" i="11"/>
  <c r="C427" i="11"/>
  <c r="C449" i="11"/>
  <c r="C799" i="11"/>
  <c r="D1804" i="11"/>
  <c r="C1928" i="11"/>
  <c r="D792" i="11"/>
  <c r="D773" i="11"/>
  <c r="D876" i="11"/>
  <c r="C645" i="11"/>
  <c r="D943" i="11"/>
  <c r="D1041" i="11"/>
  <c r="C1995" i="11"/>
  <c r="C2704" i="11"/>
  <c r="C349" i="11"/>
  <c r="C495" i="11"/>
  <c r="D2798" i="11"/>
  <c r="C2798" i="11"/>
  <c r="C2769" i="11"/>
  <c r="D2769" i="11"/>
  <c r="D2739" i="11"/>
  <c r="C2739" i="11"/>
  <c r="C2645" i="11"/>
  <c r="D2645" i="11"/>
  <c r="D2505" i="11"/>
  <c r="C2505" i="11"/>
  <c r="D2416" i="11"/>
  <c r="C2416" i="11"/>
  <c r="D2328" i="11"/>
  <c r="C2328" i="11"/>
  <c r="D2315" i="11"/>
  <c r="C2315" i="11"/>
  <c r="D2234" i="11"/>
  <c r="C2234" i="11"/>
  <c r="D2200" i="11"/>
  <c r="C2200" i="11"/>
  <c r="D2187" i="11"/>
  <c r="C2187" i="11"/>
  <c r="D2106" i="11"/>
  <c r="C2106" i="11"/>
  <c r="D2072" i="11"/>
  <c r="C2072" i="11"/>
  <c r="D2059" i="11"/>
  <c r="C2059" i="11"/>
  <c r="C2042" i="11"/>
  <c r="D2042" i="11"/>
  <c r="D2029" i="11"/>
  <c r="C2029" i="11"/>
  <c r="C1898" i="11"/>
  <c r="D1898" i="11"/>
  <c r="C1811" i="11"/>
  <c r="D1811" i="11"/>
  <c r="C1792" i="11"/>
  <c r="D1792" i="11"/>
  <c r="D1719" i="11"/>
  <c r="C1719" i="11"/>
  <c r="C1701" i="11"/>
  <c r="D1701" i="11"/>
  <c r="C1684" i="11"/>
  <c r="D1684" i="11"/>
  <c r="C1673" i="11"/>
  <c r="D1673" i="11"/>
  <c r="D1577" i="11"/>
  <c r="C1577" i="11"/>
  <c r="D1561" i="11"/>
  <c r="C1561" i="11"/>
  <c r="C1515" i="11"/>
  <c r="D1515" i="11"/>
  <c r="D1471" i="11"/>
  <c r="C1471" i="11"/>
  <c r="C1442" i="11"/>
  <c r="D1442" i="11"/>
  <c r="D1418" i="11"/>
  <c r="C1418" i="11"/>
  <c r="C1400" i="11"/>
  <c r="D1400" i="11"/>
  <c r="C1376" i="11"/>
  <c r="D1376" i="11"/>
  <c r="C1092" i="11"/>
  <c r="D1092" i="11"/>
  <c r="D894" i="11"/>
  <c r="C894" i="11"/>
  <c r="C842" i="11"/>
  <c r="D842" i="11"/>
  <c r="D778" i="11"/>
  <c r="C778" i="11"/>
  <c r="D451" i="11"/>
  <c r="C451" i="11"/>
  <c r="D415" i="11"/>
  <c r="C415" i="11"/>
  <c r="D382" i="11"/>
  <c r="C382" i="11"/>
  <c r="D266" i="11"/>
  <c r="C266" i="11"/>
  <c r="D1512" i="11"/>
  <c r="C1512" i="11"/>
  <c r="D1458" i="11"/>
  <c r="C1458" i="11"/>
  <c r="D1426" i="11"/>
  <c r="C1426" i="11"/>
  <c r="C1290" i="11"/>
  <c r="D1290" i="11"/>
  <c r="C1138" i="11"/>
  <c r="D1138" i="11"/>
  <c r="C1062" i="11"/>
  <c r="D1062" i="11"/>
  <c r="D1048" i="11"/>
  <c r="C1048" i="11"/>
  <c r="C1003" i="11"/>
  <c r="D1003" i="11"/>
  <c r="C988" i="11"/>
  <c r="D988" i="11"/>
  <c r="D914" i="11"/>
  <c r="C914" i="11"/>
  <c r="D833" i="11"/>
  <c r="C833" i="11"/>
  <c r="C774" i="11"/>
  <c r="D774" i="11"/>
  <c r="D714" i="11"/>
  <c r="C714" i="11"/>
  <c r="C633" i="11"/>
  <c r="D633" i="11"/>
  <c r="D618" i="11"/>
  <c r="C618" i="11"/>
  <c r="D597" i="11"/>
  <c r="C597" i="11"/>
  <c r="C547" i="11"/>
  <c r="D547" i="11"/>
  <c r="D529" i="11"/>
  <c r="C529" i="11"/>
  <c r="C455" i="11"/>
  <c r="D455" i="11"/>
  <c r="C425" i="11"/>
  <c r="D425" i="11"/>
  <c r="C396" i="11"/>
  <c r="D396" i="11"/>
  <c r="D282" i="11"/>
  <c r="C282" i="11"/>
  <c r="D208" i="11"/>
  <c r="C208" i="11"/>
  <c r="C797" i="11"/>
  <c r="D797" i="11"/>
  <c r="C749" i="11"/>
  <c r="D749" i="11"/>
  <c r="C663" i="11"/>
  <c r="D663" i="11"/>
  <c r="C649" i="11"/>
  <c r="D649" i="11"/>
  <c r="C613" i="11"/>
  <c r="D613" i="11"/>
  <c r="C359" i="11"/>
  <c r="D359" i="11"/>
  <c r="C248" i="11"/>
  <c r="D248" i="11"/>
  <c r="C220" i="11"/>
  <c r="D220" i="11"/>
  <c r="C419" i="11"/>
  <c r="D419" i="11"/>
  <c r="D406" i="11"/>
  <c r="C406" i="11"/>
  <c r="D334" i="11"/>
  <c r="C334" i="11"/>
  <c r="C145" i="11"/>
  <c r="D145" i="11"/>
  <c r="D302" i="11"/>
  <c r="C302" i="11"/>
  <c r="C941" i="11"/>
  <c r="D941" i="11"/>
  <c r="D965" i="11"/>
  <c r="C965" i="11"/>
  <c r="D1013" i="11"/>
  <c r="C1013" i="11"/>
  <c r="C1124" i="11"/>
  <c r="D1124" i="11"/>
  <c r="C1277" i="11"/>
  <c r="D1277" i="11"/>
  <c r="D1478" i="11"/>
  <c r="C1478" i="11"/>
  <c r="D1548" i="11"/>
  <c r="C1548" i="11"/>
  <c r="D1614" i="11"/>
  <c r="C1614" i="11"/>
  <c r="D1699" i="11"/>
  <c r="C1699" i="11"/>
  <c r="D1830" i="11"/>
  <c r="C1830" i="11"/>
  <c r="D1850" i="11"/>
  <c r="C1850" i="11"/>
  <c r="C1912" i="11"/>
  <c r="D1912" i="11"/>
  <c r="C1975" i="11"/>
  <c r="D1975" i="11"/>
  <c r="D1993" i="11"/>
  <c r="C1993" i="11"/>
  <c r="D2037" i="11"/>
  <c r="C2037" i="11"/>
  <c r="C2061" i="11"/>
  <c r="D2061" i="11"/>
  <c r="C38" i="11"/>
  <c r="D171" i="11"/>
  <c r="D245" i="11"/>
  <c r="C281" i="11"/>
  <c r="D309" i="11"/>
  <c r="C194" i="11"/>
  <c r="C466" i="11"/>
  <c r="C498" i="11"/>
  <c r="D877" i="11"/>
  <c r="D1021" i="11"/>
  <c r="D1067" i="11"/>
  <c r="D1080" i="11"/>
  <c r="D1192" i="11"/>
  <c r="C1235" i="11"/>
  <c r="D480" i="11"/>
  <c r="D512" i="11"/>
  <c r="D713" i="11"/>
  <c r="D1109" i="11"/>
  <c r="D1141" i="11"/>
  <c r="D1219" i="11"/>
  <c r="C1299" i="11"/>
  <c r="C1205" i="11"/>
  <c r="D775" i="11"/>
  <c r="C823" i="11"/>
  <c r="C1377" i="11"/>
  <c r="C1465" i="11"/>
  <c r="D2756" i="11"/>
  <c r="D1268" i="11"/>
  <c r="D41" i="11"/>
  <c r="C2118" i="11"/>
  <c r="C2358" i="11"/>
  <c r="C2550" i="11"/>
  <c r="C414" i="11"/>
  <c r="C357" i="11"/>
  <c r="C412" i="11"/>
  <c r="C260" i="11"/>
  <c r="C292" i="11"/>
  <c r="D608" i="11"/>
  <c r="C668" i="11"/>
  <c r="C816" i="11"/>
  <c r="D424" i="11"/>
  <c r="D563" i="11"/>
  <c r="D640" i="11"/>
  <c r="D615" i="11"/>
  <c r="D658" i="11"/>
  <c r="C818" i="11"/>
  <c r="C1032" i="11"/>
  <c r="D952" i="11"/>
  <c r="C1422" i="11"/>
  <c r="D1040" i="11"/>
  <c r="C1750" i="11"/>
  <c r="D1818" i="11"/>
  <c r="D1707" i="11"/>
  <c r="D1728" i="11"/>
  <c r="C1765" i="11"/>
  <c r="C1868" i="11"/>
  <c r="C2093" i="11"/>
  <c r="D2157" i="11"/>
  <c r="C2285" i="11"/>
  <c r="C1913" i="11"/>
  <c r="C1718" i="11"/>
  <c r="C2136" i="11"/>
  <c r="D2679" i="11"/>
  <c r="D2785" i="11"/>
  <c r="D766" i="11"/>
  <c r="C901" i="11"/>
  <c r="D1265" i="11"/>
  <c r="C1370" i="11"/>
  <c r="C2149" i="11"/>
  <c r="D2424" i="11"/>
  <c r="D264" i="11"/>
  <c r="D764" i="11"/>
  <c r="C936" i="11"/>
  <c r="C1301" i="11"/>
  <c r="D1946" i="11"/>
  <c r="D612" i="11"/>
  <c r="C571" i="11"/>
  <c r="C671" i="11"/>
  <c r="C404" i="11"/>
  <c r="C601" i="11"/>
  <c r="C824" i="11"/>
  <c r="D1532" i="11"/>
  <c r="D583" i="11"/>
  <c r="D854" i="11"/>
  <c r="C1525" i="11"/>
  <c r="C1680" i="11"/>
  <c r="C1784" i="11"/>
  <c r="D1951" i="11"/>
  <c r="D1448" i="11"/>
  <c r="D1726" i="11"/>
  <c r="D2673" i="11"/>
  <c r="D2825" i="11"/>
  <c r="D209" i="11"/>
  <c r="C209" i="11"/>
  <c r="C2832" i="11"/>
  <c r="D2832" i="11"/>
  <c r="C2791" i="11"/>
  <c r="D2791" i="11"/>
  <c r="C2779" i="11"/>
  <c r="D2779" i="11"/>
  <c r="C2746" i="11"/>
  <c r="D2746" i="11"/>
  <c r="D2688" i="11"/>
  <c r="C2688" i="11"/>
  <c r="C2584" i="11"/>
  <c r="D2584" i="11"/>
  <c r="C2535" i="11"/>
  <c r="D2535" i="11"/>
  <c r="C2410" i="11"/>
  <c r="D2410" i="11"/>
  <c r="C2305" i="11"/>
  <c r="D2305" i="11"/>
  <c r="D2241" i="11"/>
  <c r="C2241" i="11"/>
  <c r="D2213" i="11"/>
  <c r="C2213" i="11"/>
  <c r="C2177" i="11"/>
  <c r="D2177" i="11"/>
  <c r="D2113" i="11"/>
  <c r="C2113" i="11"/>
  <c r="D2085" i="11"/>
  <c r="C2085" i="11"/>
  <c r="D1953" i="11"/>
  <c r="C1953" i="11"/>
  <c r="C1921" i="11"/>
  <c r="D1921" i="11"/>
  <c r="D1877" i="11"/>
  <c r="C1877" i="11"/>
  <c r="D1785" i="11"/>
  <c r="C1785" i="11"/>
  <c r="C1742" i="11"/>
  <c r="D1742" i="11"/>
  <c r="D1654" i="11"/>
  <c r="C1654" i="11"/>
  <c r="D1584" i="11"/>
  <c r="C1584" i="11"/>
  <c r="C1480" i="11"/>
  <c r="D1480" i="11"/>
  <c r="C1452" i="11"/>
  <c r="D1452" i="11"/>
  <c r="D1428" i="11"/>
  <c r="C1428" i="11"/>
  <c r="C1410" i="11"/>
  <c r="D1410" i="11"/>
  <c r="C1386" i="11"/>
  <c r="D1386" i="11"/>
  <c r="D1349" i="11"/>
  <c r="C1349" i="11"/>
  <c r="D1012" i="11"/>
  <c r="C1012" i="11"/>
  <c r="D972" i="11"/>
  <c r="C972" i="11"/>
  <c r="C907" i="11"/>
  <c r="D907" i="11"/>
  <c r="C828" i="11"/>
  <c r="D828" i="11"/>
  <c r="D789" i="11"/>
  <c r="C789" i="11"/>
  <c r="C765" i="11"/>
  <c r="D765" i="11"/>
  <c r="C703" i="11"/>
  <c r="D703" i="11"/>
  <c r="C629" i="11"/>
  <c r="D629" i="11"/>
  <c r="D535" i="11"/>
  <c r="C535" i="11"/>
  <c r="D471" i="11"/>
  <c r="C471" i="11"/>
  <c r="D431" i="11"/>
  <c r="C431" i="11"/>
  <c r="D329" i="11"/>
  <c r="C329" i="11"/>
  <c r="D240" i="11"/>
  <c r="C240" i="11"/>
  <c r="C1531" i="11"/>
  <c r="D1531" i="11"/>
  <c r="C1518" i="11"/>
  <c r="D1518" i="11"/>
  <c r="C1402" i="11"/>
  <c r="D1402" i="11"/>
  <c r="D1262" i="11"/>
  <c r="C1262" i="11"/>
  <c r="C1055" i="11"/>
  <c r="D1055" i="11"/>
  <c r="C1014" i="11"/>
  <c r="D1014" i="11"/>
  <c r="C995" i="11"/>
  <c r="D995" i="11"/>
  <c r="C957" i="11"/>
  <c r="D957" i="11"/>
  <c r="C884" i="11"/>
  <c r="D884" i="11"/>
  <c r="D678" i="11"/>
  <c r="C678" i="11"/>
  <c r="D657" i="11"/>
  <c r="C657" i="11"/>
  <c r="C642" i="11"/>
  <c r="D642" i="11"/>
  <c r="C590" i="11"/>
  <c r="D590" i="11"/>
  <c r="C573" i="11"/>
  <c r="D573" i="11"/>
  <c r="D383" i="11"/>
  <c r="C383" i="11"/>
  <c r="C709" i="11"/>
  <c r="D709" i="11"/>
  <c r="C669" i="11"/>
  <c r="D669" i="11"/>
  <c r="D574" i="11"/>
  <c r="C574" i="11"/>
  <c r="D505" i="11"/>
  <c r="C505" i="11"/>
  <c r="C469" i="11"/>
  <c r="D469" i="11"/>
  <c r="D310" i="11"/>
  <c r="C310" i="11"/>
  <c r="D290" i="11"/>
  <c r="C290" i="11"/>
  <c r="D204" i="11"/>
  <c r="C204" i="11"/>
  <c r="D151" i="11"/>
  <c r="C151" i="11"/>
  <c r="D341" i="11"/>
  <c r="C341" i="11"/>
  <c r="D327" i="11"/>
  <c r="C327" i="11"/>
  <c r="C228" i="11"/>
  <c r="D228" i="11"/>
  <c r="C473" i="11"/>
  <c r="D473" i="11"/>
  <c r="C513" i="11"/>
  <c r="D513" i="11"/>
  <c r="C978" i="11"/>
  <c r="D978" i="11"/>
  <c r="D1162" i="11"/>
  <c r="C1162" i="11"/>
  <c r="D1214" i="11"/>
  <c r="C1214" i="11"/>
  <c r="D1490" i="11"/>
  <c r="C1490" i="11"/>
  <c r="D1812" i="11"/>
  <c r="C1812" i="11"/>
  <c r="C1941" i="11"/>
  <c r="D1941" i="11"/>
  <c r="D2087" i="11"/>
  <c r="C2087" i="11"/>
  <c r="D117" i="11"/>
  <c r="C237" i="11"/>
  <c r="C301" i="11"/>
  <c r="C450" i="11"/>
  <c r="C482" i="11"/>
  <c r="C538" i="11"/>
  <c r="D861" i="11"/>
  <c r="D1005" i="11"/>
  <c r="C448" i="11"/>
  <c r="C552" i="11"/>
  <c r="D921" i="11"/>
  <c r="D1065" i="11"/>
  <c r="D1093" i="11"/>
  <c r="D1125" i="11"/>
  <c r="D1251" i="11"/>
  <c r="D1184" i="11"/>
  <c r="C1227" i="11"/>
  <c r="C1331" i="11"/>
  <c r="D743" i="11"/>
  <c r="D1075" i="11"/>
  <c r="D1099" i="11"/>
  <c r="D1123" i="11"/>
  <c r="C1337" i="11"/>
  <c r="D1393" i="11"/>
  <c r="D1433" i="11"/>
  <c r="D1173" i="11"/>
  <c r="D1311" i="11"/>
  <c r="C1343" i="11"/>
  <c r="D1435" i="11"/>
  <c r="D1932" i="11"/>
  <c r="D2396" i="11"/>
  <c r="C2452" i="11"/>
  <c r="D2620" i="11"/>
  <c r="C2006" i="11"/>
  <c r="C368" i="11"/>
  <c r="D350" i="11"/>
  <c r="C378" i="11"/>
  <c r="C509" i="11"/>
  <c r="D557" i="11"/>
  <c r="D354" i="11"/>
  <c r="C560" i="11"/>
  <c r="C753" i="11"/>
  <c r="D1554" i="11"/>
  <c r="D915" i="11"/>
  <c r="D1501" i="11"/>
  <c r="C1076" i="11"/>
  <c r="D1108" i="11"/>
  <c r="D1317" i="11"/>
  <c r="D1583" i="11"/>
  <c r="D2105" i="11"/>
  <c r="D2221" i="11"/>
  <c r="D1358" i="11"/>
  <c r="D1689" i="11"/>
  <c r="D1984" i="11"/>
  <c r="D1846" i="11"/>
  <c r="C2440" i="11"/>
  <c r="C398" i="11"/>
  <c r="D497" i="11"/>
  <c r="D1022" i="11"/>
  <c r="C1960" i="11"/>
  <c r="C2021" i="11"/>
  <c r="C2849" i="11"/>
  <c r="C2298" i="11"/>
  <c r="C732" i="11"/>
  <c r="D1965" i="11"/>
  <c r="C2097" i="11"/>
  <c r="C2814" i="11"/>
  <c r="C361" i="11"/>
  <c r="C519" i="11"/>
  <c r="C307" i="11"/>
  <c r="D1241" i="11"/>
  <c r="C982" i="11"/>
  <c r="D1074" i="11"/>
  <c r="C1482" i="11"/>
  <c r="C606" i="11"/>
  <c r="D1496" i="11"/>
  <c r="C892" i="11"/>
  <c r="C1388" i="11"/>
  <c r="C2123" i="11"/>
  <c r="D2513" i="11"/>
  <c r="C1050" i="11"/>
  <c r="D1612" i="11"/>
  <c r="D2613" i="11"/>
  <c r="C2603" i="11"/>
  <c r="D2840" i="11"/>
  <c r="D1212" i="11"/>
  <c r="C2852" i="11"/>
  <c r="D2852" i="11"/>
  <c r="D2822" i="11"/>
  <c r="C2822" i="11"/>
  <c r="C2783" i="11"/>
  <c r="D2783" i="11"/>
  <c r="D2701" i="11"/>
  <c r="C2701" i="11"/>
  <c r="D2691" i="11"/>
  <c r="C2691" i="11"/>
  <c r="D2617" i="11"/>
  <c r="C2617" i="11"/>
  <c r="C2587" i="11"/>
  <c r="D2587" i="11"/>
  <c r="D2539" i="11"/>
  <c r="C2539" i="11"/>
  <c r="D2437" i="11"/>
  <c r="C2437" i="11"/>
  <c r="D2413" i="11"/>
  <c r="C2413" i="11"/>
  <c r="C1777" i="11"/>
  <c r="D1777" i="11"/>
  <c r="C1768" i="11"/>
  <c r="D1768" i="11"/>
  <c r="D1759" i="11"/>
  <c r="C1759" i="11"/>
  <c r="D1730" i="11"/>
  <c r="C1730" i="11"/>
  <c r="C1713" i="11"/>
  <c r="D1713" i="11"/>
  <c r="C1681" i="11"/>
  <c r="D1681" i="11"/>
  <c r="C1609" i="11"/>
  <c r="D1609" i="11"/>
  <c r="D1542" i="11"/>
  <c r="C1542" i="11"/>
  <c r="D1488" i="11"/>
  <c r="C1488" i="11"/>
  <c r="C1372" i="11"/>
  <c r="D1372" i="11"/>
  <c r="D1170" i="11"/>
  <c r="C1170" i="11"/>
  <c r="D1153" i="11"/>
  <c r="C1153" i="11"/>
  <c r="D1137" i="11"/>
  <c r="C1137" i="11"/>
  <c r="D1121" i="11"/>
  <c r="C1121" i="11"/>
  <c r="C977" i="11"/>
  <c r="D977" i="11"/>
  <c r="D928" i="11"/>
  <c r="C928" i="11"/>
  <c r="C911" i="11"/>
  <c r="D911" i="11"/>
  <c r="C869" i="11"/>
  <c r="D869" i="11"/>
  <c r="D772" i="11"/>
  <c r="C772" i="11"/>
  <c r="C635" i="11"/>
  <c r="D635" i="11"/>
  <c r="D607" i="11"/>
  <c r="C607" i="11"/>
  <c r="D565" i="11"/>
  <c r="C565" i="11"/>
  <c r="D407" i="11"/>
  <c r="C407" i="11"/>
  <c r="C1266" i="11"/>
  <c r="D1266" i="11"/>
  <c r="D1182" i="11"/>
  <c r="C1182" i="11"/>
  <c r="D1105" i="11"/>
  <c r="C1105" i="11"/>
  <c r="D788" i="11"/>
  <c r="C788" i="11"/>
  <c r="D662" i="11"/>
  <c r="C662" i="11"/>
  <c r="D646" i="11"/>
  <c r="C646" i="11"/>
  <c r="D630" i="11"/>
  <c r="C630" i="11"/>
  <c r="C543" i="11"/>
  <c r="D543" i="11"/>
  <c r="C420" i="11"/>
  <c r="D420" i="11"/>
  <c r="D389" i="11"/>
  <c r="C389" i="11"/>
  <c r="D366" i="11"/>
  <c r="C366" i="11"/>
  <c r="C805" i="11"/>
  <c r="D805" i="11"/>
  <c r="C794" i="11"/>
  <c r="D794" i="11"/>
  <c r="D728" i="11"/>
  <c r="C728" i="11"/>
  <c r="D696" i="11"/>
  <c r="C696" i="11"/>
  <c r="C644" i="11"/>
  <c r="D644" i="11"/>
  <c r="C344" i="11"/>
  <c r="D344" i="11"/>
  <c r="C331" i="11"/>
  <c r="D331" i="11"/>
  <c r="D1020" i="11"/>
  <c r="C1020" i="11"/>
  <c r="D1186" i="11"/>
  <c r="C1186" i="11"/>
  <c r="D1258" i="11"/>
  <c r="C1258" i="11"/>
  <c r="C1508" i="11"/>
  <c r="D1508" i="11"/>
  <c r="C1575" i="11"/>
  <c r="D1575" i="11"/>
  <c r="D1666" i="11"/>
  <c r="C1666" i="11"/>
  <c r="C1748" i="11"/>
  <c r="D1748" i="11"/>
  <c r="D1780" i="11"/>
  <c r="C1780" i="11"/>
  <c r="D1896" i="11"/>
  <c r="C1896" i="11"/>
  <c r="C2083" i="11"/>
  <c r="D2083" i="11"/>
  <c r="C170" i="11"/>
  <c r="D779" i="11"/>
  <c r="D811" i="11"/>
  <c r="D843" i="11"/>
  <c r="D939" i="11"/>
  <c r="D971" i="11"/>
  <c r="D1035" i="11"/>
  <c r="C2820" i="11"/>
  <c r="D2820" i="11"/>
  <c r="C2763" i="11"/>
  <c r="D2763" i="11"/>
  <c r="D2733" i="11"/>
  <c r="C2733" i="11"/>
  <c r="D2699" i="11"/>
  <c r="C2699" i="11"/>
  <c r="D2489" i="11"/>
  <c r="C2489" i="11"/>
  <c r="D2469" i="11"/>
  <c r="C2469" i="11"/>
  <c r="C2435" i="11"/>
  <c r="D2435" i="11"/>
  <c r="C2387" i="11"/>
  <c r="D2387" i="11"/>
  <c r="D2341" i="11"/>
  <c r="C2341" i="11"/>
  <c r="C2322" i="11"/>
  <c r="D2322" i="11"/>
  <c r="C2291" i="11"/>
  <c r="D2291" i="11"/>
  <c r="C2258" i="11"/>
  <c r="D2258" i="11"/>
  <c r="C2227" i="11"/>
  <c r="D2227" i="11"/>
  <c r="C2194" i="11"/>
  <c r="D2194" i="11"/>
  <c r="C2163" i="11"/>
  <c r="D2163" i="11"/>
  <c r="C2130" i="11"/>
  <c r="D2130" i="11"/>
  <c r="C2099" i="11"/>
  <c r="D2099" i="11"/>
  <c r="C2066" i="11"/>
  <c r="D2066" i="11"/>
  <c r="C2035" i="11"/>
  <c r="D2035" i="11"/>
  <c r="C2002" i="11"/>
  <c r="D2002" i="11"/>
  <c r="C1971" i="11"/>
  <c r="D1971" i="11"/>
  <c r="C1939" i="11"/>
  <c r="D1939" i="11"/>
  <c r="D1903" i="11"/>
  <c r="C1903" i="11"/>
  <c r="D1860" i="11"/>
  <c r="C1860" i="11"/>
  <c r="D1775" i="11"/>
  <c r="C1775" i="11"/>
  <c r="C1757" i="11"/>
  <c r="D1757" i="11"/>
  <c r="C1711" i="11"/>
  <c r="D1711" i="11"/>
  <c r="C1679" i="11"/>
  <c r="D1679" i="11"/>
  <c r="D1667" i="11"/>
  <c r="C1667" i="11"/>
  <c r="D1607" i="11"/>
  <c r="C1607" i="11"/>
  <c r="C1568" i="11"/>
  <c r="D1568" i="11"/>
  <c r="C1368" i="11"/>
  <c r="D1368" i="11"/>
  <c r="C1166" i="11"/>
  <c r="D1166" i="11"/>
  <c r="D1150" i="11"/>
  <c r="C1150" i="11"/>
  <c r="D1134" i="11"/>
  <c r="C1134" i="11"/>
  <c r="D924" i="11"/>
  <c r="C924" i="11"/>
  <c r="D1246" i="11"/>
  <c r="C1246" i="11"/>
  <c r="C1213" i="11"/>
  <c r="D1213" i="11"/>
  <c r="D1180" i="11"/>
  <c r="C1180" i="11"/>
  <c r="D1118" i="11"/>
  <c r="C1118" i="11"/>
  <c r="D1068" i="11"/>
  <c r="C1068" i="11"/>
  <c r="D1026" i="11"/>
  <c r="C1026" i="11"/>
  <c r="C902" i="11"/>
  <c r="D902" i="11"/>
  <c r="C867" i="11"/>
  <c r="D867" i="11"/>
  <c r="D804" i="11"/>
  <c r="C804" i="11"/>
  <c r="C783" i="11"/>
  <c r="D783" i="11"/>
  <c r="D750" i="11"/>
  <c r="C750" i="11"/>
  <c r="D539" i="11"/>
  <c r="C539" i="11"/>
  <c r="C360" i="11"/>
  <c r="D360" i="11"/>
  <c r="D311" i="11"/>
  <c r="C311" i="11"/>
  <c r="C803" i="11"/>
  <c r="D803" i="11"/>
  <c r="D726" i="11"/>
  <c r="C726" i="11"/>
  <c r="D694" i="11"/>
  <c r="C694" i="11"/>
  <c r="D682" i="11"/>
  <c r="C682" i="11"/>
  <c r="D623" i="11"/>
  <c r="C623" i="11"/>
  <c r="C399" i="11"/>
  <c r="D399" i="11"/>
  <c r="D385" i="11"/>
  <c r="C385" i="11"/>
  <c r="C835" i="11"/>
  <c r="D835" i="11"/>
  <c r="C865" i="11"/>
  <c r="D865" i="11"/>
  <c r="C929" i="11"/>
  <c r="D929" i="11"/>
  <c r="D1004" i="11"/>
  <c r="C1004" i="11"/>
  <c r="D1460" i="11"/>
  <c r="C1460" i="11"/>
  <c r="D1562" i="11"/>
  <c r="C1562" i="11"/>
  <c r="C1624" i="11"/>
  <c r="D1624" i="11"/>
  <c r="C1647" i="11"/>
  <c r="D1647" i="11"/>
  <c r="D1839" i="11"/>
  <c r="C1839" i="11"/>
  <c r="C1884" i="11"/>
  <c r="D1884" i="11"/>
  <c r="C1900" i="11"/>
  <c r="D1900" i="11"/>
  <c r="C1923" i="11"/>
  <c r="D1923" i="11"/>
  <c r="C2051" i="11"/>
  <c r="D2051" i="11"/>
  <c r="C2707" i="11"/>
  <c r="D2707" i="11"/>
  <c r="D2683" i="11"/>
  <c r="C2683" i="11"/>
  <c r="D2649" i="11"/>
  <c r="C2649" i="11"/>
  <c r="C2559" i="11"/>
  <c r="D2559" i="11"/>
  <c r="D2433" i="11"/>
  <c r="C2433" i="11"/>
  <c r="C2370" i="11"/>
  <c r="D2370" i="11"/>
  <c r="D2319" i="11"/>
  <c r="C2319" i="11"/>
  <c r="D2255" i="11"/>
  <c r="C2255" i="11"/>
  <c r="D2191" i="11"/>
  <c r="C2191" i="11"/>
  <c r="D2127" i="11"/>
  <c r="C2127" i="11"/>
  <c r="D2063" i="11"/>
  <c r="C2063" i="11"/>
  <c r="D1999" i="11"/>
  <c r="C1999" i="11"/>
  <c r="C1901" i="11"/>
  <c r="D1901" i="11"/>
  <c r="D1875" i="11"/>
  <c r="C1875" i="11"/>
  <c r="D1843" i="11"/>
  <c r="C1843" i="11"/>
  <c r="D1832" i="11"/>
  <c r="C1832" i="11"/>
  <c r="C1773" i="11"/>
  <c r="D1773" i="11"/>
  <c r="D1763" i="11"/>
  <c r="C1763" i="11"/>
  <c r="D1688" i="11"/>
  <c r="C1688" i="11"/>
  <c r="C1677" i="11"/>
  <c r="D1677" i="11"/>
  <c r="C1665" i="11"/>
  <c r="D1665" i="11"/>
  <c r="C1536" i="11"/>
  <c r="D1536" i="11"/>
  <c r="C1424" i="11"/>
  <c r="D1424" i="11"/>
  <c r="C1309" i="11"/>
  <c r="D1309" i="11"/>
  <c r="C1046" i="11"/>
  <c r="D1046" i="11"/>
  <c r="C1025" i="11"/>
  <c r="D1025" i="11"/>
  <c r="C1009" i="11"/>
  <c r="D1009" i="11"/>
  <c r="D898" i="11"/>
  <c r="C898" i="11"/>
  <c r="D822" i="11"/>
  <c r="C822" i="11"/>
  <c r="D756" i="11"/>
  <c r="C756" i="11"/>
  <c r="D619" i="11"/>
  <c r="C619" i="11"/>
  <c r="C351" i="11"/>
  <c r="D351" i="11"/>
  <c r="C315" i="11"/>
  <c r="D315" i="11"/>
  <c r="D1516" i="11"/>
  <c r="C1516" i="11"/>
  <c r="D1498" i="11"/>
  <c r="C1498" i="11"/>
  <c r="C1416" i="11"/>
  <c r="D1416" i="11"/>
  <c r="D1210" i="11"/>
  <c r="C1210" i="11"/>
  <c r="C1178" i="11"/>
  <c r="D1178" i="11"/>
  <c r="D1142" i="11"/>
  <c r="C1142" i="11"/>
  <c r="C1078" i="11"/>
  <c r="D1078" i="11"/>
  <c r="D1066" i="11"/>
  <c r="C1066" i="11"/>
  <c r="D1052" i="11"/>
  <c r="C1052" i="11"/>
  <c r="D1024" i="11"/>
  <c r="C1024" i="11"/>
  <c r="C918" i="11"/>
  <c r="D918" i="11"/>
  <c r="D896" i="11"/>
  <c r="C896" i="11"/>
  <c r="D760" i="11"/>
  <c r="C760" i="11"/>
  <c r="D724" i="11"/>
  <c r="C724" i="11"/>
  <c r="C801" i="11"/>
  <c r="D801" i="11"/>
  <c r="C706" i="11"/>
  <c r="D706" i="11"/>
  <c r="C692" i="11"/>
  <c r="D692" i="11"/>
  <c r="C680" i="11"/>
  <c r="D680" i="11"/>
  <c r="D666" i="11"/>
  <c r="C666" i="11"/>
  <c r="D617" i="11"/>
  <c r="C617" i="11"/>
  <c r="C600" i="11"/>
  <c r="D600" i="11"/>
  <c r="D586" i="11"/>
  <c r="C586" i="11"/>
  <c r="C322" i="11"/>
  <c r="D322" i="11"/>
  <c r="C324" i="11"/>
  <c r="D324" i="11"/>
  <c r="D523" i="11"/>
  <c r="C523" i="11"/>
  <c r="D908" i="11"/>
  <c r="C908" i="11"/>
  <c r="D960" i="11"/>
  <c r="C960" i="11"/>
  <c r="D1008" i="11"/>
  <c r="C1008" i="11"/>
  <c r="D1356" i="11"/>
  <c r="C1356" i="11"/>
  <c r="D1520" i="11"/>
  <c r="C1520" i="11"/>
  <c r="C1588" i="11"/>
  <c r="D1588" i="11"/>
  <c r="C1629" i="11"/>
  <c r="D1629" i="11"/>
  <c r="D1650" i="11"/>
  <c r="C1650" i="11"/>
  <c r="D1678" i="11"/>
  <c r="C1678" i="11"/>
  <c r="D1732" i="11"/>
  <c r="C1732" i="11"/>
  <c r="D1762" i="11"/>
  <c r="C1762" i="11"/>
  <c r="D1790" i="11"/>
  <c r="C1790" i="11"/>
  <c r="D1864" i="11"/>
  <c r="C1864" i="11"/>
  <c r="D1887" i="11"/>
  <c r="C1887" i="11"/>
  <c r="D1906" i="11"/>
  <c r="C1906" i="11"/>
  <c r="C1947" i="11"/>
  <c r="D1947" i="11"/>
  <c r="C2034" i="11"/>
  <c r="D2034" i="11"/>
  <c r="D2111" i="11"/>
  <c r="C2111" i="11"/>
  <c r="C110" i="11"/>
  <c r="D795" i="11"/>
  <c r="D827" i="11"/>
  <c r="D198" i="11"/>
  <c r="D216" i="11"/>
  <c r="C2720" i="11"/>
  <c r="D2720" i="11"/>
  <c r="D2693" i="11"/>
  <c r="C2693" i="11"/>
  <c r="D2667" i="11"/>
  <c r="C2667" i="11"/>
  <c r="C2578" i="11"/>
  <c r="D2578" i="11"/>
  <c r="D2521" i="11"/>
  <c r="C2521" i="11"/>
  <c r="C2459" i="11"/>
  <c r="D2459" i="11"/>
  <c r="C2431" i="11"/>
  <c r="D2431" i="11"/>
  <c r="C2368" i="11"/>
  <c r="D2368" i="11"/>
  <c r="D1826" i="11"/>
  <c r="C1826" i="11"/>
  <c r="D1779" i="11"/>
  <c r="C1779" i="11"/>
  <c r="C1761" i="11"/>
  <c r="D1761" i="11"/>
  <c r="D1736" i="11"/>
  <c r="C1736" i="11"/>
  <c r="D1662" i="11"/>
  <c r="C1662" i="11"/>
  <c r="D1600" i="11"/>
  <c r="C1600" i="11"/>
  <c r="C1545" i="11"/>
  <c r="D1545" i="11"/>
  <c r="C1341" i="11"/>
  <c r="D1341" i="11"/>
  <c r="C1174" i="11"/>
  <c r="D1174" i="11"/>
  <c r="D1158" i="11"/>
  <c r="C1158" i="11"/>
  <c r="C802" i="11"/>
  <c r="D802" i="11"/>
  <c r="D693" i="11"/>
  <c r="C693" i="11"/>
  <c r="D570" i="11"/>
  <c r="C570" i="11"/>
  <c r="D345" i="11"/>
  <c r="C345" i="11"/>
  <c r="C1492" i="11"/>
  <c r="D1492" i="11"/>
  <c r="D1444" i="11"/>
  <c r="C1444" i="11"/>
  <c r="C1396" i="11"/>
  <c r="D1396" i="11"/>
  <c r="D1364" i="11"/>
  <c r="C1364" i="11"/>
  <c r="D1330" i="11"/>
  <c r="C1330" i="11"/>
  <c r="C1207" i="11"/>
  <c r="D1207" i="11"/>
  <c r="C950" i="11"/>
  <c r="D950" i="11"/>
  <c r="C847" i="11"/>
  <c r="D847" i="11"/>
  <c r="C815" i="11"/>
  <c r="D815" i="11"/>
  <c r="C757" i="11"/>
  <c r="D757" i="11"/>
  <c r="D740" i="11"/>
  <c r="C740" i="11"/>
  <c r="D650" i="11"/>
  <c r="C650" i="11"/>
  <c r="D582" i="11"/>
  <c r="C582" i="11"/>
  <c r="D566" i="11"/>
  <c r="C566" i="11"/>
  <c r="C371" i="11"/>
  <c r="D371" i="11"/>
  <c r="D677" i="11"/>
  <c r="C677" i="11"/>
  <c r="D598" i="11"/>
  <c r="C598" i="11"/>
  <c r="D531" i="11"/>
  <c r="C531" i="11"/>
  <c r="D335" i="11"/>
  <c r="C335" i="11"/>
  <c r="D318" i="11"/>
  <c r="C318" i="11"/>
  <c r="C346" i="11"/>
  <c r="D346" i="11"/>
  <c r="D303" i="11"/>
  <c r="C303" i="11"/>
  <c r="C628" i="11"/>
  <c r="D628" i="11"/>
  <c r="C913" i="11"/>
  <c r="D913" i="11"/>
  <c r="D1526" i="11"/>
  <c r="C1526" i="11"/>
  <c r="C1593" i="11"/>
  <c r="D1593" i="11"/>
  <c r="C1632" i="11"/>
  <c r="D1632" i="11"/>
  <c r="C1741" i="11"/>
  <c r="D1741" i="11"/>
  <c r="C1772" i="11"/>
  <c r="D1772" i="11"/>
  <c r="D1796" i="11"/>
  <c r="C1796" i="11"/>
  <c r="D1892" i="11"/>
  <c r="C1892" i="11"/>
  <c r="D2079" i="11"/>
  <c r="C2079" i="11"/>
  <c r="C189" i="11"/>
  <c r="C89" i="11"/>
  <c r="D247" i="11"/>
  <c r="C247" i="11"/>
  <c r="D263" i="11"/>
  <c r="C263" i="11"/>
  <c r="D279" i="11"/>
  <c r="C279" i="11"/>
  <c r="D295" i="11"/>
  <c r="C295" i="11"/>
  <c r="C182" i="11"/>
  <c r="D182" i="11"/>
  <c r="C219" i="11"/>
  <c r="D219" i="11"/>
  <c r="C227" i="11"/>
  <c r="D227" i="11"/>
  <c r="D235" i="11"/>
  <c r="C235" i="11"/>
  <c r="D251" i="11"/>
  <c r="C251" i="11"/>
  <c r="D267" i="11"/>
  <c r="C267" i="11"/>
  <c r="D283" i="11"/>
  <c r="C283" i="11"/>
  <c r="D239" i="11"/>
  <c r="C239" i="11"/>
  <c r="D255" i="11"/>
  <c r="C255" i="11"/>
  <c r="D271" i="11"/>
  <c r="C271" i="11"/>
  <c r="D287" i="11"/>
  <c r="C287" i="11"/>
  <c r="D223" i="11"/>
  <c r="C223" i="11"/>
  <c r="D231" i="11"/>
  <c r="C231" i="11"/>
  <c r="D243" i="11"/>
  <c r="C243" i="11"/>
  <c r="D259" i="11"/>
  <c r="C259" i="11"/>
  <c r="D275" i="11"/>
  <c r="C275" i="11"/>
  <c r="D291" i="11"/>
  <c r="C291" i="11"/>
  <c r="C203" i="11"/>
  <c r="D203" i="11"/>
  <c r="C173" i="11"/>
  <c r="D173" i="11"/>
  <c r="C127" i="11"/>
  <c r="D127" i="11"/>
  <c r="D62" i="11"/>
  <c r="C62" i="11"/>
  <c r="D144" i="11"/>
  <c r="C144" i="11"/>
  <c r="D106" i="11"/>
  <c r="C106" i="11"/>
  <c r="D42" i="11"/>
  <c r="C42" i="11"/>
  <c r="C115" i="11"/>
  <c r="D115" i="11"/>
  <c r="C83" i="11"/>
  <c r="D83" i="11"/>
  <c r="C51" i="11"/>
  <c r="D51" i="11"/>
  <c r="D19" i="11"/>
  <c r="C19" i="11"/>
  <c r="C92" i="11"/>
  <c r="D92" i="11"/>
  <c r="C76" i="11"/>
  <c r="D76" i="11"/>
  <c r="C44" i="11"/>
  <c r="D44" i="11"/>
  <c r="C61" i="11"/>
  <c r="D61" i="11"/>
  <c r="D142" i="11"/>
  <c r="C142" i="11"/>
  <c r="D186" i="11"/>
  <c r="C186" i="11"/>
  <c r="C211" i="11"/>
  <c r="D211" i="11"/>
  <c r="C195" i="11"/>
  <c r="D195" i="11"/>
  <c r="D179" i="11"/>
  <c r="C179" i="11"/>
  <c r="C159" i="11"/>
  <c r="D159" i="11"/>
  <c r="C141" i="11"/>
  <c r="D141" i="11"/>
  <c r="C121" i="11"/>
  <c r="D121" i="11"/>
  <c r="C69" i="11"/>
  <c r="D69" i="11"/>
  <c r="C33" i="11"/>
  <c r="D33" i="11"/>
  <c r="D78" i="11"/>
  <c r="C78" i="11"/>
  <c r="C21" i="11"/>
  <c r="D21" i="11"/>
  <c r="C168" i="11"/>
  <c r="D168" i="11"/>
  <c r="C152" i="11"/>
  <c r="D152" i="11"/>
  <c r="D136" i="11"/>
  <c r="C136" i="11"/>
  <c r="C119" i="11"/>
  <c r="D119" i="11"/>
  <c r="D90" i="11"/>
  <c r="C90" i="11"/>
  <c r="D58" i="11"/>
  <c r="C58" i="11"/>
  <c r="D26" i="11"/>
  <c r="C26" i="11"/>
  <c r="C15" i="11"/>
  <c r="D15" i="11"/>
  <c r="D107" i="11"/>
  <c r="C107" i="11"/>
  <c r="C91" i="11"/>
  <c r="D91" i="11"/>
  <c r="D75" i="11"/>
  <c r="C75" i="11"/>
  <c r="D59" i="11"/>
  <c r="C59" i="11"/>
  <c r="D43" i="11"/>
  <c r="C43" i="11"/>
  <c r="D27" i="11"/>
  <c r="C27" i="11"/>
  <c r="C116" i="11"/>
  <c r="D116" i="11"/>
  <c r="C100" i="11"/>
  <c r="D100" i="11"/>
  <c r="C84" i="11"/>
  <c r="D84" i="11"/>
  <c r="C68" i="11"/>
  <c r="D68" i="11"/>
  <c r="C52" i="11"/>
  <c r="D52" i="11"/>
  <c r="C36" i="11"/>
  <c r="D36" i="11"/>
  <c r="C20" i="11"/>
  <c r="D20" i="11"/>
  <c r="C137" i="11"/>
  <c r="D137" i="11"/>
  <c r="C149" i="11"/>
  <c r="D149" i="11"/>
  <c r="C161" i="11"/>
  <c r="D161" i="11"/>
  <c r="D193" i="11"/>
  <c r="C193" i="11"/>
  <c r="C12" i="11"/>
  <c r="C191" i="11"/>
  <c r="D191" i="11"/>
  <c r="C175" i="11"/>
  <c r="D175" i="11"/>
  <c r="C157" i="11"/>
  <c r="D157" i="11"/>
  <c r="D134" i="11"/>
  <c r="C134" i="11"/>
  <c r="C101" i="11"/>
  <c r="D101" i="11"/>
  <c r="C65" i="11"/>
  <c r="D65" i="11"/>
  <c r="D30" i="11"/>
  <c r="C30" i="11"/>
  <c r="C53" i="11"/>
  <c r="D53" i="11"/>
  <c r="C16" i="11"/>
  <c r="D16" i="11"/>
  <c r="C164" i="11"/>
  <c r="D164" i="11"/>
  <c r="C148" i="11"/>
  <c r="D148" i="11"/>
  <c r="C132" i="11"/>
  <c r="D132" i="11"/>
  <c r="D114" i="11"/>
  <c r="C114" i="11"/>
  <c r="D82" i="11"/>
  <c r="C82" i="11"/>
  <c r="D50" i="11"/>
  <c r="C50" i="11"/>
  <c r="D18" i="11"/>
  <c r="C18" i="11"/>
  <c r="C13" i="11"/>
  <c r="D13" i="11"/>
  <c r="C103" i="11"/>
  <c r="D103" i="11"/>
  <c r="C87" i="11"/>
  <c r="D87" i="11"/>
  <c r="C71" i="11"/>
  <c r="D71" i="11"/>
  <c r="C55" i="11"/>
  <c r="D55" i="11"/>
  <c r="C39" i="11"/>
  <c r="D39" i="11"/>
  <c r="C23" i="11"/>
  <c r="D23" i="11"/>
  <c r="C112" i="11"/>
  <c r="D112" i="11"/>
  <c r="C96" i="11"/>
  <c r="D96" i="11"/>
  <c r="C80" i="11"/>
  <c r="D80" i="11"/>
  <c r="C64" i="11"/>
  <c r="D64" i="11"/>
  <c r="C48" i="11"/>
  <c r="D48" i="11"/>
  <c r="C32" i="11"/>
  <c r="D32" i="11"/>
  <c r="D54" i="11"/>
  <c r="C54" i="11"/>
  <c r="C123" i="11"/>
  <c r="D123" i="11"/>
  <c r="C184" i="11"/>
  <c r="D184" i="11"/>
  <c r="D207" i="11"/>
  <c r="C207" i="11"/>
  <c r="C187" i="11"/>
  <c r="D187" i="11"/>
  <c r="D150" i="11"/>
  <c r="C150" i="11"/>
  <c r="C97" i="11"/>
  <c r="D97" i="11"/>
  <c r="C14" i="11"/>
  <c r="D14" i="11"/>
  <c r="C49" i="11"/>
  <c r="D49" i="11"/>
  <c r="D160" i="11"/>
  <c r="C160" i="11"/>
  <c r="D128" i="11"/>
  <c r="C128" i="11"/>
  <c r="D74" i="11"/>
  <c r="C74" i="11"/>
  <c r="H13" i="11"/>
  <c r="H15" i="11"/>
  <c r="H12" i="11"/>
  <c r="D99" i="11"/>
  <c r="C99" i="11"/>
  <c r="C67" i="11"/>
  <c r="D67" i="11"/>
  <c r="C35" i="11"/>
  <c r="D35" i="11"/>
  <c r="C108" i="11"/>
  <c r="D108" i="11"/>
  <c r="C60" i="11"/>
  <c r="D60" i="11"/>
  <c r="C28" i="11"/>
  <c r="D28" i="11"/>
  <c r="D130" i="11"/>
  <c r="C130" i="11"/>
  <c r="D154" i="11"/>
  <c r="C154" i="11"/>
  <c r="C200" i="11"/>
  <c r="D200" i="11"/>
  <c r="D199" i="11"/>
  <c r="C199" i="11"/>
  <c r="D183" i="11"/>
  <c r="C183" i="11"/>
  <c r="D166" i="11"/>
  <c r="C166" i="11"/>
  <c r="D143" i="11"/>
  <c r="C143" i="11"/>
  <c r="C125" i="11"/>
  <c r="D125" i="11"/>
  <c r="D94" i="11"/>
  <c r="C94" i="11"/>
  <c r="C37" i="11"/>
  <c r="D37" i="11"/>
  <c r="C81" i="11"/>
  <c r="D81" i="11"/>
  <c r="D46" i="11"/>
  <c r="C46" i="11"/>
  <c r="C172" i="11"/>
  <c r="D172" i="11"/>
  <c r="C156" i="11"/>
  <c r="D156" i="11"/>
  <c r="C140" i="11"/>
  <c r="D140" i="11"/>
  <c r="D124" i="11"/>
  <c r="C124" i="11"/>
  <c r="D98" i="11"/>
  <c r="C98" i="11"/>
  <c r="D66" i="11"/>
  <c r="C66" i="11"/>
  <c r="D34" i="11"/>
  <c r="C34" i="11"/>
  <c r="C17" i="11"/>
  <c r="D17" i="11"/>
  <c r="C111" i="11"/>
  <c r="D111" i="11"/>
  <c r="C95" i="11"/>
  <c r="D95" i="11"/>
  <c r="C79" i="11"/>
  <c r="D79" i="11"/>
  <c r="C63" i="11"/>
  <c r="D63" i="11"/>
  <c r="C47" i="11"/>
  <c r="D47" i="11"/>
  <c r="C31" i="11"/>
  <c r="D31" i="11"/>
  <c r="D120" i="11"/>
  <c r="C120" i="11"/>
  <c r="C104" i="11"/>
  <c r="D104" i="11"/>
  <c r="C88" i="11"/>
  <c r="D88" i="11"/>
  <c r="C72" i="11"/>
  <c r="D72" i="11"/>
  <c r="C56" i="11"/>
  <c r="D56" i="11"/>
  <c r="C40" i="11"/>
  <c r="D40" i="11"/>
  <c r="C24" i="11"/>
  <c r="D24" i="11"/>
  <c r="D102" i="11"/>
  <c r="C102" i="11"/>
  <c r="D135" i="11"/>
  <c r="C135" i="11"/>
  <c r="D147" i="11"/>
  <c r="C147" i="11"/>
  <c r="D177" i="11"/>
  <c r="C177" i="11"/>
  <c r="C202" i="11"/>
  <c r="D202" i="11"/>
  <c r="D215" i="11"/>
  <c r="C215" i="11"/>
  <c r="G21" i="10" l="1"/>
  <c r="H22" i="10" s="1"/>
  <c r="G19" i="10"/>
  <c r="H14" i="10"/>
  <c r="I15" i="10" s="1"/>
  <c r="H12" i="10"/>
  <c r="G23" i="3"/>
  <c r="G9" i="3"/>
  <c r="H10" i="3" s="1"/>
  <c r="G15" i="9"/>
  <c r="H16" i="9" s="1"/>
  <c r="I17" i="9" s="1"/>
  <c r="J18" i="9" s="1"/>
  <c r="K19" i="9" s="1"/>
  <c r="G13" i="9"/>
  <c r="G15" i="4"/>
  <c r="H16" i="4" s="1"/>
  <c r="I17" i="4" s="1"/>
  <c r="G13" i="4"/>
  <c r="H22" i="4"/>
  <c r="H20" i="4"/>
  <c r="G21" i="3"/>
  <c r="H22" i="3" s="1"/>
  <c r="G13" i="3"/>
  <c r="H14" i="3" s="1"/>
  <c r="G17" i="3"/>
  <c r="H18" i="3" s="1"/>
  <c r="E3" i="11"/>
  <c r="H14" i="11"/>
  <c r="H3" i="11" s="1"/>
  <c r="H16" i="11"/>
  <c r="H2" i="11" s="1"/>
  <c r="E2" i="11"/>
  <c r="I13" i="10" l="1"/>
  <c r="J14" i="10" s="1"/>
  <c r="I11" i="10"/>
  <c r="H20" i="10"/>
  <c r="I21" i="10" s="1"/>
  <c r="H18" i="10"/>
  <c r="I21" i="4"/>
  <c r="H14" i="9"/>
  <c r="I15" i="9" s="1"/>
  <c r="J16" i="9" s="1"/>
  <c r="K17" i="9" s="1"/>
  <c r="L18" i="9" s="1"/>
  <c r="H12" i="9"/>
  <c r="H16" i="3"/>
  <c r="I17" i="3" s="1"/>
  <c r="H14" i="4"/>
  <c r="I15" i="4" s="1"/>
  <c r="J16" i="4" s="1"/>
  <c r="H12" i="4"/>
  <c r="I19" i="4"/>
  <c r="J20" i="4" s="1"/>
  <c r="H20" i="3"/>
  <c r="I21" i="3" s="1"/>
  <c r="H12" i="3"/>
  <c r="J12" i="10" l="1"/>
  <c r="K13" i="10" s="1"/>
  <c r="I19" i="10"/>
  <c r="J20" i="10" s="1"/>
  <c r="I17" i="10"/>
  <c r="I13" i="9"/>
  <c r="J14" i="9" s="1"/>
  <c r="K15" i="9" s="1"/>
  <c r="L16" i="9" s="1"/>
  <c r="M17" i="9" s="1"/>
  <c r="I11" i="9"/>
  <c r="J12" i="9" s="1"/>
  <c r="K13" i="9" s="1"/>
  <c r="L14" i="9" s="1"/>
  <c r="M15" i="9" s="1"/>
  <c r="N16" i="9" s="1"/>
  <c r="B18" i="1" s="1"/>
  <c r="J18" i="4"/>
  <c r="K19" i="4" s="1"/>
  <c r="I13" i="4"/>
  <c r="J14" i="4" s="1"/>
  <c r="K15" i="4" s="1"/>
  <c r="I11" i="4"/>
  <c r="J12" i="4" s="1"/>
  <c r="K13" i="4" s="1"/>
  <c r="L14" i="4" s="1"/>
  <c r="I15" i="3"/>
  <c r="J16" i="3" s="1"/>
  <c r="K17" i="4"/>
  <c r="L18" i="4" s="1"/>
  <c r="I13" i="3"/>
  <c r="I11" i="3"/>
  <c r="J12" i="3" s="1"/>
  <c r="I19" i="3"/>
  <c r="B7" i="1"/>
  <c r="J18" i="10" l="1"/>
  <c r="K19" i="10" s="1"/>
  <c r="J16" i="10"/>
  <c r="J14" i="3"/>
  <c r="K15" i="3" s="1"/>
  <c r="K13" i="3"/>
  <c r="L14" i="3" s="1"/>
  <c r="L16" i="4"/>
  <c r="M17" i="4" s="1"/>
  <c r="J20" i="3"/>
  <c r="J18" i="3"/>
  <c r="B8" i="1"/>
  <c r="K17" i="10" l="1"/>
  <c r="L18" i="10" s="1"/>
  <c r="K15" i="10"/>
  <c r="M15" i="4"/>
  <c r="N16" i="4" s="1"/>
  <c r="B14" i="1" s="1"/>
  <c r="K19" i="3"/>
  <c r="K17" i="3"/>
  <c r="L16" i="10" l="1"/>
  <c r="M17" i="10" s="1"/>
  <c r="L14" i="10"/>
  <c r="M15" i="10" s="1"/>
  <c r="N16" i="10" s="1"/>
  <c r="B19" i="1" s="1"/>
  <c r="L18" i="3"/>
  <c r="L16" i="3"/>
  <c r="B11" i="1"/>
  <c r="M17" i="3" l="1"/>
  <c r="M15" i="3"/>
  <c r="N16" i="3" s="1"/>
  <c r="B13" i="1" s="1"/>
</calcChain>
</file>

<file path=xl/sharedStrings.xml><?xml version="1.0" encoding="utf-8"?>
<sst xmlns="http://schemas.openxmlformats.org/spreadsheetml/2006/main" count="55" uniqueCount="52">
  <si>
    <t># periodos</t>
  </si>
  <si>
    <t>q</t>
  </si>
  <si>
    <t>u</t>
  </si>
  <si>
    <t>d</t>
  </si>
  <si>
    <t>Esperanza put en T</t>
  </si>
  <si>
    <t>Esperanza call en T</t>
  </si>
  <si>
    <t>Precio del ejercicio</t>
  </si>
  <si>
    <t>Volatilidad σ</t>
  </si>
  <si>
    <t>Tasa libre de riesgo r</t>
  </si>
  <si>
    <t>INGRESOS, O TC, DIVISAS</t>
  </si>
  <si>
    <t>N</t>
  </si>
  <si>
    <t>T</t>
  </si>
  <si>
    <t>PUT EUROPEO (u y d)</t>
  </si>
  <si>
    <t>CALL EUROPEO (u y d)</t>
  </si>
  <si>
    <t>PUT EUROPEO(backwards)</t>
  </si>
  <si>
    <t>CALL EUROPEO (backwards)</t>
  </si>
  <si>
    <t>Tiempo</t>
  </si>
  <si>
    <t>Payoff Call</t>
  </si>
  <si>
    <t>Payoff Put</t>
  </si>
  <si>
    <t>Esperanzas parciales de put</t>
  </si>
  <si>
    <t>Esperanzas parciales de call</t>
  </si>
  <si>
    <t>St</t>
  </si>
  <si>
    <t xml:space="preserve">Put </t>
  </si>
  <si>
    <t>Call</t>
  </si>
  <si>
    <t>Aplhas call</t>
  </si>
  <si>
    <t>Betas call</t>
  </si>
  <si>
    <t>Aplhasput</t>
  </si>
  <si>
    <t>Betas put</t>
  </si>
  <si>
    <t>Put Americana</t>
  </si>
  <si>
    <t>Call Americano</t>
  </si>
  <si>
    <t>K-St</t>
  </si>
  <si>
    <t>PUT AMERICANA</t>
  </si>
  <si>
    <t>CALL AERICANA</t>
  </si>
  <si>
    <t>N(-d2)</t>
  </si>
  <si>
    <t>N(-d1)</t>
  </si>
  <si>
    <t>N(d2)</t>
  </si>
  <si>
    <t>N(d1)</t>
  </si>
  <si>
    <t>d2</t>
  </si>
  <si>
    <t>d1</t>
  </si>
  <si>
    <t>PAYOFFS CALL</t>
  </si>
  <si>
    <t>PAYOFFS PUT</t>
  </si>
  <si>
    <t>Montecarlo</t>
  </si>
  <si>
    <t>delta</t>
  </si>
  <si>
    <t>r</t>
  </si>
  <si>
    <t>PRECIO CALL</t>
  </si>
  <si>
    <t>σ</t>
  </si>
  <si>
    <t>PRECIO PUT</t>
  </si>
  <si>
    <t>k</t>
  </si>
  <si>
    <t>B&amp;S</t>
  </si>
  <si>
    <t>MONTECARLO</t>
  </si>
  <si>
    <t>So</t>
  </si>
  <si>
    <t>Precio del Subyacente hoy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</si>
</sst>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1"/>
        <bgColor indexed="64"/>
      </patternFill>
    </fill>
  </fills>
  <borders count="6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4" borderId="0" xfId="0" applyFont="1" applyFill="1"/>
    <xf numFmtId="0" fontId="3" fillId="4" borderId="0" xfId="0" applyFont="1" applyFill="1"/>
    <xf numFmtId="0" fontId="0" fillId="2" borderId="1" xfId="0" applyFill="1" applyBorder="1"/>
    <xf numFmtId="0" fontId="0" fillId="3" borderId="2" xfId="0" applyFill="1" applyBorder="1"/>
    <xf numFmtId="0" fontId="1" fillId="2" borderId="3" xfId="0" applyFont="1" applyFill="1" applyBorder="1"/>
    <xf numFmtId="0" fontId="0" fillId="3" borderId="4" xfId="0" applyFill="1" applyBorder="1"/>
    <xf numFmtId="0" fontId="6" fillId="2" borderId="5" xfId="0" applyFont="1" applyFill="1" applyBorder="1"/>
    <xf numFmtId="0" fontId="5" fillId="3" borderId="5" xfId="0" applyFont="1" applyFill="1" applyBorder="1"/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wrapText="1"/>
    </xf>
    <xf numFmtId="0" fontId="0" fillId="0" borderId="0" xfId="0" applyAlignment="1">
      <alignment wrapText="1"/>
    </xf>
    <xf numFmtId="0" fontId="0" fillId="5" borderId="0" xfId="0" applyFill="1"/>
    <xf numFmtId="0" fontId="1" fillId="2" borderId="1" xfId="0" applyFont="1" applyFill="1" applyBorder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</xdr:row>
          <xdr:rowOff>123825</xdr:rowOff>
        </xdr:from>
        <xdr:to>
          <xdr:col>1</xdr:col>
          <xdr:colOff>0</xdr:colOff>
          <xdr:row>22</xdr:row>
          <xdr:rowOff>47625</xdr:rowOff>
        </xdr:to>
        <xdr:sp macro="" textlink="">
          <xdr:nvSpPr>
            <xdr:cNvPr id="1025" name="Button 1" descr="OPCION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VALUAR OPCIÓN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22</xdr:row>
          <xdr:rowOff>123825</xdr:rowOff>
        </xdr:from>
        <xdr:to>
          <xdr:col>0</xdr:col>
          <xdr:colOff>1590675</xdr:colOff>
          <xdr:row>24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hoja</a:t>
              </a:r>
            </a:p>
            <a:p>
              <a:pPr algn="ctr" rtl="0">
                <a:defRPr sz="1000"/>
              </a:pPr>
              <a:endParaRPr lang="es-MX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CC67"/>
  <sheetViews>
    <sheetView tabSelected="1" zoomScale="85" zoomScaleNormal="85" workbookViewId="0">
      <selection activeCell="D8" sqref="D8"/>
    </sheetView>
  </sheetViews>
  <sheetFormatPr defaultColWidth="11.42578125" defaultRowHeight="15" x14ac:dyDescent="0.25"/>
  <cols>
    <col min="1" max="1" width="25.140625" bestFit="1" customWidth="1"/>
    <col min="9" max="9" width="13" customWidth="1"/>
    <col min="10" max="10" width="10.85546875" customWidth="1"/>
  </cols>
  <sheetData>
    <row r="1" spans="1:2109" s="12" customFormat="1" x14ac:dyDescent="0.25">
      <c r="A1" s="11" t="s">
        <v>0</v>
      </c>
      <c r="B1" s="11">
        <f>B16/B17</f>
        <v>12</v>
      </c>
      <c r="C1" t="s">
        <v>16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 t="s">
        <v>17</v>
      </c>
      <c r="Q1" t="s">
        <v>18</v>
      </c>
      <c r="R1" t="s">
        <v>19</v>
      </c>
      <c r="S1" t="s">
        <v>20</v>
      </c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</row>
    <row r="2" spans="1:2109" x14ac:dyDescent="0.25">
      <c r="A2" s="3" t="s">
        <v>51</v>
      </c>
      <c r="B2" s="4">
        <v>42970</v>
      </c>
    </row>
    <row r="3" spans="1:2109" x14ac:dyDescent="0.25">
      <c r="A3" s="3" t="s">
        <v>6</v>
      </c>
      <c r="B3" s="4">
        <v>40000</v>
      </c>
      <c r="O3">
        <f>$B$2*($B$6^(12))*($B$7^(0))</f>
        <v>60758.826223719829</v>
      </c>
      <c r="P3">
        <f>MAX($O$3-$B$3,0)</f>
        <v>20758.826223719829</v>
      </c>
      <c r="Q3">
        <f>MAX($B$3-$O$3,0)</f>
        <v>0</v>
      </c>
      <c r="R3">
        <f>1*$B$8^($B$1 -0) * (1 - $B$8)^0*$Q$3</f>
        <v>0</v>
      </c>
      <c r="S3">
        <f>1*$B$8^($B$1 -0) * (1 - $B$8)^0*$P$3</f>
        <v>20.693995204071946</v>
      </c>
    </row>
    <row r="4" spans="1:2109" x14ac:dyDescent="0.25">
      <c r="A4" s="3" t="s">
        <v>7</v>
      </c>
      <c r="B4" s="4">
        <v>0.1</v>
      </c>
      <c r="N4">
        <f>$B$2*($B$6^(11))*($B$7^(0))</f>
        <v>59029.94431045137</v>
      </c>
    </row>
    <row r="5" spans="1:2109" ht="15.75" thickBot="1" x14ac:dyDescent="0.3">
      <c r="A5" s="5" t="s">
        <v>8</v>
      </c>
      <c r="B5" s="6">
        <v>4.8000000000000001E-2</v>
      </c>
      <c r="M5">
        <f>$B$2*($B$6^(10))*($B$7^(0))</f>
        <v>57350.257433621256</v>
      </c>
      <c r="O5">
        <f>$B$2*($B$6^(11))*($B$7^(1))</f>
        <v>57350.257433621249</v>
      </c>
      <c r="P5">
        <f>MAX($O$5-$B$3,0)</f>
        <v>17350.257433621249</v>
      </c>
      <c r="Q5">
        <f>MAX($B$3-$O$5,0)</f>
        <v>0</v>
      </c>
      <c r="R5">
        <f>12*$B$8^($B$1 -1) * (1 - $B$8)^1*$Q$5</f>
        <v>0</v>
      </c>
      <c r="S5">
        <f>12*$B$8^($B$1 -1) * (1 - $B$8)^1*$P$5</f>
        <v>161.63033607004931</v>
      </c>
    </row>
    <row r="6" spans="1:2109" ht="16.5" thickTop="1" thickBot="1" x14ac:dyDescent="0.3">
      <c r="A6" s="5" t="s">
        <v>2</v>
      </c>
      <c r="B6" s="6">
        <f>EXP(B4*SQRT(B17/B1))</f>
        <v>1.029288218606067</v>
      </c>
      <c r="L6">
        <f>$B$2*($B$6^(9))*($B$7^(0))</f>
        <v>55718.36575695865</v>
      </c>
      <c r="N6">
        <f>$B$2*($B$6^(10))*($B$7^(1))</f>
        <v>55718.36575695865</v>
      </c>
    </row>
    <row r="7" spans="1:2109" ht="16.5" thickTop="1" thickBot="1" x14ac:dyDescent="0.3">
      <c r="A7" s="5" t="s">
        <v>3</v>
      </c>
      <c r="B7" s="6">
        <f>1/B6</f>
        <v>0.97154517259924422</v>
      </c>
      <c r="K7">
        <f>$B$2*($B$6^(8))*($B$7^(0))</f>
        <v>54132.909276292208</v>
      </c>
      <c r="M7">
        <f>$B$2*($B$6^(9))*($B$7^(1))</f>
        <v>54132.909276292208</v>
      </c>
      <c r="O7">
        <f>$B$2*($B$6^(10))*($B$7^(2))</f>
        <v>54132.909276292208</v>
      </c>
      <c r="P7">
        <f>MAX($O$7-$B$3,0)</f>
        <v>14132.909276292208</v>
      </c>
      <c r="Q7">
        <f>MAX($B$3-$O$7,0)</f>
        <v>0</v>
      </c>
      <c r="R7">
        <f>66*$B$8^($B$1 -2) * (1 - $B$8)^2*$Q$7</f>
        <v>0</v>
      </c>
      <c r="S7">
        <f>66*$B$8^($B$1 -2) * (1 - $B$8)^2*$P$7</f>
        <v>563.90425246923883</v>
      </c>
    </row>
    <row r="8" spans="1:2109" ht="15.75" thickTop="1" x14ac:dyDescent="0.25">
      <c r="A8" s="10" t="s">
        <v>1</v>
      </c>
      <c r="B8" s="9">
        <f>(EXP((B5-B15)*(1/B1))-B7)/(B6-B7)</f>
        <v>0.56219476323195616</v>
      </c>
      <c r="J8">
        <f>$B$2*($B$6^(7))*($B$7^(0))</f>
        <v>52592.566686134531</v>
      </c>
      <c r="L8">
        <f>$B$2*($B$6^(8))*($B$7^(1))</f>
        <v>52592.566686134545</v>
      </c>
      <c r="N8">
        <f>$B$2*($B$6^(9))*($B$7^(2))</f>
        <v>52592.566686134545</v>
      </c>
    </row>
    <row r="9" spans="1:2109" x14ac:dyDescent="0.25">
      <c r="A9" s="10" t="s">
        <v>4</v>
      </c>
      <c r="B9" s="9">
        <f>SUM($R$3:$R$27)</f>
        <v>242.01311405678169</v>
      </c>
      <c r="I9">
        <f>$B$2*($B$6^(6))*($B$7^(0))</f>
        <v>51096.05427851784</v>
      </c>
      <c r="K9">
        <f>$B$2*($B$6^(7))*($B$7^(1))</f>
        <v>51096.054278517833</v>
      </c>
      <c r="M9">
        <f>$B$2*($B$6^(8))*($B$7^(2))</f>
        <v>51096.05427851784</v>
      </c>
      <c r="O9">
        <f>$B$2*($B$6^(9))*($B$7^(3))</f>
        <v>51096.054278517848</v>
      </c>
      <c r="P9">
        <f>MAX($O$9-$B$3,0)</f>
        <v>11096.054278517848</v>
      </c>
      <c r="Q9">
        <f>MAX($B$3-$O$9,0)</f>
        <v>0</v>
      </c>
      <c r="R9">
        <f>220*$B$8^($B$1 -3) * (1 - $B$8)^3*$Q$9</f>
        <v>0</v>
      </c>
      <c r="S9">
        <f>220*$B$8^($B$1 -3) * (1 - $B$8)^3*$P$9</f>
        <v>1149.2520113683877</v>
      </c>
    </row>
    <row r="10" spans="1:2109" x14ac:dyDescent="0.25">
      <c r="A10" s="10" t="s">
        <v>5</v>
      </c>
      <c r="B10" s="9">
        <f>SUM($S$3:$S$27)</f>
        <v>5324.8761733493038</v>
      </c>
      <c r="H10">
        <f>$B$2*($B$6^(5))*($B$7^(0))</f>
        <v>49642.124873162968</v>
      </c>
      <c r="J10">
        <f>$B$2*($B$6^(6))*($B$7^(1))</f>
        <v>49642.124873162968</v>
      </c>
      <c r="L10">
        <f>$B$2*($B$6^(7))*($B$7^(2))</f>
        <v>49642.12487316296</v>
      </c>
      <c r="N10">
        <f>$B$2*($B$6^(8))*($B$7^(3))</f>
        <v>49642.124873162968</v>
      </c>
    </row>
    <row r="11" spans="1:2109" x14ac:dyDescent="0.25">
      <c r="A11" s="1" t="s">
        <v>12</v>
      </c>
      <c r="B11" s="2">
        <f>B9*EXP(-B5)</f>
        <v>230.67087592336043</v>
      </c>
      <c r="G11">
        <f>$B$2*($B$6^(4))*($B$7^(0))</f>
        <v>48229.566778090346</v>
      </c>
      <c r="I11">
        <f>$B$2*($B$6^(5))*($B$7^(1))</f>
        <v>48229.566778090353</v>
      </c>
      <c r="K11">
        <f>$B$2*($B$6^(6))*($B$7^(2))</f>
        <v>48229.566778090346</v>
      </c>
      <c r="M11">
        <f>$B$2*($B$6^(7))*($B$7^(3))</f>
        <v>48229.566778090339</v>
      </c>
      <c r="O11">
        <f>$B$2*($B$6^(8))*($B$7^(4))</f>
        <v>48229.566778090346</v>
      </c>
      <c r="P11">
        <f>MAX($O$11-$B$3,0)</f>
        <v>8229.5667780903459</v>
      </c>
      <c r="Q11">
        <f>MAX($B$3-$O$11,0)</f>
        <v>0</v>
      </c>
      <c r="R11">
        <f>495*$B$8^($B$1 -4) * (1 - $B$8)^4*$Q$11</f>
        <v>0</v>
      </c>
      <c r="S11">
        <f>495*$B$8^($B$1 -4) * (1 - $B$8)^4*$P$11</f>
        <v>1493.483221440157</v>
      </c>
    </row>
    <row r="12" spans="1:2109" x14ac:dyDescent="0.25">
      <c r="A12" s="1" t="s">
        <v>13</v>
      </c>
      <c r="B12" s="2">
        <f>B10*EXP(-B5)</f>
        <v>5075.319392823194</v>
      </c>
      <c r="F12">
        <f>$B$2*($B$6^(3))*($B$7^(0))</f>
        <v>46857.202779806554</v>
      </c>
      <c r="H12">
        <f>$B$2*($B$6^(4))*($B$7^(1))</f>
        <v>46857.202779806561</v>
      </c>
      <c r="J12">
        <f>$B$2*($B$6^(5))*($B$7^(2))</f>
        <v>46857.202779806561</v>
      </c>
      <c r="L12">
        <f>$B$2*($B$6^(6))*($B$7^(3))</f>
        <v>46857.202779806561</v>
      </c>
      <c r="N12">
        <f>$B$2*($B$6^(7))*($B$7^(4))</f>
        <v>46857.202779806554</v>
      </c>
    </row>
    <row r="13" spans="1:2109" x14ac:dyDescent="0.25">
      <c r="A13" s="1" t="s">
        <v>14</v>
      </c>
      <c r="B13" s="2">
        <f>'Put '!$N$16</f>
        <v>230.67087592336046</v>
      </c>
      <c r="E13">
        <f>$B$2*($B$6^(2))*($B$7^(0))</f>
        <v>45523.88916222495</v>
      </c>
      <c r="G13">
        <f>$B$2*($B$6^(3))*($B$7^(1))</f>
        <v>45523.889162224943</v>
      </c>
      <c r="I13">
        <f>$B$2*($B$6^(4))*($B$7^(2))</f>
        <v>45523.88916222495</v>
      </c>
      <c r="K13">
        <f>$B$2*($B$6^(5))*($B$7^(3))</f>
        <v>45523.88916222495</v>
      </c>
      <c r="M13">
        <f>$B$2*($B$6^(6))*($B$7^(4))</f>
        <v>45523.88916222495</v>
      </c>
      <c r="O13">
        <f>$B$2*($B$6^(7))*($B$7^(5))</f>
        <v>45523.889162224943</v>
      </c>
      <c r="P13">
        <f>MAX($O$13-$B$3,0)</f>
        <v>5523.889162224943</v>
      </c>
      <c r="Q13">
        <f>MAX($B$3-$O$13,0)</f>
        <v>0</v>
      </c>
      <c r="R13">
        <f>792*$B$8^($B$1 -5) * (1 - $B$8)^5*$Q$13</f>
        <v>0</v>
      </c>
      <c r="S13">
        <f>792*$B$8^($B$1 -5) * (1 - $B$8)^5*$P$13</f>
        <v>1249.0576075510987</v>
      </c>
    </row>
    <row r="14" spans="1:2109" x14ac:dyDescent="0.25">
      <c r="A14" s="1" t="s">
        <v>15</v>
      </c>
      <c r="B14" s="2">
        <f>'Call '!$N$16</f>
        <v>5075.319392823194</v>
      </c>
      <c r="D14">
        <f>$B$2*($B$6^(1))*($B$7^(0))</f>
        <v>44228.514753502699</v>
      </c>
      <c r="F14">
        <f>$B$2*($B$6^(2))*($B$7^(1))</f>
        <v>44228.514753502706</v>
      </c>
      <c r="H14">
        <f>$B$2*($B$6^(3))*($B$7^(2))</f>
        <v>44228.514753502699</v>
      </c>
      <c r="J14">
        <f>$B$2*($B$6^(4))*($B$7^(3))</f>
        <v>44228.514753502699</v>
      </c>
      <c r="L14">
        <f>$B$2*($B$6^(5))*($B$7^(4))</f>
        <v>44228.514753502699</v>
      </c>
      <c r="N14">
        <f>$B$2*($B$6^(6))*($B$7^(5))</f>
        <v>44228.514753502699</v>
      </c>
    </row>
    <row r="15" spans="1:2109" x14ac:dyDescent="0.25">
      <c r="A15" s="7" t="s">
        <v>9</v>
      </c>
      <c r="B15" s="8">
        <v>0</v>
      </c>
      <c r="C15">
        <f>$B$2</f>
        <v>42970</v>
      </c>
      <c r="E15">
        <f>$B$2*($B$6^(1))*($B$7^(1))</f>
        <v>42970</v>
      </c>
      <c r="G15">
        <f>$B$2*($B$6^(2))*($B$7^(2))</f>
        <v>42970</v>
      </c>
      <c r="I15">
        <f>$B$2*($B$6^(3))*($B$7^(3))</f>
        <v>42969.999999999993</v>
      </c>
      <c r="K15">
        <f>$B$2*($B$6^(4))*($B$7^(4))</f>
        <v>42970</v>
      </c>
      <c r="M15">
        <f>$B$2*($B$6^(5))*($B$7^(5))</f>
        <v>42970</v>
      </c>
      <c r="O15">
        <f>$B$2*($B$6^(6))*($B$7^(6))</f>
        <v>42970</v>
      </c>
      <c r="P15">
        <f>MAX($O$15-$B$3,0)</f>
        <v>2970</v>
      </c>
      <c r="Q15">
        <f>MAX($B$3-$O$15,0)</f>
        <v>0</v>
      </c>
      <c r="R15">
        <f>924*$B$8^($B$1 -6) * (1 - $B$8)^6*$Q$15</f>
        <v>0</v>
      </c>
      <c r="S15">
        <f>924*$B$8^($B$1 -6) * (1 - $B$8)^6*$P$15</f>
        <v>610.14760114268097</v>
      </c>
    </row>
    <row r="16" spans="1:2109" x14ac:dyDescent="0.25">
      <c r="A16" s="7" t="s">
        <v>10</v>
      </c>
      <c r="B16" s="8">
        <v>12</v>
      </c>
      <c r="D16">
        <f>$B$2*($B$6^(0))*($B$7^(1))</f>
        <v>41747.296066589523</v>
      </c>
      <c r="F16">
        <f>$B$2*($B$6^(1))*($B$7^(2))</f>
        <v>41747.296066589523</v>
      </c>
      <c r="H16">
        <f>$B$2*($B$6^(2))*($B$7^(3))</f>
        <v>41747.296066589523</v>
      </c>
      <c r="J16">
        <f>$B$2*($B$6^(3))*($B$7^(4))</f>
        <v>41747.296066589515</v>
      </c>
      <c r="L16">
        <f>$B$2*($B$6^(4))*($B$7^(5))</f>
        <v>41747.296066589523</v>
      </c>
      <c r="N16">
        <f>$B$2*($B$6^(5))*($B$7^(6))</f>
        <v>41747.296066589523</v>
      </c>
    </row>
    <row r="17" spans="1:19" x14ac:dyDescent="0.25">
      <c r="A17" s="7" t="s">
        <v>11</v>
      </c>
      <c r="B17" s="8">
        <v>1</v>
      </c>
      <c r="E17">
        <f>$B$2*($B$6^(0))*($B$7^(2))</f>
        <v>40559.38396256647</v>
      </c>
      <c r="G17">
        <f>$B$2*($B$6^(1))*($B$7^(3))</f>
        <v>40559.383962566462</v>
      </c>
      <c r="I17">
        <f>$B$2*($B$6^(2))*($B$7^(4))</f>
        <v>40559.38396256647</v>
      </c>
      <c r="K17">
        <f>$B$2*($B$6^(3))*($B$7^(5))</f>
        <v>40559.383962566462</v>
      </c>
      <c r="M17">
        <f>$B$2*($B$6^(4))*($B$7^(6))</f>
        <v>40559.383962566462</v>
      </c>
      <c r="O17">
        <f>$B$2*($B$6^(5))*($B$7^(7))</f>
        <v>40559.383962566462</v>
      </c>
      <c r="P17">
        <f>MAX($O$17-$B$3,0)</f>
        <v>559.38396256646229</v>
      </c>
      <c r="Q17">
        <f>MAX($B$3-$O$17,0)</f>
        <v>0</v>
      </c>
      <c r="R17">
        <f>792*$B$8^($B$1 -7) * (1 - $B$8)^7*$Q$17</f>
        <v>0</v>
      </c>
      <c r="S17">
        <f>792*$B$8^($B$1 -7) * (1 - $B$8)^7*$P$17</f>
        <v>76.707148103618891</v>
      </c>
    </row>
    <row r="18" spans="1:19" x14ac:dyDescent="0.25">
      <c r="A18" s="1" t="s">
        <v>31</v>
      </c>
      <c r="B18" s="2">
        <f>'Put Americana'!$N$16</f>
        <v>262.80815730953356</v>
      </c>
      <c r="F18">
        <f>$B$2*($B$6^(0))*($B$7^(3))</f>
        <v>39405.273692430659</v>
      </c>
      <c r="H18">
        <f>$B$2*($B$6^(1))*($B$7^(4))</f>
        <v>39405.273692430652</v>
      </c>
      <c r="J18">
        <f>$B$2*($B$6^(2))*($B$7^(5))</f>
        <v>39405.273692430659</v>
      </c>
      <c r="L18">
        <f>$B$2*($B$6^(3))*($B$7^(6))</f>
        <v>39405.273692430645</v>
      </c>
      <c r="N18">
        <f>$B$2*($B$6^(4))*($B$7^(7))</f>
        <v>39405.273692430652</v>
      </c>
    </row>
    <row r="19" spans="1:19" x14ac:dyDescent="0.25">
      <c r="A19" s="1" t="s">
        <v>32</v>
      </c>
      <c r="B19" s="2">
        <f>'Call Americano'!$N$16</f>
        <v>5075.319392823194</v>
      </c>
      <c r="G19">
        <f>$B$2*($B$6^(0))*($B$7^(4))</f>
        <v>38284.003430833</v>
      </c>
      <c r="I19">
        <f>$B$2*($B$6^(1))*($B$7^(5))</f>
        <v>38284.003430833</v>
      </c>
      <c r="K19">
        <f>$B$2*($B$6^(2))*($B$7^(6))</f>
        <v>38284.003430833</v>
      </c>
      <c r="M19">
        <f>$B$2*($B$6^(3))*($B$7^(7))</f>
        <v>38284.003430832992</v>
      </c>
      <c r="O19">
        <f>$B$2*($B$6^(4))*($B$7^(8))</f>
        <v>38284.003430832992</v>
      </c>
      <c r="P19">
        <f>MAX($O$19-$B$3,0)</f>
        <v>0</v>
      </c>
      <c r="Q19">
        <f>MAX($B$3-$O$19,0)</f>
        <v>1715.9965691670077</v>
      </c>
      <c r="R19">
        <f>495*$B$8^($B$1 -8) * (1 - $B$8)^8*$Q$19</f>
        <v>114.52924928911972</v>
      </c>
      <c r="S19">
        <f>495*$B$8^($B$1 -8) * (1 - $B$8)^8*$P$19</f>
        <v>0</v>
      </c>
    </row>
    <row r="20" spans="1:19" x14ac:dyDescent="0.25">
      <c r="H20">
        <f>$B$2*($B$6^(0))*($B$7^(5))</f>
        <v>37194.638720998701</v>
      </c>
      <c r="J20">
        <f>$B$2*($B$6^(1))*($B$7^(6))</f>
        <v>37194.638720998701</v>
      </c>
      <c r="L20">
        <f>$B$2*($B$6^(2))*($B$7^(7))</f>
        <v>37194.638720998701</v>
      </c>
      <c r="N20">
        <f>$B$2*($B$6^(3))*($B$7^(8))</f>
        <v>37194.638720998693</v>
      </c>
    </row>
    <row r="21" spans="1:19" x14ac:dyDescent="0.25">
      <c r="I21">
        <f>$B$2*($B$6^(0))*($B$7^(6))</f>
        <v>36136.271695959214</v>
      </c>
      <c r="K21">
        <f>$B$2*($B$6^(1))*($B$7^(7))</f>
        <v>36136.271695959207</v>
      </c>
      <c r="M21">
        <f>$B$2*($B$6^(2))*($B$7^(8))</f>
        <v>36136.271695959214</v>
      </c>
      <c r="O21">
        <f>$B$2*($B$6^(3))*($B$7^(9))</f>
        <v>36136.271695959207</v>
      </c>
      <c r="P21">
        <f>MAX($O$21-$B$3,0)</f>
        <v>0</v>
      </c>
      <c r="Q21">
        <f>MAX($B$3-$O$21,0)</f>
        <v>3863.7283040407929</v>
      </c>
      <c r="R21">
        <f>220*$B$8^($B$1 -9) * (1 - $B$8)^9*$Q$21</f>
        <v>89.252053324004876</v>
      </c>
      <c r="S21">
        <f>220*$B$8^($B$1 -9) * (1 - $B$8)^9*$P$21</f>
        <v>0</v>
      </c>
    </row>
    <row r="22" spans="1:19" x14ac:dyDescent="0.25">
      <c r="J22">
        <f>$B$2*($B$6^(0))*($B$7^(7))</f>
        <v>35108.020321943877</v>
      </c>
      <c r="L22">
        <f>$B$2*($B$6^(1))*($B$7^(8))</f>
        <v>35108.020321943877</v>
      </c>
      <c r="N22">
        <f>$B$2*($B$6^(2))*($B$7^(9))</f>
        <v>35108.020321943877</v>
      </c>
    </row>
    <row r="23" spans="1:19" x14ac:dyDescent="0.25">
      <c r="K23">
        <f>$B$2*($B$6^(0))*($B$7^(8))</f>
        <v>34109.027663300738</v>
      </c>
      <c r="M23">
        <f>$B$2*($B$6^(1))*($B$7^(9))</f>
        <v>34109.027663300731</v>
      </c>
      <c r="O23">
        <f>$B$2*($B$6^(2))*($B$7^(10))</f>
        <v>34109.027663300738</v>
      </c>
      <c r="P23">
        <f>MAX($O$23-$B$3,0)</f>
        <v>0</v>
      </c>
      <c r="Q23">
        <f>MAX($B$3-$O$23,0)</f>
        <v>5890.9723366992621</v>
      </c>
      <c r="R23">
        <f>66*$B$8^($B$1 -10) * (1 - $B$8)^10*$Q$23</f>
        <v>31.791720457092666</v>
      </c>
      <c r="S23">
        <f>66*$B$8^($B$1 -10) * (1 - $B$8)^10*$P$23</f>
        <v>0</v>
      </c>
    </row>
    <row r="24" spans="1:19" x14ac:dyDescent="0.25">
      <c r="L24">
        <f>$B$2*($B$6^(0))*($B$7^(9))</f>
        <v>33138.46116833391</v>
      </c>
      <c r="N24">
        <f>$B$2*($B$6^(1))*($B$7^(10))</f>
        <v>33138.461168333903</v>
      </c>
    </row>
    <row r="25" spans="1:19" x14ac:dyDescent="0.25">
      <c r="M25">
        <f>$B$2*($B$6^(0))*($B$7^(10))</f>
        <v>32195.511975462316</v>
      </c>
      <c r="O25">
        <f>$B$2*($B$6^(1))*($B$7^(11))</f>
        <v>32195.511975462319</v>
      </c>
      <c r="P25">
        <f>MAX($O$25-$B$3,0)</f>
        <v>0</v>
      </c>
      <c r="Q25">
        <f>MAX($B$3-$O$25,0)</f>
        <v>7804.4880245376808</v>
      </c>
      <c r="R25">
        <f>12*$B$8^($B$1 -11) * (1 - $B$8)^11*$Q$25</f>
        <v>5.9635234715468695</v>
      </c>
      <c r="S25">
        <f>12*$B$8^($B$1 -11) * (1 - $B$8)^11*$P$25</f>
        <v>0</v>
      </c>
    </row>
    <row r="26" spans="1:19" x14ac:dyDescent="0.25">
      <c r="N26">
        <f>$B$2*($B$6^(0))*($B$7^(11))</f>
        <v>31279.394239121571</v>
      </c>
    </row>
    <row r="27" spans="1:19" x14ac:dyDescent="0.25">
      <c r="O27">
        <f>$B$2*($B$6^(0))*($B$7^(12))</f>
        <v>30389.34447484717</v>
      </c>
      <c r="P27">
        <f>MAX($O$27-$B$3,0)</f>
        <v>0</v>
      </c>
      <c r="Q27">
        <f>MAX($B$3-$O$27,0)</f>
        <v>9610.6555251528298</v>
      </c>
      <c r="R27">
        <f>1*$B$8^($B$1 -12) * (1 - $B$8)^12*$Q$27</f>
        <v>0.47656751501758415</v>
      </c>
      <c r="S27">
        <f>1*$B$8^($B$1 -12) * (1 - $B$8)^12*$P$27</f>
        <v>0</v>
      </c>
    </row>
    <row r="40" spans="3:9" x14ac:dyDescent="0.25">
      <c r="C40" t="s">
        <v>30</v>
      </c>
    </row>
    <row r="43" spans="3:9" x14ac:dyDescent="0.25">
      <c r="D43">
        <f>$B$3-$O$3</f>
        <v>-20758.826223719829</v>
      </c>
    </row>
    <row r="44" spans="3:9" x14ac:dyDescent="0.25">
      <c r="E44">
        <f>$B$3-$N$4</f>
        <v>-19029.94431045137</v>
      </c>
    </row>
    <row r="45" spans="3:9" x14ac:dyDescent="0.25">
      <c r="D45">
        <f>$B$3-$O$5</f>
        <v>-17350.257433621249</v>
      </c>
      <c r="F45">
        <f>$B$3-$M$5</f>
        <v>-17350.257433621256</v>
      </c>
    </row>
    <row r="46" spans="3:9" x14ac:dyDescent="0.25">
      <c r="E46">
        <f>$B$3-$N$6</f>
        <v>-15718.36575695865</v>
      </c>
      <c r="G46">
        <f>$B$3-$L$6</f>
        <v>-15718.36575695865</v>
      </c>
    </row>
    <row r="47" spans="3:9" x14ac:dyDescent="0.25">
      <c r="D47">
        <f>$B$3-$O$7</f>
        <v>-14132.909276292208</v>
      </c>
      <c r="F47">
        <f>$B$3-$M$7</f>
        <v>-14132.909276292208</v>
      </c>
      <c r="H47">
        <f>$B$3-$K$7</f>
        <v>-14132.909276292208</v>
      </c>
    </row>
    <row r="48" spans="3:9" x14ac:dyDescent="0.25">
      <c r="E48">
        <f>$B$3-$N$8</f>
        <v>-12592.566686134545</v>
      </c>
      <c r="G48">
        <f>$B$3-$L$8</f>
        <v>-12592.566686134545</v>
      </c>
      <c r="I48">
        <f>$B$3-$J$8</f>
        <v>-12592.566686134531</v>
      </c>
    </row>
    <row r="49" spans="4:15" x14ac:dyDescent="0.25">
      <c r="D49">
        <f>$B$3-$O$9</f>
        <v>-11096.054278517848</v>
      </c>
      <c r="F49">
        <f>$B$3-$M$9</f>
        <v>-11096.05427851784</v>
      </c>
      <c r="H49">
        <f>$B$3-$K$9</f>
        <v>-11096.054278517833</v>
      </c>
      <c r="J49">
        <f>$B$3-$I$9</f>
        <v>-11096.05427851784</v>
      </c>
    </row>
    <row r="50" spans="4:15" x14ac:dyDescent="0.25">
      <c r="E50">
        <f>$B$3-$N$10</f>
        <v>-9642.1248731629676</v>
      </c>
      <c r="G50">
        <f>$B$3-$L$10</f>
        <v>-9642.1248731629603</v>
      </c>
      <c r="I50">
        <f>$B$3-$J$10</f>
        <v>-9642.1248731629676</v>
      </c>
      <c r="K50">
        <f>$B$3-$H$10</f>
        <v>-9642.1248731629676</v>
      </c>
    </row>
    <row r="51" spans="4:15" x14ac:dyDescent="0.25">
      <c r="D51">
        <f>$B$3-$O$11</f>
        <v>-8229.5667780903459</v>
      </c>
      <c r="F51">
        <f>$B$3-$M$11</f>
        <v>-8229.5667780903386</v>
      </c>
      <c r="H51">
        <f>$B$3-$K$11</f>
        <v>-8229.5667780903459</v>
      </c>
      <c r="J51">
        <f>$B$3-$I$11</f>
        <v>-8229.5667780903532</v>
      </c>
      <c r="L51">
        <f>$B$3-$G$11</f>
        <v>-8229.5667780903459</v>
      </c>
    </row>
    <row r="52" spans="4:15" x14ac:dyDescent="0.25">
      <c r="E52">
        <f>$B$3-$N$12</f>
        <v>-6857.2027798065537</v>
      </c>
      <c r="G52">
        <f>$B$3-$L$12</f>
        <v>-6857.202779806561</v>
      </c>
      <c r="I52">
        <f>$B$3-$J$12</f>
        <v>-6857.202779806561</v>
      </c>
      <c r="K52">
        <f>$B$3-$H$12</f>
        <v>-6857.202779806561</v>
      </c>
      <c r="M52">
        <f>$B$3-$F$12</f>
        <v>-6857.2027798065537</v>
      </c>
    </row>
    <row r="53" spans="4:15" x14ac:dyDescent="0.25">
      <c r="D53">
        <f>$B$3-$O$13</f>
        <v>-5523.889162224943</v>
      </c>
      <c r="F53">
        <f>$B$3-$M$13</f>
        <v>-5523.8891622249503</v>
      </c>
      <c r="H53">
        <f>$B$3-$K$13</f>
        <v>-5523.8891622249503</v>
      </c>
      <c r="J53">
        <f>$B$3-$I$13</f>
        <v>-5523.8891622249503</v>
      </c>
      <c r="L53">
        <f>$B$3-$G$13</f>
        <v>-5523.889162224943</v>
      </c>
      <c r="N53">
        <f>$B$3-$E$13</f>
        <v>-5523.8891622249503</v>
      </c>
    </row>
    <row r="54" spans="4:15" x14ac:dyDescent="0.25">
      <c r="E54">
        <f>$B$3-$N$14</f>
        <v>-4228.514753502699</v>
      </c>
      <c r="G54">
        <f>$B$3-$L$14</f>
        <v>-4228.514753502699</v>
      </c>
      <c r="I54">
        <f>$B$3-$J$14</f>
        <v>-4228.514753502699</v>
      </c>
      <c r="K54">
        <f>$B$3-$H$14</f>
        <v>-4228.514753502699</v>
      </c>
      <c r="M54">
        <f>$B$3-$F$14</f>
        <v>-4228.5147535027063</v>
      </c>
      <c r="O54">
        <f>$B$3-$D$14</f>
        <v>-4228.514753502699</v>
      </c>
    </row>
    <row r="55" spans="4:15" x14ac:dyDescent="0.25">
      <c r="D55">
        <f>$B$3-$O$15</f>
        <v>-2970</v>
      </c>
      <c r="F55">
        <f>$B$3-$M$15</f>
        <v>-2970</v>
      </c>
      <c r="H55">
        <f>$B$3-$K$15</f>
        <v>-2970</v>
      </c>
      <c r="J55">
        <f>$B$3-$I$15</f>
        <v>-2969.9999999999927</v>
      </c>
      <c r="L55">
        <f>$B$3-$G$15</f>
        <v>-2970</v>
      </c>
      <c r="N55">
        <f>$B$3-$E$15</f>
        <v>-2970</v>
      </c>
    </row>
    <row r="56" spans="4:15" x14ac:dyDescent="0.25">
      <c r="E56">
        <f>$B$3-$N$16</f>
        <v>-1747.2960665895225</v>
      </c>
      <c r="G56">
        <f>$B$3-$L$16</f>
        <v>-1747.2960665895225</v>
      </c>
      <c r="I56">
        <f>$B$3-$J$16</f>
        <v>-1747.2960665895152</v>
      </c>
      <c r="K56">
        <f>$B$3-$H$16</f>
        <v>-1747.2960665895225</v>
      </c>
      <c r="M56">
        <f>$B$3-$F$16</f>
        <v>-1747.2960665895225</v>
      </c>
      <c r="O56">
        <f>$B$3-$D$16</f>
        <v>-1747.2960665895225</v>
      </c>
    </row>
    <row r="57" spans="4:15" x14ac:dyDescent="0.25">
      <c r="D57">
        <f>$B$3-$O$17</f>
        <v>-559.38396256646229</v>
      </c>
      <c r="F57">
        <f>$B$3-$M$17</f>
        <v>-559.38396256646229</v>
      </c>
      <c r="H57">
        <f>$B$3-$K$17</f>
        <v>-559.38396256646229</v>
      </c>
      <c r="J57">
        <f>$B$3-$I$17</f>
        <v>-559.38396256646956</v>
      </c>
      <c r="L57">
        <f>$B$3-$G$17</f>
        <v>-559.38396256646229</v>
      </c>
      <c r="N57">
        <f>$B$3-$E$17</f>
        <v>-559.38396256646956</v>
      </c>
    </row>
    <row r="58" spans="4:15" x14ac:dyDescent="0.25">
      <c r="E58">
        <f>$B$3-$N$18</f>
        <v>594.72630756934814</v>
      </c>
      <c r="G58">
        <f>$B$3-$L$18</f>
        <v>594.72630756935541</v>
      </c>
      <c r="I58">
        <f>$B$3-$J$18</f>
        <v>594.72630756934086</v>
      </c>
      <c r="K58">
        <f>$B$3-$H$18</f>
        <v>594.72630756934814</v>
      </c>
      <c r="M58">
        <f>$B$3-$F$18</f>
        <v>594.72630756934086</v>
      </c>
    </row>
    <row r="59" spans="4:15" x14ac:dyDescent="0.25">
      <c r="D59">
        <f>$B$3-$O$19</f>
        <v>1715.9965691670077</v>
      </c>
      <c r="F59">
        <f>$B$3-$M$19</f>
        <v>1715.9965691670077</v>
      </c>
      <c r="H59">
        <f>$B$3-$K$19</f>
        <v>1715.9965691670004</v>
      </c>
      <c r="J59">
        <f>$B$3-$I$19</f>
        <v>1715.9965691670004</v>
      </c>
      <c r="L59">
        <f>$B$3-$G$19</f>
        <v>1715.9965691670004</v>
      </c>
    </row>
    <row r="60" spans="4:15" x14ac:dyDescent="0.25">
      <c r="E60">
        <f>$B$3-$N$20</f>
        <v>2805.3612790013067</v>
      </c>
      <c r="G60">
        <f>$B$3-$L$20</f>
        <v>2805.3612790012994</v>
      </c>
      <c r="I60">
        <f>$B$3-$J$20</f>
        <v>2805.3612790012994</v>
      </c>
      <c r="K60">
        <f>$B$3-$H$20</f>
        <v>2805.3612790012994</v>
      </c>
    </row>
    <row r="61" spans="4:15" x14ac:dyDescent="0.25">
      <c r="D61">
        <f>$B$3-$O$21</f>
        <v>3863.7283040407929</v>
      </c>
      <c r="F61">
        <f>$B$3-$M$21</f>
        <v>3863.7283040407856</v>
      </c>
      <c r="H61">
        <f>$B$3-$K$21</f>
        <v>3863.7283040407929</v>
      </c>
      <c r="J61">
        <f>$B$3-$I$21</f>
        <v>3863.7283040407856</v>
      </c>
    </row>
    <row r="62" spans="4:15" x14ac:dyDescent="0.25">
      <c r="E62">
        <f>$B$3-$N$22</f>
        <v>4891.9796780561228</v>
      </c>
      <c r="G62">
        <f>$B$3-$L$22</f>
        <v>4891.9796780561228</v>
      </c>
      <c r="I62">
        <f>$B$3-$J$22</f>
        <v>4891.9796780561228</v>
      </c>
    </row>
    <row r="63" spans="4:15" x14ac:dyDescent="0.25">
      <c r="D63">
        <f>$B$3-$O$23</f>
        <v>5890.9723366992621</v>
      </c>
      <c r="F63">
        <f>$B$3-$M$23</f>
        <v>5890.9723366992694</v>
      </c>
      <c r="H63">
        <f>$B$3-$K$23</f>
        <v>5890.9723366992621</v>
      </c>
    </row>
    <row r="64" spans="4:15" x14ac:dyDescent="0.25">
      <c r="E64">
        <f>$B$3-$N$24</f>
        <v>6861.5388316660974</v>
      </c>
      <c r="G64">
        <f>$B$3-$L$24</f>
        <v>6861.5388316660901</v>
      </c>
    </row>
    <row r="65" spans="4:6" x14ac:dyDescent="0.25">
      <c r="D65">
        <f>$B$3-$O$25</f>
        <v>7804.4880245376808</v>
      </c>
      <c r="F65">
        <f>$B$3-$M$25</f>
        <v>7804.4880245376844</v>
      </c>
    </row>
    <row r="66" spans="4:6" x14ac:dyDescent="0.25">
      <c r="E66">
        <f>$B$3-$N$26</f>
        <v>8720.6057608784286</v>
      </c>
    </row>
    <row r="67" spans="4:6" x14ac:dyDescent="0.25">
      <c r="D67">
        <f>$B$3-$O$27</f>
        <v>9610.6555251528298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ciones" altText="OPCIONES">
                <anchor moveWithCells="1" sizeWithCells="1">
                  <from>
                    <xdr:col>0</xdr:col>
                    <xdr:colOff>19050</xdr:colOff>
                    <xdr:row>19</xdr:row>
                    <xdr:rowOff>123825</xdr:rowOff>
                  </from>
                  <to>
                    <xdr:col>1</xdr:col>
                    <xdr:colOff>0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iezabuena">
                <anchor moveWithCells="1" sizeWithCells="1">
                  <from>
                    <xdr:col>0</xdr:col>
                    <xdr:colOff>76200</xdr:colOff>
                    <xdr:row>22</xdr:row>
                    <xdr:rowOff>123825</xdr:rowOff>
                  </from>
                  <to>
                    <xdr:col>0</xdr:col>
                    <xdr:colOff>1590675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O27"/>
  <sheetViews>
    <sheetView zoomScale="80" zoomScaleNormal="80" workbookViewId="0">
      <selection activeCell="E11" sqref="E11"/>
    </sheetView>
  </sheetViews>
  <sheetFormatPr defaultColWidth="11.42578125" defaultRowHeight="15" x14ac:dyDescent="0.25"/>
  <cols>
    <col min="1" max="1" width="19.42578125" bestFit="1" customWidth="1"/>
    <col min="2" max="2" width="26.7109375" bestFit="1" customWidth="1"/>
    <col min="3" max="3" width="17.28515625" bestFit="1" customWidth="1"/>
    <col min="4" max="4" width="13.7109375" bestFit="1" customWidth="1"/>
    <col min="5" max="5" width="18.140625" bestFit="1" customWidth="1"/>
  </cols>
  <sheetData>
    <row r="2" spans="2:15" x14ac:dyDescent="0.25">
      <c r="B2" t="s">
        <v>21</v>
      </c>
    </row>
    <row r="5" spans="2:15" x14ac:dyDescent="0.25">
      <c r="C5">
        <f>'Put y call Europeo'!$O$3</f>
        <v>60758.826223719829</v>
      </c>
    </row>
    <row r="6" spans="2:15" x14ac:dyDescent="0.25">
      <c r="D6">
        <f>'Put y call Europeo'!$N$4</f>
        <v>59029.94431045137</v>
      </c>
    </row>
    <row r="7" spans="2:15" x14ac:dyDescent="0.25">
      <c r="C7">
        <f>'Put y call Europeo'!$O$5</f>
        <v>57350.257433621249</v>
      </c>
      <c r="E7">
        <f>'Put y call Europeo'!$M$5</f>
        <v>57350.257433621256</v>
      </c>
    </row>
    <row r="8" spans="2:15" x14ac:dyDescent="0.25">
      <c r="D8">
        <f>'Put y call Europeo'!$N$6</f>
        <v>55718.36575695865</v>
      </c>
      <c r="F8">
        <f>'Put y call Europeo'!$L$6</f>
        <v>55718.36575695865</v>
      </c>
    </row>
    <row r="9" spans="2:15" x14ac:dyDescent="0.25">
      <c r="C9">
        <f>'Put y call Europeo'!$O$7</f>
        <v>54132.909276292208</v>
      </c>
      <c r="E9">
        <f>'Put y call Europeo'!$M$7</f>
        <v>54132.909276292208</v>
      </c>
      <c r="G9">
        <f>'Put y call Europeo'!$K$7</f>
        <v>54132.909276292208</v>
      </c>
    </row>
    <row r="10" spans="2:15" x14ac:dyDescent="0.25">
      <c r="D10">
        <f>'Put y call Europeo'!$N$8</f>
        <v>52592.566686134545</v>
      </c>
      <c r="F10">
        <f>'Put y call Europeo'!$L$8</f>
        <v>52592.566686134545</v>
      </c>
      <c r="H10">
        <f>'Put y call Europeo'!$J$8</f>
        <v>52592.566686134531</v>
      </c>
    </row>
    <row r="11" spans="2:15" x14ac:dyDescent="0.25">
      <c r="C11">
        <f>'Put y call Europeo'!$O$9</f>
        <v>51096.054278517848</v>
      </c>
      <c r="E11">
        <f>'Put y call Europeo'!$M$9</f>
        <v>51096.05427851784</v>
      </c>
      <c r="G11">
        <f>'Put y call Europeo'!$K$9</f>
        <v>51096.054278517833</v>
      </c>
      <c r="I11">
        <f>'Put y call Europeo'!$I$9</f>
        <v>51096.05427851784</v>
      </c>
    </row>
    <row r="12" spans="2:15" x14ac:dyDescent="0.25">
      <c r="D12">
        <f>'Put y call Europeo'!$N$10</f>
        <v>49642.124873162968</v>
      </c>
      <c r="F12">
        <f>'Put y call Europeo'!$L$10</f>
        <v>49642.12487316296</v>
      </c>
      <c r="H12">
        <f>'Put y call Europeo'!$J$10</f>
        <v>49642.124873162968</v>
      </c>
      <c r="J12">
        <f>'Put y call Europeo'!$H$10</f>
        <v>49642.124873162968</v>
      </c>
    </row>
    <row r="13" spans="2:15" x14ac:dyDescent="0.25">
      <c r="C13">
        <f>'Put y call Europeo'!$O$11</f>
        <v>48229.566778090346</v>
      </c>
      <c r="E13">
        <f>'Put y call Europeo'!$M$11</f>
        <v>48229.566778090339</v>
      </c>
      <c r="G13">
        <f>'Put y call Europeo'!$K$11</f>
        <v>48229.566778090346</v>
      </c>
      <c r="I13">
        <f>'Put y call Europeo'!$I$11</f>
        <v>48229.566778090353</v>
      </c>
      <c r="K13">
        <f>'Put y call Europeo'!$G$11</f>
        <v>48229.566778090346</v>
      </c>
    </row>
    <row r="14" spans="2:15" x14ac:dyDescent="0.25">
      <c r="D14">
        <f>'Put y call Europeo'!$N$12</f>
        <v>46857.202779806554</v>
      </c>
      <c r="F14">
        <f>'Put y call Europeo'!$L$12</f>
        <v>46857.202779806561</v>
      </c>
      <c r="H14">
        <f>'Put y call Europeo'!$J$12</f>
        <v>46857.202779806561</v>
      </c>
      <c r="J14">
        <f>'Put y call Europeo'!$H$12</f>
        <v>46857.202779806561</v>
      </c>
      <c r="L14">
        <f>'Put y call Europeo'!$F$12</f>
        <v>46857.202779806554</v>
      </c>
    </row>
    <row r="15" spans="2:15" x14ac:dyDescent="0.25">
      <c r="C15">
        <f>'Put y call Europeo'!$O$13</f>
        <v>45523.889162224943</v>
      </c>
      <c r="E15">
        <f>'Put y call Europeo'!$M$13</f>
        <v>45523.88916222495</v>
      </c>
      <c r="G15">
        <f>'Put y call Europeo'!$K$13</f>
        <v>45523.88916222495</v>
      </c>
      <c r="I15">
        <f>'Put y call Europeo'!$I$13</f>
        <v>45523.88916222495</v>
      </c>
      <c r="K15">
        <f>'Put y call Europeo'!$G$13</f>
        <v>45523.889162224943</v>
      </c>
      <c r="M15">
        <f>'Put y call Europeo'!$E$13</f>
        <v>45523.88916222495</v>
      </c>
    </row>
    <row r="16" spans="2:15" x14ac:dyDescent="0.25">
      <c r="D16">
        <f>'Put y call Europeo'!$N$14</f>
        <v>44228.514753502699</v>
      </c>
      <c r="F16">
        <f>'Put y call Europeo'!$L$14</f>
        <v>44228.514753502699</v>
      </c>
      <c r="H16">
        <f>'Put y call Europeo'!$J$14</f>
        <v>44228.514753502699</v>
      </c>
      <c r="J16">
        <f>'Put y call Europeo'!$H$14</f>
        <v>44228.514753502699</v>
      </c>
      <c r="L16">
        <f>'Put y call Europeo'!$F$14</f>
        <v>44228.514753502706</v>
      </c>
      <c r="N16">
        <f>'Put y call Europeo'!$D$14</f>
        <v>44228.514753502699</v>
      </c>
      <c r="O16">
        <f>'Put y call Europeo'!$B$2</f>
        <v>42970</v>
      </c>
    </row>
    <row r="17" spans="3:13" x14ac:dyDescent="0.25">
      <c r="C17">
        <f>'Put y call Europeo'!$O$15</f>
        <v>42970</v>
      </c>
      <c r="E17">
        <f>'Put y call Europeo'!$M$15</f>
        <v>42970</v>
      </c>
      <c r="G17">
        <f>'Put y call Europeo'!$K$15</f>
        <v>42970</v>
      </c>
      <c r="I17">
        <f>'Put y call Europeo'!$I$15</f>
        <v>42969.999999999993</v>
      </c>
      <c r="K17">
        <f>'Put y call Europeo'!$G$15</f>
        <v>42970</v>
      </c>
      <c r="M17">
        <f>'Put y call Europeo'!$E$15</f>
        <v>42970</v>
      </c>
    </row>
    <row r="18" spans="3:13" x14ac:dyDescent="0.25">
      <c r="D18">
        <f>'Put y call Europeo'!$N$16</f>
        <v>41747.296066589523</v>
      </c>
      <c r="F18">
        <f>'Put y call Europeo'!$L$16</f>
        <v>41747.296066589523</v>
      </c>
      <c r="H18">
        <f>'Put y call Europeo'!$J$16</f>
        <v>41747.296066589515</v>
      </c>
      <c r="J18">
        <f>'Put y call Europeo'!$H$16</f>
        <v>41747.296066589523</v>
      </c>
      <c r="L18">
        <f>'Put y call Europeo'!$F$16</f>
        <v>41747.296066589523</v>
      </c>
    </row>
    <row r="19" spans="3:13" x14ac:dyDescent="0.25">
      <c r="C19">
        <f>'Put y call Europeo'!$O$17</f>
        <v>40559.383962566462</v>
      </c>
      <c r="E19">
        <f>'Put y call Europeo'!$M$17</f>
        <v>40559.383962566462</v>
      </c>
      <c r="G19">
        <f>'Put y call Europeo'!$K$17</f>
        <v>40559.383962566462</v>
      </c>
      <c r="I19">
        <f>'Put y call Europeo'!$I$17</f>
        <v>40559.38396256647</v>
      </c>
      <c r="K19">
        <f>'Put y call Europeo'!$G$17</f>
        <v>40559.383962566462</v>
      </c>
    </row>
    <row r="20" spans="3:13" x14ac:dyDescent="0.25">
      <c r="D20">
        <f>'Put y call Europeo'!$N$18</f>
        <v>39405.273692430652</v>
      </c>
      <c r="F20">
        <f>'Put y call Europeo'!$L$18</f>
        <v>39405.273692430645</v>
      </c>
      <c r="H20">
        <f>'Put y call Europeo'!$J$18</f>
        <v>39405.273692430659</v>
      </c>
      <c r="J20">
        <f>'Put y call Europeo'!$H$18</f>
        <v>39405.273692430652</v>
      </c>
    </row>
    <row r="21" spans="3:13" x14ac:dyDescent="0.25">
      <c r="C21">
        <f>'Put y call Europeo'!$O$19</f>
        <v>38284.003430832992</v>
      </c>
      <c r="E21">
        <f>'Put y call Europeo'!$M$19</f>
        <v>38284.003430832992</v>
      </c>
      <c r="G21">
        <f>'Put y call Europeo'!$K$19</f>
        <v>38284.003430833</v>
      </c>
      <c r="I21">
        <f>'Put y call Europeo'!$I$19</f>
        <v>38284.003430833</v>
      </c>
    </row>
    <row r="22" spans="3:13" x14ac:dyDescent="0.25">
      <c r="D22">
        <f>'Put y call Europeo'!$N$20</f>
        <v>37194.638720998693</v>
      </c>
      <c r="F22">
        <f>'Put y call Europeo'!$L$20</f>
        <v>37194.638720998701</v>
      </c>
      <c r="H22">
        <f>'Put y call Europeo'!$J$20</f>
        <v>37194.638720998701</v>
      </c>
    </row>
    <row r="23" spans="3:13" x14ac:dyDescent="0.25">
      <c r="C23">
        <f>'Put y call Europeo'!$O$21</f>
        <v>36136.271695959207</v>
      </c>
      <c r="E23">
        <f>'Put y call Europeo'!$M$21</f>
        <v>36136.271695959214</v>
      </c>
      <c r="G23">
        <f>'Put y call Europeo'!$K$21</f>
        <v>36136.271695959207</v>
      </c>
    </row>
    <row r="24" spans="3:13" x14ac:dyDescent="0.25">
      <c r="D24">
        <f>'Put y call Europeo'!$N$22</f>
        <v>35108.020321943877</v>
      </c>
      <c r="F24">
        <f>'Put y call Europeo'!$L$22</f>
        <v>35108.020321943877</v>
      </c>
    </row>
    <row r="25" spans="3:13" x14ac:dyDescent="0.25">
      <c r="C25">
        <f>'Put y call Europeo'!$O$23</f>
        <v>34109.027663300738</v>
      </c>
      <c r="E25">
        <f>'Put y call Europeo'!$M$23</f>
        <v>34109.027663300731</v>
      </c>
    </row>
    <row r="26" spans="3:13" x14ac:dyDescent="0.25">
      <c r="D26">
        <f>'Put y call Europeo'!$N$24</f>
        <v>33138.461168333903</v>
      </c>
    </row>
    <row r="27" spans="3:13" x14ac:dyDescent="0.25">
      <c r="C27">
        <f>'Put y call Europeo'!$O$25</f>
        <v>32195.511975462319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N28"/>
  <sheetViews>
    <sheetView zoomScale="85" zoomScaleNormal="85" workbookViewId="0">
      <selection activeCell="D18" sqref="D18"/>
    </sheetView>
  </sheetViews>
  <sheetFormatPr defaultColWidth="11.42578125" defaultRowHeight="15" x14ac:dyDescent="0.25"/>
  <sheetData>
    <row r="2" spans="2:14" x14ac:dyDescent="0.25">
      <c r="B2" t="s">
        <v>22</v>
      </c>
    </row>
    <row r="4" spans="2:14" x14ac:dyDescent="0.25">
      <c r="B4">
        <f>'Put y call Europeo'!$Q$3</f>
        <v>0</v>
      </c>
    </row>
    <row r="5" spans="2:14" x14ac:dyDescent="0.25">
      <c r="C5">
        <f>($B$4*'Put y call Europeo'!$B$8+$B$6*(1-'Put y call Europeo'!$B$8))* EXP(-'Put y call Europeo'!$B$5/'Put y call Europeo'!$B$1)</f>
        <v>0</v>
      </c>
    </row>
    <row r="6" spans="2:14" x14ac:dyDescent="0.25">
      <c r="B6">
        <f>'Put y call Europeo'!$Q$5</f>
        <v>0</v>
      </c>
      <c r="D6">
        <f>($C$5*'Put y call Europeo'!$B$8+$C$7*(1-'Put y call Europeo'!$B$8))* EXP(-'Put y call Europeo'!$B$5/'Put y call Europeo'!$B$1)</f>
        <v>0</v>
      </c>
    </row>
    <row r="7" spans="2:14" x14ac:dyDescent="0.25">
      <c r="C7">
        <f>($B$6*'Put y call Europeo'!$B$8+$B$8*(1-'Put y call Europeo'!$B$8))* EXP(-'Put y call Europeo'!$B$5/'Put y call Europeo'!$B$1)</f>
        <v>0</v>
      </c>
      <c r="E7">
        <f>($D$6*'Put y call Europeo'!$B$8+$D$8*(1-'Put y call Europeo'!$B$8))* EXP(-'Put y call Europeo'!$B$5/'Put y call Europeo'!$B$1)</f>
        <v>0</v>
      </c>
    </row>
    <row r="8" spans="2:14" x14ac:dyDescent="0.25">
      <c r="B8">
        <f>'Put y call Europeo'!$Q$7</f>
        <v>0</v>
      </c>
      <c r="D8">
        <f>($C$7*'Put y call Europeo'!$B$8+$C$9*(1-'Put y call Europeo'!$B$8))* EXP(-'Put y call Europeo'!$B$5/'Put y call Europeo'!$B$1)</f>
        <v>0</v>
      </c>
      <c r="F8">
        <f>($E$7*'Put y call Europeo'!$B$8+$E$9*(1-'Put y call Europeo'!$B$8))* EXP(-'Put y call Europeo'!$B$5/'Put y call Europeo'!$B$1)</f>
        <v>0</v>
      </c>
    </row>
    <row r="9" spans="2:14" x14ac:dyDescent="0.25">
      <c r="C9">
        <f>($B$8*'Put y call Europeo'!$B$8+$B$10*(1-'Put y call Europeo'!$B$8))* EXP(-'Put y call Europeo'!$B$5/'Put y call Europeo'!$B$1)</f>
        <v>0</v>
      </c>
      <c r="E9">
        <f>($D$8*'Put y call Europeo'!$B$8+$D$10*(1-'Put y call Europeo'!$B$8))* EXP(-'Put y call Europeo'!$B$5/'Put y call Europeo'!$B$1)</f>
        <v>0</v>
      </c>
      <c r="G9">
        <f>($F$8*'Put y call Europeo'!$B$8+$F$10*(1-'Put y call Europeo'!$B$8))* EXP(-'Put y call Europeo'!$B$5/'Put y call Europeo'!$B$1)</f>
        <v>0</v>
      </c>
    </row>
    <row r="10" spans="2:14" x14ac:dyDescent="0.25">
      <c r="B10">
        <f>'Put y call Europeo'!$Q$9</f>
        <v>0</v>
      </c>
      <c r="D10">
        <f>($C$9*'Put y call Europeo'!$B$8+$C$11*(1-'Put y call Europeo'!$B$8))* EXP(-'Put y call Europeo'!$B$5/'Put y call Europeo'!$B$1)</f>
        <v>0</v>
      </c>
      <c r="F10">
        <f>($E$9*'Put y call Europeo'!$B$8+$E$11*(1-'Put y call Europeo'!$B$8))* EXP(-'Put y call Europeo'!$B$5/'Put y call Europeo'!$B$1)</f>
        <v>0</v>
      </c>
      <c r="H10">
        <f>($G$9*'Put y call Europeo'!$B$8+$G$11*(1-'Put y call Europeo'!$B$8))* EXP(-'Put y call Europeo'!$B$5/'Put y call Europeo'!$B$1)</f>
        <v>0</v>
      </c>
    </row>
    <row r="11" spans="2:14" x14ac:dyDescent="0.25">
      <c r="C11">
        <f>($B$10*'Put y call Europeo'!$B$8+$B$12*(1-'Put y call Europeo'!$B$8))* EXP(-'Put y call Europeo'!$B$5/'Put y call Europeo'!$B$1)</f>
        <v>0</v>
      </c>
      <c r="E11">
        <f>($D$10*'Put y call Europeo'!$B$8+$D$12*(1-'Put y call Europeo'!$B$8))* EXP(-'Put y call Europeo'!$B$5/'Put y call Europeo'!$B$1)</f>
        <v>0</v>
      </c>
      <c r="G11">
        <f>($F$10*'Put y call Europeo'!$B$8+$F$12*(1-'Put y call Europeo'!$B$8))* EXP(-'Put y call Europeo'!$B$5/'Put y call Europeo'!$B$1)</f>
        <v>0</v>
      </c>
      <c r="I11">
        <f>($H$10*'Put y call Europeo'!$B$8+$H$12*(1-'Put y call Europeo'!$B$8))* EXP(-'Put y call Europeo'!$B$5/'Put y call Europeo'!$B$1)</f>
        <v>0</v>
      </c>
    </row>
    <row r="12" spans="2:14" x14ac:dyDescent="0.25">
      <c r="B12">
        <f>'Put y call Europeo'!$Q$11</f>
        <v>0</v>
      </c>
      <c r="D12">
        <f>($C$11*'Put y call Europeo'!$B$8+$C$13*(1-'Put y call Europeo'!$B$8))* EXP(-'Put y call Europeo'!$B$5/'Put y call Europeo'!$B$1)</f>
        <v>0</v>
      </c>
      <c r="F12">
        <f>($E$11*'Put y call Europeo'!$B$8+$E$13*(1-'Put y call Europeo'!$B$8))* EXP(-'Put y call Europeo'!$B$5/'Put y call Europeo'!$B$1)</f>
        <v>0</v>
      </c>
      <c r="H12">
        <f>($G$11*'Put y call Europeo'!$B$8+$G$13*(1-'Put y call Europeo'!$B$8))* EXP(-'Put y call Europeo'!$B$5/'Put y call Europeo'!$B$1)</f>
        <v>0</v>
      </c>
      <c r="J12">
        <f>($I$11*'Put y call Europeo'!$B$8+$I$13*(1-'Put y call Europeo'!$B$8))* EXP(-'Put y call Europeo'!$B$5/'Put y call Europeo'!$B$1)</f>
        <v>2.2431928297911448</v>
      </c>
    </row>
    <row r="13" spans="2:14" x14ac:dyDescent="0.25">
      <c r="C13">
        <f>($B$12*'Put y call Europeo'!$B$8+$B$14*(1-'Put y call Europeo'!$B$8))* EXP(-'Put y call Europeo'!$B$5/'Put y call Europeo'!$B$1)</f>
        <v>0</v>
      </c>
      <c r="E13">
        <f>($D$12*'Put y call Europeo'!$B$8+$D$14*(1-'Put y call Europeo'!$B$8))* EXP(-'Put y call Europeo'!$B$5/'Put y call Europeo'!$B$1)</f>
        <v>0</v>
      </c>
      <c r="G13">
        <f>($F$12*'Put y call Europeo'!$B$8+$F$14*(1-'Put y call Europeo'!$B$8))* EXP(-'Put y call Europeo'!$B$5/'Put y call Europeo'!$B$1)</f>
        <v>0</v>
      </c>
      <c r="I13">
        <f>($H$12*'Put y call Europeo'!$B$8+$H$14*(1-'Put y call Europeo'!$B$8))* EXP(-'Put y call Europeo'!$B$5/'Put y call Europeo'!$B$1)</f>
        <v>5.1442590939073831</v>
      </c>
      <c r="K13">
        <f>($J$12*'Put y call Europeo'!$B$8+$J$14*(1-'Put y call Europeo'!$B$8))* EXP(-'Put y call Europeo'!$B$5/'Put y call Europeo'!$B$1)</f>
        <v>13.507114079794937</v>
      </c>
    </row>
    <row r="14" spans="2:14" x14ac:dyDescent="0.25">
      <c r="B14">
        <f>'Put y call Europeo'!$Q$13</f>
        <v>0</v>
      </c>
      <c r="D14">
        <f>($C$13*'Put y call Europeo'!$B$8+$C$15*(1-'Put y call Europeo'!$B$8))* EXP(-'Put y call Europeo'!$B$5/'Put y call Europeo'!$B$1)</f>
        <v>0</v>
      </c>
      <c r="F14">
        <f>($E$13*'Put y call Europeo'!$B$8+$E$15*(1-'Put y call Europeo'!$B$8))* EXP(-'Put y call Europeo'!$B$5/'Put y call Europeo'!$B$1)</f>
        <v>0</v>
      </c>
      <c r="H14">
        <f>($G$13*'Put y call Europeo'!$B$8+$G$15*(1-'Put y call Europeo'!$B$8))* EXP(-'Put y call Europeo'!$B$5/'Put y call Europeo'!$B$1)</f>
        <v>11.797203197958115</v>
      </c>
      <c r="J14">
        <f>($I$13*'Put y call Europeo'!$B$8+$I$15*(1-'Put y call Europeo'!$B$8))* EXP(-'Put y call Europeo'!$B$5/'Put y call Europeo'!$B$1)</f>
        <v>28.095003079955358</v>
      </c>
      <c r="L14">
        <f>($K$13*'Put y call Europeo'!$B$8+$K$15*(1-'Put y call Europeo'!$B$8))* EXP(-'Put y call Europeo'!$B$5/'Put y call Europeo'!$B$1)</f>
        <v>45.44709314967406</v>
      </c>
    </row>
    <row r="15" spans="2:14" x14ac:dyDescent="0.25">
      <c r="C15">
        <f>($B$14*'Put y call Europeo'!$B$8+$B$16*(1-'Put y call Europeo'!$B$8))* EXP(-'Put y call Europeo'!$B$5/'Put y call Europeo'!$B$1)</f>
        <v>0</v>
      </c>
      <c r="E15">
        <f>($D$14*'Put y call Europeo'!$B$8+$D$16*(1-'Put y call Europeo'!$B$8))* EXP(-'Put y call Europeo'!$B$5/'Put y call Europeo'!$B$1)</f>
        <v>0</v>
      </c>
      <c r="G15">
        <f>($F$14*'Put y call Europeo'!$B$8+$F$16*(1-'Put y call Europeo'!$B$8))* EXP(-'Put y call Europeo'!$B$5/'Put y call Europeo'!$B$1)</f>
        <v>27.054236723563225</v>
      </c>
      <c r="I15">
        <f>($H$14*'Put y call Europeo'!$B$8+$H$16*(1-'Put y call Europeo'!$B$8))* EXP(-'Put y call Europeo'!$B$5/'Put y call Europeo'!$B$1)</f>
        <v>57.823731885576422</v>
      </c>
      <c r="K15">
        <f>($J$14*'Put y call Europeo'!$B$8+$J$16*(1-'Put y call Europeo'!$B$8))* EXP(-'Put y call Europeo'!$B$5/'Put y call Europeo'!$B$1)</f>
        <v>86.877939293327003</v>
      </c>
      <c r="M15">
        <f>($L$14*'Put y call Europeo'!$B$8+$L$16*(1-'Put y call Europeo'!$B$8))* EXP(-'Put y call Europeo'!$B$5/'Put y call Europeo'!$B$1)</f>
        <v>112.82869729475382</v>
      </c>
    </row>
    <row r="16" spans="2:14" x14ac:dyDescent="0.25">
      <c r="B16">
        <f>'Put y call Europeo'!$Q$15</f>
        <v>0</v>
      </c>
      <c r="D16">
        <f>($C$15*'Put y call Europeo'!$B$8+$C$17*(1-'Put y call Europeo'!$B$8))* EXP(-'Put y call Europeo'!$B$5/'Put y call Europeo'!$B$1)</f>
        <v>0</v>
      </c>
      <c r="F16">
        <f>($E$15*'Put y call Europeo'!$B$8+$E$17*(1-'Put y call Europeo'!$B$8))* EXP(-'Put y call Europeo'!$B$5/'Put y call Europeo'!$B$1)</f>
        <v>62.042817472304051</v>
      </c>
      <c r="H16">
        <f>($G$15*'Put y call Europeo'!$B$8+$G$17*(1-'Put y call Europeo'!$B$8))* EXP(-'Put y call Europeo'!$B$5/'Put y call Europeo'!$B$1)</f>
        <v>117.45671326665065</v>
      </c>
      <c r="J16">
        <f>($I$15*'Put y call Europeo'!$B$8+$I$17*(1-'Put y call Europeo'!$B$8))* EXP(-'Put y call Europeo'!$B$5/'Put y call Europeo'!$B$1)</f>
        <v>163.15767240342296</v>
      </c>
      <c r="L16">
        <f>($K$15*'Put y call Europeo'!$B$8+$K$17*(1-'Put y call Europeo'!$B$8))* EXP(-'Put y call Europeo'!$B$5/'Put y call Europeo'!$B$1)</f>
        <v>200.38773129577996</v>
      </c>
      <c r="N16">
        <f>($M$15*'Put y call Europeo'!$B$8+$M$17*(1-'Put y call Europeo'!$B$8))* EXP(-'Put y call Europeo'!$B$5/'Put y call Europeo'!$B$1)</f>
        <v>230.67087592336046</v>
      </c>
    </row>
    <row r="17" spans="2:13" x14ac:dyDescent="0.25">
      <c r="C17">
        <f>($B$16*'Put y call Europeo'!$B$8+$B$18*(1-'Put y call Europeo'!$B$8))* EXP(-'Put y call Europeo'!$B$5/'Put y call Europeo'!$B$1)</f>
        <v>0</v>
      </c>
      <c r="E17">
        <f>($D$16*'Put y call Europeo'!$B$8+$D$18*(1-'Put y call Europeo'!$B$8))* EXP(-'Put y call Europeo'!$B$5/'Put y call Europeo'!$B$1)</f>
        <v>142.28127147823139</v>
      </c>
      <c r="G17">
        <f>($F$16*'Put y call Europeo'!$B$8+$F$18*(1-'Put y call Europeo'!$B$8))* EXP(-'Put y call Europeo'!$B$5/'Put y call Europeo'!$B$1)</f>
        <v>234.61969431111538</v>
      </c>
      <c r="I17">
        <f>($H$16*'Put y call Europeo'!$B$8+$H$18*(1-'Put y call Europeo'!$B$8))* EXP(-'Put y call Europeo'!$B$5/'Put y call Europeo'!$B$1)</f>
        <v>299.91283751928489</v>
      </c>
      <c r="K17">
        <f>($J$16*'Put y call Europeo'!$B$8+$J$18*(1-'Put y call Europeo'!$B$8))* EXP(-'Put y call Europeo'!$B$5/'Put y call Europeo'!$B$1)</f>
        <v>347.98250947383298</v>
      </c>
      <c r="M17">
        <f>($L$16*'Put y call Europeo'!$B$8+$L$18*(1-'Put y call Europeo'!$B$8))* EXP(-'Put y call Europeo'!$B$5/'Put y call Europeo'!$B$1)</f>
        <v>384.10619694052383</v>
      </c>
    </row>
    <row r="18" spans="2:13" x14ac:dyDescent="0.25">
      <c r="B18">
        <f>'Put y call Europeo'!$Q$17</f>
        <v>0</v>
      </c>
      <c r="D18">
        <f>($C$17*'Put y call Europeo'!$B$8+$C$19*(1-'Put y call Europeo'!$B$8))* EXP(-'Put y call Europeo'!$B$5/'Put y call Europeo'!$B$1)</f>
        <v>326.29014990331632</v>
      </c>
      <c r="F18">
        <f>($E$17*'Put y call Europeo'!$B$8+$E$19*(1-'Put y call Europeo'!$B$8))* EXP(-'Put y call Europeo'!$B$5/'Put y call Europeo'!$B$1)</f>
        <v>458.37712438845716</v>
      </c>
      <c r="H18">
        <f>($G$17*'Put y call Europeo'!$B$8+$G$19*(1-'Put y call Europeo'!$B$8))* EXP(-'Put y call Europeo'!$B$5/'Put y call Europeo'!$B$1)</f>
        <v>536.95415798312035</v>
      </c>
      <c r="J18">
        <f>($I$17*'Put y call Europeo'!$B$8+$I$19*(1-'Put y call Europeo'!$B$8))* EXP(-'Put y call Europeo'!$B$5/'Put y call Europeo'!$B$1)</f>
        <v>588.50561035550231</v>
      </c>
      <c r="L18">
        <f>($K$17*'Put y call Europeo'!$B$8+$K$19*(1-'Put y call Europeo'!$B$8))* EXP(-'Put y call Europeo'!$B$5/'Put y call Europeo'!$B$1)</f>
        <v>623.53928779821456</v>
      </c>
    </row>
    <row r="19" spans="2:13" x14ac:dyDescent="0.25">
      <c r="C19">
        <f>($B$18*'Put y call Europeo'!$B$8+$B$20*(1-'Put y call Europeo'!$B$8))* EXP(-'Put y call Europeo'!$B$5/'Put y call Europeo'!$B$1)</f>
        <v>748.27319729299359</v>
      </c>
      <c r="E19">
        <f>($D$18*'Put y call Europeo'!$B$8+$D$20*(1-'Put y call Europeo'!$B$8))* EXP(-'Put y call Europeo'!$B$5/'Put y call Europeo'!$B$1)</f>
        <v>868.47869128540913</v>
      </c>
      <c r="G19">
        <f>($F$18*'Put y call Europeo'!$B$8+$F$20*(1-'Put y call Europeo'!$B$8))* EXP(-'Put y call Europeo'!$B$5/'Put y call Europeo'!$B$1)</f>
        <v>930.1037956850929</v>
      </c>
      <c r="I19">
        <f>($H$18*'Put y call Europeo'!$B$8+$H$20*(1-'Put y call Europeo'!$B$8))* EXP(-'Put y call Europeo'!$B$5/'Put y call Europeo'!$B$1)</f>
        <v>964.48120073497785</v>
      </c>
      <c r="K19">
        <f>($J$18*'Put y call Europeo'!$B$8+$J$20*(1-'Put y call Europeo'!$B$8))* EXP(-'Put y call Europeo'!$B$5/'Put y call Europeo'!$B$1)</f>
        <v>983.09581350892722</v>
      </c>
    </row>
    <row r="20" spans="2:13" x14ac:dyDescent="0.25">
      <c r="B20">
        <f>'Put y call Europeo'!$Q$19</f>
        <v>1715.9965691670077</v>
      </c>
      <c r="D20">
        <f>($C$19*'Put y call Europeo'!$B$8+$C$21*(1-'Put y call Europeo'!$B$8))* EXP(-'Put y call Europeo'!$B$5/'Put y call Europeo'!$B$1)</f>
        <v>1572.6649472402264</v>
      </c>
      <c r="F20">
        <f>($E$19*'Put y call Europeo'!$B$8+$E$21*(1-'Put y call Europeo'!$B$8))* EXP(-'Put y call Europeo'!$B$5/'Put y call Europeo'!$B$1)</f>
        <v>1544.3726706059208</v>
      </c>
      <c r="H20">
        <f>($G$19*'Put y call Europeo'!$B$8+$G$21*(1-'Put y call Europeo'!$B$8))* EXP(-'Put y call Europeo'!$B$5/'Put y call Europeo'!$B$1)</f>
        <v>1522.307135684156</v>
      </c>
      <c r="J20">
        <f>($I$19*'Put y call Europeo'!$B$8+$I$21*(1-'Put y call Europeo'!$B$8))* EXP(-'Put y call Europeo'!$B$5/'Put y call Europeo'!$B$1)</f>
        <v>1498.7972839152835</v>
      </c>
    </row>
    <row r="21" spans="2:13" x14ac:dyDescent="0.25">
      <c r="C21">
        <f>($B$20*'Put y call Europeo'!$B$8+$B$22*(1-'Put y call Europeo'!$B$8))* EXP(-'Put y call Europeo'!$B$5/'Put y call Europeo'!$B$1)</f>
        <v>2645.6808527609619</v>
      </c>
      <c r="E21">
        <f>($D$20*'Put y call Europeo'!$B$8+$D$22*(1-'Put y call Europeo'!$B$8))* EXP(-'Put y call Europeo'!$B$5/'Put y call Europeo'!$B$1)</f>
        <v>2426.4405067021444</v>
      </c>
      <c r="G21">
        <f>($F$20*'Put y call Europeo'!$B$8+$F$22*(1-'Put y call Europeo'!$B$8))* EXP(-'Put y call Europeo'!$B$5/'Put y call Europeo'!$B$1)</f>
        <v>2296.7040850509102</v>
      </c>
      <c r="I21">
        <f>($H$20*'Put y call Europeo'!$B$8+$H$22*(1-'Put y call Europeo'!$B$8))* EXP(-'Put y call Europeo'!$B$5/'Put y call Europeo'!$B$1)</f>
        <v>2198.6447815230281</v>
      </c>
    </row>
    <row r="22" spans="2:13" x14ac:dyDescent="0.25">
      <c r="B22">
        <f>'Put y call Europeo'!$Q$21</f>
        <v>3863.7283040407929</v>
      </c>
      <c r="D22">
        <f>($C$21*'Put y call Europeo'!$B$8+$C$23*(1-'Put y call Europeo'!$B$8))* EXP(-'Put y call Europeo'!$B$5/'Put y call Europeo'!$B$1)</f>
        <v>3545.004897523213</v>
      </c>
      <c r="F22">
        <f>($E$21*'Put y call Europeo'!$B$8+$E$23*(1-'Put y call Europeo'!$B$8))* EXP(-'Put y call Europeo'!$B$5/'Put y call Europeo'!$B$1)</f>
        <v>3283.814241845148</v>
      </c>
      <c r="H22">
        <f>($G$21*'Put y call Europeo'!$B$8+$G$23*(1-'Put y call Europeo'!$B$8))* EXP(-'Put y call Europeo'!$B$5/'Put y call Europeo'!$B$1)</f>
        <v>3087.2720562885688</v>
      </c>
    </row>
    <row r="23" spans="2:13" x14ac:dyDescent="0.25">
      <c r="C23">
        <f>($B$22*'Put y call Europeo'!$B$8+$B$24*(1-'Put y call Europeo'!$B$8))* EXP(-'Put y call Europeo'!$B$5/'Put y call Europeo'!$B$1)</f>
        <v>4732.2992518157844</v>
      </c>
      <c r="E23">
        <f>($D$22*'Put y call Europeo'!$B$8+$D$24*(1-'Put y call Europeo'!$B$8))* EXP(-'Put y call Europeo'!$B$5/'Put y call Europeo'!$B$1)</f>
        <v>4414.8481925333435</v>
      </c>
      <c r="G23">
        <f>($F$22*'Put y call Europeo'!$B$8+$F$24*(1-'Put y call Europeo'!$B$8))* EXP(-'Put y call Europeo'!$B$5/'Put y call Europeo'!$B$1)</f>
        <v>4130.7200427643938</v>
      </c>
    </row>
    <row r="24" spans="2:13" x14ac:dyDescent="0.25">
      <c r="B24">
        <f>'Put y call Europeo'!$Q$23</f>
        <v>5890.9723366992621</v>
      </c>
      <c r="D24">
        <f>($C$23*'Put y call Europeo'!$B$8+$C$25*(1-'Put y call Europeo'!$B$8))* EXP(-'Put y call Europeo'!$B$5/'Put y call Europeo'!$B$1)</f>
        <v>5572.2489301816877</v>
      </c>
      <c r="F24">
        <f>($E$23*'Put y call Europeo'!$B$8+$E$25*(1-'Put y call Europeo'!$B$8))* EXP(-'Put y call Europeo'!$B$5/'Put y call Europeo'!$B$1)</f>
        <v>5256.0651389106633</v>
      </c>
    </row>
    <row r="25" spans="2:13" x14ac:dyDescent="0.25">
      <c r="C25">
        <f>($B$24*'Put y call Europeo'!$B$8+$B$26*(1-'Put y call Europeo'!$B$8))* EXP(-'Put y call Europeo'!$B$5/'Put y call Europeo'!$B$1)</f>
        <v>6701.8584054257472</v>
      </c>
      <c r="E25">
        <f>($D$24*'Put y call Europeo'!$B$8+$D$26*(1-'Put y call Europeo'!$B$8))* EXP(-'Put y call Europeo'!$B$5/'Put y call Europeo'!$B$1)</f>
        <v>6384.4073461433081</v>
      </c>
    </row>
    <row r="26" spans="2:13" x14ac:dyDescent="0.25">
      <c r="B26">
        <f>'Put y call Europeo'!$Q$25</f>
        <v>7804.4880245376808</v>
      </c>
      <c r="D26">
        <f>($C$25*'Put y call Europeo'!$B$8+$C$27*(1-'Put y call Europeo'!$B$8))* EXP(-'Put y call Europeo'!$B$5/'Put y call Europeo'!$B$1)</f>
        <v>7485.7646180201027</v>
      </c>
    </row>
    <row r="27" spans="2:13" x14ac:dyDescent="0.25">
      <c r="C27">
        <f>($B$26*'Put y call Europeo'!$B$8+$B$28*(1-'Put y call Europeo'!$B$8))* EXP(-'Put y call Europeo'!$B$5/'Put y call Europeo'!$B$1)</f>
        <v>8560.9253346380865</v>
      </c>
    </row>
    <row r="28" spans="2:13" x14ac:dyDescent="0.25">
      <c r="B28">
        <f>'Put y call Europeo'!$Q$27</f>
        <v>9610.6555251528298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N28"/>
  <sheetViews>
    <sheetView zoomScaleNormal="100" workbookViewId="0">
      <selection activeCell="D12" sqref="D12"/>
    </sheetView>
  </sheetViews>
  <sheetFormatPr defaultColWidth="11.42578125" defaultRowHeight="15" x14ac:dyDescent="0.25"/>
  <sheetData>
    <row r="2" spans="2:14" x14ac:dyDescent="0.25">
      <c r="B2" t="s">
        <v>23</v>
      </c>
    </row>
    <row r="4" spans="2:14" x14ac:dyDescent="0.25">
      <c r="B4">
        <f>'Put y call Europeo'!$P$3</f>
        <v>20758.826223719829</v>
      </c>
    </row>
    <row r="5" spans="2:14" x14ac:dyDescent="0.25">
      <c r="C5">
        <f>($B$4*'Put y call Europeo'!$B$8+$B$6*(1-'Put y call Europeo'!$B$8))*EXP(-'Put y call Europeo'!$B$5/'Put y call Europeo'!$B$1)</f>
        <v>19189.624736691712</v>
      </c>
    </row>
    <row r="6" spans="2:14" x14ac:dyDescent="0.25">
      <c r="B6">
        <f>'Put y call Europeo'!$P$5</f>
        <v>17350.257433621249</v>
      </c>
      <c r="D6">
        <f>($C$5*'Put y call Europeo'!$B$8+$C$7*(1-'Put y call Europeo'!$B$8))*EXP(-'Put y call Europeo'!$B$5/'Put y call Europeo'!$B$1)</f>
        <v>17668.980840138833</v>
      </c>
    </row>
    <row r="7" spans="2:14" x14ac:dyDescent="0.25">
      <c r="C7">
        <f>($B$6*'Put y call Europeo'!$B$8+$B$8*(1-'Put y call Europeo'!$B$8))*EXP(-'Put y call Europeo'!$B$5/'Put y call Europeo'!$B$1)</f>
        <v>15878.046183198992</v>
      </c>
      <c r="E7">
        <f>($D$6*'Put y call Europeo'!$B$8+$D$8*(1-'Put y call Europeo'!$B$8))*EXP(-'Put y call Europeo'!$B$5/'Put y call Europeo'!$B$1)</f>
        <v>16195.497242481435</v>
      </c>
    </row>
    <row r="8" spans="2:14" x14ac:dyDescent="0.25">
      <c r="B8">
        <f>'Put y call Europeo'!$P$7</f>
        <v>14132.909276292208</v>
      </c>
      <c r="D8">
        <f>($C$7*'Put y call Europeo'!$B$8+$C$9*(1-'Put y call Europeo'!$B$8))*EXP(-'Put y call Europeo'!$B$5/'Put y call Europeo'!$B$1)</f>
        <v>14451.632682809788</v>
      </c>
      <c r="F8">
        <f>($E$7*'Put y call Europeo'!$B$8+$E$9*(1-'Put y call Europeo'!$B$8))*EXP(-'Put y call Europeo'!$B$5/'Put y call Europeo'!$B$1)</f>
        <v>14767.816474080815</v>
      </c>
    </row>
    <row r="9" spans="2:14" x14ac:dyDescent="0.25">
      <c r="C9">
        <f>($B$8*'Put y call Europeo'!$B$8+$B$10*(1-'Put y call Europeo'!$B$8))*EXP(-'Put y call Europeo'!$B$5/'Put y call Europeo'!$B$1)</f>
        <v>12752.247112374886</v>
      </c>
      <c r="E9">
        <f>($D$8*'Put y call Europeo'!$B$8+$D$10*(1-'Put y call Europeo'!$B$8))*EXP(-'Put y call Europeo'!$B$5/'Put y call Europeo'!$B$1)</f>
        <v>13069.698171657328</v>
      </c>
      <c r="G9">
        <f>($F$8*'Put y call Europeo'!$B$8+$F$10*(1-'Put y call Europeo'!$B$8))*EXP(-'Put y call Europeo'!$B$5/'Put y call Europeo'!$B$1)</f>
        <v>13384.619753864341</v>
      </c>
    </row>
    <row r="10" spans="2:14" x14ac:dyDescent="0.25">
      <c r="B10">
        <f>'Put y call Europeo'!$P$9</f>
        <v>11096.054278517848</v>
      </c>
      <c r="D10">
        <f>($C$9*'Put y call Europeo'!$B$8+$C$11*(1-'Put y call Europeo'!$B$8))*EXP(-'Put y call Europeo'!$B$5/'Put y call Europeo'!$B$1)</f>
        <v>11414.777685035424</v>
      </c>
      <c r="F10">
        <f>($E$9*'Put y call Europeo'!$B$8+$E$11*(1-'Put y call Europeo'!$B$8))*EXP(-'Put y call Europeo'!$B$5/'Put y call Europeo'!$B$1)</f>
        <v>11730.961476306447</v>
      </c>
      <c r="H10">
        <f>($G$9*'Put y call Europeo'!$B$8+$G$11*(1-'Put y call Europeo'!$B$8))*EXP(-'Put y call Europeo'!$B$5/'Put y call Europeo'!$B$1)</f>
        <v>12044.625888201484</v>
      </c>
    </row>
    <row r="11" spans="2:14" x14ac:dyDescent="0.25">
      <c r="C11">
        <f>($B$10*'Put y call Europeo'!$B$8+$B$12*(1-'Put y call Europeo'!$B$8))*EXP(-'Put y call Europeo'!$B$5/'Put y call Europeo'!$B$1)</f>
        <v>9801.8052994033114</v>
      </c>
      <c r="E11">
        <f>($D$10*'Put y call Europeo'!$B$8+$D$12*(1-'Put y call Europeo'!$B$8))*EXP(-'Put y call Europeo'!$B$5/'Put y call Europeo'!$B$1)</f>
        <v>10119.256358685752</v>
      </c>
      <c r="G11">
        <f>($F$10*'Put y call Europeo'!$B$8+$F$12*(1-'Put y call Europeo'!$B$8))*EXP(-'Put y call Europeo'!$B$5/'Put y call Europeo'!$B$1)</f>
        <v>10434.177940892767</v>
      </c>
      <c r="I11">
        <f>($H$10*'Put y call Europeo'!$B$8+$H$12*(1-'Put y call Europeo'!$B$8))*EXP(-'Put y call Europeo'!$B$5/'Put y call Europeo'!$B$1)</f>
        <v>10746.590201113107</v>
      </c>
    </row>
    <row r="12" spans="2:14" x14ac:dyDescent="0.25">
      <c r="B12">
        <f>'Put y call Europeo'!$P$11</f>
        <v>8229.5667780903459</v>
      </c>
      <c r="D12">
        <f>($C$11*'Put y call Europeo'!$B$8+$C$13*(1-'Put y call Europeo'!$B$8))*EXP(-'Put y call Europeo'!$B$5/'Put y call Europeo'!$B$1)</f>
        <v>8548.2901846079258</v>
      </c>
      <c r="F12">
        <f>($E$11*'Put y call Europeo'!$B$8+$E$13*(1-'Put y call Europeo'!$B$8))*EXP(-'Put y call Europeo'!$B$5/'Put y call Europeo'!$B$1)</f>
        <v>8864.473975878951</v>
      </c>
      <c r="H12">
        <f>($G$11*'Put y call Europeo'!$B$8+$G$13*(1-'Put y call Europeo'!$B$8))*EXP(-'Put y call Europeo'!$B$5/'Put y call Europeo'!$B$1)</f>
        <v>9178.1383877739881</v>
      </c>
      <c r="J12">
        <f>($I$11*'Put y call Europeo'!$B$8+$I$13*(1-'Put y call Europeo'!$B$8))*EXP(-'Put y call Europeo'!$B$5/'Put y call Europeo'!$B$1)</f>
        <v>9491.546687752254</v>
      </c>
    </row>
    <row r="13" spans="2:14" x14ac:dyDescent="0.25">
      <c r="C13">
        <f>($B$12*'Put y call Europeo'!$B$8+$B$14*(1-'Put y call Europeo'!$B$8))*EXP(-'Put y call Europeo'!$B$5/'Put y call Europeo'!$B$1)</f>
        <v>7016.8832060469003</v>
      </c>
      <c r="E13">
        <f>($D$12*'Put y call Europeo'!$B$8+$D$14*(1-'Put y call Europeo'!$B$8))*EXP(-'Put y call Europeo'!$B$5/'Put y call Europeo'!$B$1)</f>
        <v>7334.334265329343</v>
      </c>
      <c r="G13">
        <f>($F$12*'Put y call Europeo'!$B$8+$F$14*(1-'Put y call Europeo'!$B$8))*EXP(-'Put y call Europeo'!$B$5/'Put y call Europeo'!$B$1)</f>
        <v>7649.2558475363576</v>
      </c>
      <c r="I13">
        <f>($H$12*'Put y call Europeo'!$B$8+$H$14*(1-'Put y call Europeo'!$B$8))*EXP(-'Put y call Europeo'!$B$5/'Put y call Europeo'!$B$1)</f>
        <v>7966.8123668506078</v>
      </c>
      <c r="K13">
        <f>($J$12*'Put y call Europeo'!$B$8+$J$14*(1-'Put y call Europeo'!$B$8))*EXP(-'Put y call Europeo'!$B$5/'Put y call Europeo'!$B$1)</f>
        <v>8285.0981545614541</v>
      </c>
    </row>
    <row r="14" spans="2:14" x14ac:dyDescent="0.25">
      <c r="B14">
        <f>'Put y call Europeo'!$P$13</f>
        <v>5523.889162224943</v>
      </c>
      <c r="D14">
        <f>($C$13*'Put y call Europeo'!$B$8+$C$15*(1-'Put y call Europeo'!$B$8))*EXP(-'Put y call Europeo'!$B$5/'Put y call Europeo'!$B$1)</f>
        <v>5842.6125687425256</v>
      </c>
      <c r="F14">
        <f>($E$13*'Put y call Europeo'!$B$8+$E$15*(1-'Put y call Europeo'!$B$8))*EXP(-'Put y call Europeo'!$B$5/'Put y call Europeo'!$B$1)</f>
        <v>6158.7963600135508</v>
      </c>
      <c r="H14">
        <f>($G$13*'Put y call Europeo'!$B$8+$G$15*(1-'Put y call Europeo'!$B$8))*EXP(-'Put y call Europeo'!$B$5/'Put y call Europeo'!$B$1)</f>
        <v>6484.2579751065468</v>
      </c>
      <c r="J14">
        <f>($I$13*'Put y call Europeo'!$B$8+$I$15*(1-'Put y call Europeo'!$B$8))*EXP(-'Put y call Europeo'!$B$5/'Put y call Europeo'!$B$1)</f>
        <v>6811.7208821370177</v>
      </c>
      <c r="L14">
        <f>($K$13*'Put y call Europeo'!$B$8+$K$15*(1-'Put y call Europeo'!$B$8))*EXP(-'Put y call Europeo'!$B$5/'Put y call Europeo'!$B$1)</f>
        <v>7137.7586892817171</v>
      </c>
    </row>
    <row r="15" spans="2:14" x14ac:dyDescent="0.25">
      <c r="C15">
        <f>($B$14*'Put y call Europeo'!$B$8+$B$16*(1-'Put y call Europeo'!$B$8))*EXP(-'Put y call Europeo'!$B$5/'Put y call Europeo'!$B$1)</f>
        <v>4388.1951797430402</v>
      </c>
      <c r="E15">
        <f>($D$14*'Put y call Europeo'!$B$8+$D$16*(1-'Put y call Europeo'!$B$8))*EXP(-'Put y call Europeo'!$B$5/'Put y call Europeo'!$B$1)</f>
        <v>4705.6462390254828</v>
      </c>
      <c r="G15">
        <f>($F$14*'Put y call Europeo'!$B$8+$F$16*(1-'Put y call Europeo'!$B$8))*EXP(-'Put y call Europeo'!$B$5/'Put y call Europeo'!$B$1)</f>
        <v>5047.6220579560595</v>
      </c>
      <c r="I15">
        <f>($H$14*'Put y call Europeo'!$B$8+$H$16*(1-'Put y call Europeo'!$B$8))*EXP(-'Put y call Europeo'!$B$5/'Put y call Europeo'!$B$1)</f>
        <v>5390.8038133384143</v>
      </c>
      <c r="K15">
        <f>($J$14*'Put y call Europeo'!$B$8+$J$16*(1-'Put y call Europeo'!$B$8))*EXP(-'Put y call Europeo'!$B$5/'Put y call Europeo'!$B$1)</f>
        <v>5729.780953471125</v>
      </c>
      <c r="M15">
        <f>($L$14*'Put y call Europeo'!$B$8+$L$16*(1-'Put y call Europeo'!$B$8))*EXP(-'Put y call Europeo'!$B$5/'Put y call Europeo'!$B$1)</f>
        <v>6063.1851518756093</v>
      </c>
    </row>
    <row r="16" spans="2:14" x14ac:dyDescent="0.25">
      <c r="B16">
        <f>'Put y call Europeo'!$P$15</f>
        <v>2970</v>
      </c>
      <c r="D16">
        <f>($C$15*'Put y call Europeo'!$B$8+$C$17*(1-'Put y call Europeo'!$B$8))*EXP(-'Put y call Europeo'!$B$5/'Put y call Europeo'!$B$1)</f>
        <v>3288.7234065175762</v>
      </c>
      <c r="F16">
        <f>($E$15*'Put y call Europeo'!$B$8+$E$17*(1-'Put y call Europeo'!$B$8))*EXP(-'Put y call Europeo'!$B$5/'Put y call Europeo'!$B$1)</f>
        <v>3666.9500152609048</v>
      </c>
      <c r="H16">
        <f>($G$15*'Put y call Europeo'!$B$8+$G$17*(1-'Put y call Europeo'!$B$8))*EXP(-'Put y call Europeo'!$B$5/'Put y call Europeo'!$B$1)</f>
        <v>4036.0283229502875</v>
      </c>
      <c r="J16">
        <f>($I$15*'Put y call Europeo'!$B$8+$I$17*(1-'Put y call Europeo'!$B$8))*EXP(-'Put y call Europeo'!$B$5/'Put y call Europeo'!$B$1)</f>
        <v>4392.8943892355337</v>
      </c>
      <c r="L16">
        <f>($K$15*'Put y call Europeo'!$B$8+$K$17*(1-'Put y call Europeo'!$B$8))*EXP(-'Put y call Europeo'!$B$5/'Put y call Europeo'!$B$1)</f>
        <v>4738.8101652028699</v>
      </c>
      <c r="N16">
        <f>($M$15*'Put y call Europeo'!$B$8+$M$17*(1-'Put y call Europeo'!$B$8))*EXP(-'Put y call Europeo'!$B$5/'Put y call Europeo'!$B$1)</f>
        <v>5075.319392823194</v>
      </c>
    </row>
    <row r="17" spans="2:13" x14ac:dyDescent="0.25">
      <c r="C17">
        <f>($B$16*'Put y call Europeo'!$B$8+$B$18*(1-'Put y call Europeo'!$B$8))*EXP(-'Put y call Europeo'!$B$5/'Put y call Europeo'!$B$1)</f>
        <v>1906.9764928298644</v>
      </c>
      <c r="E17">
        <f>($D$16*'Put y call Europeo'!$B$8+$D$18*(1-'Put y call Europeo'!$B$8))*EXP(-'Put y call Europeo'!$B$5/'Put y call Europeo'!$B$1)</f>
        <v>2366.7088235905362</v>
      </c>
      <c r="G17">
        <f>($F$16*'Put y call Europeo'!$B$8+$F$18*(1-'Put y call Europeo'!$B$8))*EXP(-'Put y call Europeo'!$B$5/'Put y call Europeo'!$B$1)</f>
        <v>2773.9688286304336</v>
      </c>
      <c r="I17">
        <f>($H$16*'Put y call Europeo'!$B$8+$H$18*(1-'Put y call Europeo'!$B$8))*EXP(-'Put y call Europeo'!$B$5/'Put y call Europeo'!$B$1)</f>
        <v>3151.6742320589437</v>
      </c>
      <c r="K17">
        <f>($J$16*'Put y call Europeo'!$B$8+$J$18*(1-'Put y call Europeo'!$B$8))*EXP(-'Put y call Europeo'!$B$5/'Put y call Europeo'!$B$1)</f>
        <v>3509.6668367384505</v>
      </c>
      <c r="M17">
        <f>($L$16*'Put y call Europeo'!$B$8+$L$18*(1-'Put y call Europeo'!$B$8))*EXP(-'Put y call Europeo'!$B$5/'Put y call Europeo'!$B$1)</f>
        <v>3853.2439646081998</v>
      </c>
    </row>
    <row r="18" spans="2:13" x14ac:dyDescent="0.25">
      <c r="B18">
        <f>'Put y call Europeo'!$P$17</f>
        <v>559.38396256646229</v>
      </c>
      <c r="D18">
        <f>($C$17*'Put y call Europeo'!$B$8+$C$19*(1-'Put y call Europeo'!$B$8))*EXP(-'Put y call Europeo'!$B$5/'Put y call Europeo'!$B$1)</f>
        <v>1204.3975189873586</v>
      </c>
      <c r="F18">
        <f>($E$17*'Put y call Europeo'!$B$8+$E$19*(1-'Put y call Europeo'!$B$8))*EXP(-'Put y call Europeo'!$B$5/'Put y call Europeo'!$B$1)</f>
        <v>1652.6682847435236</v>
      </c>
      <c r="H18">
        <f>($G$17*'Put y call Europeo'!$B$8+$G$19*(1-'Put y call Europeo'!$B$8))*EXP(-'Put y call Europeo'!$B$5/'Put y call Europeo'!$B$1)</f>
        <v>2044.9097302332229</v>
      </c>
      <c r="J18">
        <f>($I$17*'Put y call Europeo'!$B$8+$I$19*(1-'Put y call Europeo'!$B$8))*EXP(-'Put y call Europeo'!$B$5/'Put y call Europeo'!$B$1)</f>
        <v>2407.6262897540778</v>
      </c>
      <c r="L18">
        <f>($K$17*'Put y call Europeo'!$B$8+$K$19*(1-'Put y call Europeo'!$B$8))*EXP(-'Put y call Europeo'!$B$5/'Put y call Europeo'!$B$1)</f>
        <v>2751.3456842717696</v>
      </c>
    </row>
    <row r="19" spans="2:13" x14ac:dyDescent="0.25">
      <c r="C19">
        <f>($B$18*'Put y call Europeo'!$B$8+$B$20*(1-'Put y call Europeo'!$B$8))*EXP(-'Put y call Europeo'!$B$5/'Put y call Europeo'!$B$1)</f>
        <v>313.22731596398694</v>
      </c>
      <c r="E19">
        <f>($D$18*'Put y call Europeo'!$B$8+$D$20*(1-'Put y call Europeo'!$B$8))*EXP(-'Put y call Europeo'!$B$5/'Put y call Europeo'!$B$1)</f>
        <v>750.88386923884389</v>
      </c>
      <c r="G19">
        <f>($F$18*'Put y call Europeo'!$B$8+$F$20*(1-'Put y call Europeo'!$B$8))*EXP(-'Put y call Europeo'!$B$5/'Put y call Europeo'!$B$1)</f>
        <v>1127.430555845541</v>
      </c>
      <c r="I19">
        <f>($H$18*'Put y call Europeo'!$B$8+$H$20*(1-'Put y call Europeo'!$B$8))*EXP(-'Put y call Europeo'!$B$5/'Put y call Europeo'!$B$1)</f>
        <v>1474.2202211157669</v>
      </c>
      <c r="K19">
        <f>($J$18*'Put y call Europeo'!$B$8+$J$20*(1-'Put y call Europeo'!$B$8))*EXP(-'Put y call Europeo'!$B$5/'Put y call Europeo'!$B$1)</f>
        <v>1802.7577666146742</v>
      </c>
    </row>
    <row r="20" spans="2:13" x14ac:dyDescent="0.25">
      <c r="B20">
        <f>'Put y call Europeo'!$P$19</f>
        <v>0</v>
      </c>
      <c r="D20">
        <f>($C$19*'Put y call Europeo'!$B$8+$C$21*(1-'Put y call Europeo'!$B$8))*EXP(-'Put y call Europeo'!$B$5/'Put y call Europeo'!$B$1)</f>
        <v>175.39178459079679</v>
      </c>
      <c r="F20">
        <f>($E$19*'Put y call Europeo'!$B$8+$E$21*(1-'Put y call Europeo'!$B$8))*EXP(-'Put y call Europeo'!$B$5/'Put y call Europeo'!$B$1)</f>
        <v>463.2832992275159</v>
      </c>
      <c r="H20">
        <f>($G$19*'Put y call Europeo'!$B$8+$G$21*(1-'Put y call Europeo'!$B$8))*EXP(-'Put y call Europeo'!$B$5/'Put y call Europeo'!$B$1)</f>
        <v>754.88217620078706</v>
      </c>
      <c r="J20">
        <f>($I$19*'Put y call Europeo'!$B$8+$I$21*(1-'Put y call Europeo'!$B$8))*EXP(-'Put y call Europeo'!$B$5/'Put y call Europeo'!$B$1)</f>
        <v>1042.5374315803879</v>
      </c>
    </row>
    <row r="21" spans="2:13" x14ac:dyDescent="0.25">
      <c r="C21">
        <f>($B$20*'Put y call Europeo'!$B$8+$B$22*(1-'Put y call Europeo'!$B$8))*EXP(-'Put y call Europeo'!$B$5/'Put y call Europeo'!$B$1)</f>
        <v>0</v>
      </c>
      <c r="E21">
        <f>($D$20*'Put y call Europeo'!$B$8+$D$22*(1-'Put y call Europeo'!$B$8))*EXP(-'Put y call Europeo'!$B$5/'Put y call Europeo'!$B$1)</f>
        <v>98.210713223623614</v>
      </c>
      <c r="G21">
        <f>($F$20*'Put y call Europeo'!$B$8+$F$22*(1-'Put y call Europeo'!$B$8))*EXP(-'Put y call Europeo'!$B$5/'Put y call Europeo'!$B$1)</f>
        <v>283.39587377940313</v>
      </c>
      <c r="I21">
        <f>($H$20*'Put y call Europeo'!$B$8+$H$22*(1-'Put y call Europeo'!$B$8))*EXP(-'Put y call Europeo'!$B$5/'Put y call Europeo'!$B$1)</f>
        <v>497.7488304718608</v>
      </c>
    </row>
    <row r="22" spans="2:13" x14ac:dyDescent="0.25">
      <c r="B22">
        <f>'Put y call Europeo'!$P$21</f>
        <v>0</v>
      </c>
      <c r="D22">
        <f>($C$21*'Put y call Europeo'!$B$8+$C$23*(1-'Put y call Europeo'!$B$8))*EXP(-'Put y call Europeo'!$B$5/'Put y call Europeo'!$B$1)</f>
        <v>0</v>
      </c>
      <c r="F22">
        <f>($E$21*'Put y call Europeo'!$B$8+$E$23*(1-'Put y call Europeo'!$B$8))*EXP(-'Put y call Europeo'!$B$5/'Put y call Europeo'!$B$1)</f>
        <v>54.993135592959533</v>
      </c>
      <c r="H22">
        <f>($G$21*'Put y call Europeo'!$B$8+$G$23*(1-'Put y call Europeo'!$B$8))*EXP(-'Put y call Europeo'!$B$5/'Put y call Europeo'!$B$1)</f>
        <v>172.11536193141615</v>
      </c>
    </row>
    <row r="23" spans="2:13" x14ac:dyDescent="0.25">
      <c r="C23">
        <f>($B$22*'Put y call Europeo'!$B$8+$B$24*(1-'Put y call Europeo'!$B$8))*EXP(-'Put y call Europeo'!$B$5/'Put y call Europeo'!$B$1)</f>
        <v>0</v>
      </c>
      <c r="E23">
        <f>($D$22*'Put y call Europeo'!$B$8+$D$24*(1-'Put y call Europeo'!$B$8))*EXP(-'Put y call Europeo'!$B$5/'Put y call Europeo'!$B$1)</f>
        <v>0</v>
      </c>
      <c r="G23">
        <f>($F$22*'Put y call Europeo'!$B$8+$F$24*(1-'Put y call Europeo'!$B$8))*EXP(-'Put y call Europeo'!$B$5/'Put y call Europeo'!$B$1)</f>
        <v>30.793432438062982</v>
      </c>
    </row>
    <row r="24" spans="2:13" x14ac:dyDescent="0.25">
      <c r="B24">
        <f>'Put y call Europeo'!$P$23</f>
        <v>0</v>
      </c>
      <c r="D24">
        <f>($C$23*'Put y call Europeo'!$B$8+$C$25*(1-'Put y call Europeo'!$B$8))*EXP(-'Put y call Europeo'!$B$5/'Put y call Europeo'!$B$1)</f>
        <v>0</v>
      </c>
      <c r="F24">
        <f>($E$23*'Put y call Europeo'!$B$8+$E$25*(1-'Put y call Europeo'!$B$8))*EXP(-'Put y call Europeo'!$B$5/'Put y call Europeo'!$B$1)</f>
        <v>0</v>
      </c>
    </row>
    <row r="25" spans="2:13" x14ac:dyDescent="0.25">
      <c r="C25">
        <f>($B$24*'Put y call Europeo'!$B$8+$B$26*(1-'Put y call Europeo'!$B$8))*EXP(-'Put y call Europeo'!$B$5/'Put y call Europeo'!$B$1)</f>
        <v>0</v>
      </c>
      <c r="E25">
        <f>($D$24*'Put y call Europeo'!$B$8+$D$26*(1-'Put y call Europeo'!$B$8))*EXP(-'Put y call Europeo'!$B$5/'Put y call Europeo'!$B$1)</f>
        <v>0</v>
      </c>
    </row>
    <row r="26" spans="2:13" x14ac:dyDescent="0.25">
      <c r="B26">
        <f>'Put y call Europeo'!$P$25</f>
        <v>0</v>
      </c>
      <c r="D26">
        <f>($C$25*'Put y call Europeo'!$B$8+$C$27*(1-'Put y call Europeo'!$B$8))*EXP(-'Put y call Europeo'!$B$5/'Put y call Europeo'!$B$1)</f>
        <v>0</v>
      </c>
    </row>
    <row r="27" spans="2:13" x14ac:dyDescent="0.25">
      <c r="C27">
        <f>($B$26*'Put y call Europeo'!$B$8+$B$28*(1-'Put y call Europeo'!$B$8))*EXP(-'Put y call Europeo'!$B$5/'Put y call Europeo'!$B$1)</f>
        <v>0</v>
      </c>
    </row>
    <row r="28" spans="2:13" x14ac:dyDescent="0.25">
      <c r="B28">
        <f>'Put y call Europeo'!$P$27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M26"/>
  <sheetViews>
    <sheetView workbookViewId="0">
      <selection activeCell="M15" sqref="M15"/>
    </sheetView>
  </sheetViews>
  <sheetFormatPr defaultColWidth="11.42578125" defaultRowHeight="15" x14ac:dyDescent="0.25"/>
  <sheetData>
    <row r="2" spans="2:13" x14ac:dyDescent="0.25">
      <c r="B2" t="s">
        <v>24</v>
      </c>
    </row>
    <row r="4" spans="2:13" x14ac:dyDescent="0.25">
      <c r="B4">
        <v>1</v>
      </c>
    </row>
    <row r="5" spans="2:13" x14ac:dyDescent="0.25">
      <c r="C5">
        <v>1</v>
      </c>
    </row>
    <row r="6" spans="2:13" x14ac:dyDescent="0.25">
      <c r="B6">
        <v>1</v>
      </c>
      <c r="D6">
        <v>0.99999999999999889</v>
      </c>
    </row>
    <row r="7" spans="2:13" x14ac:dyDescent="0.25">
      <c r="C7">
        <v>1.0000000000000007</v>
      </c>
      <c r="E7">
        <v>1.0000000000000007</v>
      </c>
    </row>
    <row r="8" spans="2:13" x14ac:dyDescent="0.25">
      <c r="B8">
        <v>1</v>
      </c>
      <c r="D8">
        <v>0.99999999999999878</v>
      </c>
      <c r="F8">
        <v>0.99999999999999756</v>
      </c>
    </row>
    <row r="9" spans="2:13" x14ac:dyDescent="0.25">
      <c r="C9">
        <v>0.99999999999999878</v>
      </c>
      <c r="E9">
        <v>0.99999999999999689</v>
      </c>
      <c r="G9">
        <v>1.0000000000000038</v>
      </c>
    </row>
    <row r="10" spans="2:13" x14ac:dyDescent="0.25">
      <c r="B10">
        <v>1</v>
      </c>
      <c r="D10">
        <v>0.99999999999999878</v>
      </c>
      <c r="F10">
        <v>1.0000000000000031</v>
      </c>
      <c r="H10">
        <v>1.0000000000000031</v>
      </c>
    </row>
    <row r="11" spans="2:13" x14ac:dyDescent="0.25">
      <c r="C11">
        <v>0.999999999999999</v>
      </c>
      <c r="E11">
        <v>1.0000000000000036</v>
      </c>
      <c r="G11">
        <v>1.0000000000000009</v>
      </c>
      <c r="I11">
        <v>0.99815281759364871</v>
      </c>
    </row>
    <row r="12" spans="2:13" x14ac:dyDescent="0.25">
      <c r="B12">
        <v>1</v>
      </c>
      <c r="D12">
        <v>1.0000000000000044</v>
      </c>
      <c r="F12">
        <v>1.0000000000000018</v>
      </c>
      <c r="H12">
        <v>0.99563983412924517</v>
      </c>
      <c r="J12">
        <v>0.99044534718453592</v>
      </c>
    </row>
    <row r="13" spans="2:13" x14ac:dyDescent="0.25">
      <c r="C13">
        <v>1.000000000000002</v>
      </c>
      <c r="E13">
        <v>0.99999999999999933</v>
      </c>
      <c r="G13">
        <v>0.989708083860524</v>
      </c>
      <c r="I13">
        <v>0.97995978516106386</v>
      </c>
      <c r="K13">
        <v>0.97208842415709407</v>
      </c>
    </row>
    <row r="14" spans="2:13" x14ac:dyDescent="0.25">
      <c r="B14">
        <v>1</v>
      </c>
      <c r="D14">
        <v>0.99999999999999967</v>
      </c>
      <c r="F14">
        <v>0.97570653480582048</v>
      </c>
      <c r="H14">
        <v>0.9586279970049103</v>
      </c>
      <c r="J14">
        <v>0.94711490564226652</v>
      </c>
      <c r="L14">
        <v>0.93933149471094557</v>
      </c>
    </row>
    <row r="15" spans="2:13" x14ac:dyDescent="0.25">
      <c r="C15">
        <v>0.99999999999999967</v>
      </c>
      <c r="E15">
        <v>0.94265669840845889</v>
      </c>
      <c r="G15">
        <v>0.91634535936621353</v>
      </c>
      <c r="I15">
        <v>0.90243137095872716</v>
      </c>
      <c r="K15">
        <v>0.89476761094954427</v>
      </c>
      <c r="M15">
        <v>4.9966434540793442E-2</v>
      </c>
    </row>
    <row r="16" spans="2:13" x14ac:dyDescent="0.25">
      <c r="B16">
        <v>1</v>
      </c>
      <c r="D16">
        <v>0.86464449549970435</v>
      </c>
      <c r="F16">
        <v>0.83558795728492963</v>
      </c>
      <c r="H16">
        <v>0.82597915296246049</v>
      </c>
      <c r="J16">
        <v>0.82355218278356412</v>
      </c>
      <c r="L16">
        <v>4.6252373305354907E-2</v>
      </c>
    </row>
    <row r="17" spans="2:11" x14ac:dyDescent="0.25">
      <c r="C17">
        <v>0.68050126012919365</v>
      </c>
      <c r="E17">
        <v>0.68992720658016993</v>
      </c>
      <c r="G17">
        <v>0.70304122238637934</v>
      </c>
      <c r="I17">
        <v>0.71624166765086039</v>
      </c>
      <c r="K17">
        <v>4.0886697605544337E-2</v>
      </c>
    </row>
    <row r="18" spans="2:11" x14ac:dyDescent="0.25">
      <c r="B18">
        <v>0.24584193929984216</v>
      </c>
      <c r="D18">
        <v>0.45223456913935478</v>
      </c>
      <c r="F18">
        <v>0.52271915353424137</v>
      </c>
      <c r="H18">
        <v>0.56695024680098005</v>
      </c>
      <c r="J18">
        <v>3.3656548122959005E-2</v>
      </c>
    </row>
    <row r="19" spans="2:11" x14ac:dyDescent="0.25">
      <c r="C19">
        <v>0.14169110685926187</v>
      </c>
      <c r="E19">
        <v>0.29524239164299915</v>
      </c>
      <c r="G19">
        <v>0.38180644609969544</v>
      </c>
      <c r="I19">
        <v>2.4780220999492161E-2</v>
      </c>
    </row>
    <row r="20" spans="2:11" x14ac:dyDescent="0.25">
      <c r="B20">
        <v>0</v>
      </c>
      <c r="D20">
        <v>8.1663730038008933E-2</v>
      </c>
      <c r="F20">
        <v>0.19010296165249374</v>
      </c>
      <c r="H20">
        <v>1.5222201495260154E-2</v>
      </c>
    </row>
    <row r="21" spans="2:11" x14ac:dyDescent="0.25">
      <c r="C21">
        <v>0</v>
      </c>
      <c r="E21">
        <v>4.7066925734053799E-2</v>
      </c>
      <c r="G21">
        <v>6.7913669826487723E-3</v>
      </c>
    </row>
    <row r="22" spans="2:11" x14ac:dyDescent="0.25">
      <c r="B22">
        <v>0</v>
      </c>
      <c r="D22">
        <v>0</v>
      </c>
      <c r="F22">
        <v>1.5218264921090052E-3</v>
      </c>
    </row>
    <row r="23" spans="2:11" x14ac:dyDescent="0.25">
      <c r="C23">
        <v>0</v>
      </c>
      <c r="E23">
        <v>0</v>
      </c>
    </row>
    <row r="24" spans="2:11" x14ac:dyDescent="0.25">
      <c r="B24">
        <v>0</v>
      </c>
      <c r="D24">
        <v>0</v>
      </c>
    </row>
    <row r="25" spans="2:11" x14ac:dyDescent="0.25">
      <c r="C25">
        <v>0</v>
      </c>
    </row>
    <row r="26" spans="2:11" x14ac:dyDescent="0.25">
      <c r="B2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M26"/>
  <sheetViews>
    <sheetView workbookViewId="0">
      <selection activeCell="B4" sqref="B4"/>
    </sheetView>
  </sheetViews>
  <sheetFormatPr defaultColWidth="11.42578125" defaultRowHeight="15" x14ac:dyDescent="0.25"/>
  <sheetData>
    <row r="2" spans="2:13" x14ac:dyDescent="0.25">
      <c r="B2" t="s">
        <v>25</v>
      </c>
    </row>
    <row r="4" spans="2:13" x14ac:dyDescent="0.25">
      <c r="B4">
        <v>-39840.319573759662</v>
      </c>
    </row>
    <row r="5" spans="2:13" x14ac:dyDescent="0.25">
      <c r="C5">
        <v>-39681.27659348242</v>
      </c>
    </row>
    <row r="6" spans="2:13" x14ac:dyDescent="0.25">
      <c r="B6">
        <v>-39840.319573759662</v>
      </c>
      <c r="D6">
        <v>-39522.868514477152</v>
      </c>
    </row>
    <row r="7" spans="2:13" x14ac:dyDescent="0.25">
      <c r="C7">
        <v>-39681.276593482464</v>
      </c>
      <c r="E7">
        <v>-39365.092802211439</v>
      </c>
    </row>
    <row r="8" spans="2:13" x14ac:dyDescent="0.25">
      <c r="B8">
        <v>-39840.319573759662</v>
      </c>
      <c r="D8">
        <v>-39522.868514477152</v>
      </c>
      <c r="F8">
        <v>-39207.946932270075</v>
      </c>
    </row>
    <row r="9" spans="2:13" x14ac:dyDescent="0.25">
      <c r="C9">
        <v>-39681.276593482362</v>
      </c>
      <c r="E9">
        <v>-39365.092802211242</v>
      </c>
      <c r="G9">
        <v>-39051.428390316549</v>
      </c>
    </row>
    <row r="10" spans="2:13" x14ac:dyDescent="0.25">
      <c r="B10">
        <v>-39840.319573759662</v>
      </c>
      <c r="D10">
        <v>-39522.868514477152</v>
      </c>
      <c r="F10">
        <v>-39207.946932270352</v>
      </c>
      <c r="H10">
        <v>-38895.534672050024</v>
      </c>
    </row>
    <row r="11" spans="2:13" x14ac:dyDescent="0.25">
      <c r="C11">
        <v>-39681.276593482369</v>
      </c>
      <c r="E11">
        <v>-39365.09280221157</v>
      </c>
      <c r="G11">
        <v>-39051.428390316403</v>
      </c>
      <c r="I11">
        <v>-38648.931283119666</v>
      </c>
    </row>
    <row r="12" spans="2:13" x14ac:dyDescent="0.25">
      <c r="B12">
        <v>-39840.319573759662</v>
      </c>
      <c r="D12">
        <v>-39522.868514477421</v>
      </c>
      <c r="F12">
        <v>-39207.946932270293</v>
      </c>
      <c r="H12">
        <v>-38686.085236596409</v>
      </c>
      <c r="J12">
        <v>-38124.400320780253</v>
      </c>
    </row>
    <row r="13" spans="2:13" x14ac:dyDescent="0.25">
      <c r="C13">
        <v>-39681.276593482515</v>
      </c>
      <c r="E13">
        <v>-39365.092802211373</v>
      </c>
      <c r="G13">
        <v>-38571.103137517988</v>
      </c>
      <c r="I13">
        <v>-37799.859760973028</v>
      </c>
      <c r="K13">
        <v>-37115.486987927747</v>
      </c>
    </row>
    <row r="14" spans="2:13" x14ac:dyDescent="0.25">
      <c r="B14">
        <v>-39840.319573759662</v>
      </c>
      <c r="D14">
        <v>-39522.86851447721</v>
      </c>
      <c r="F14">
        <v>-38106.428811792175</v>
      </c>
      <c r="H14">
        <v>-37007.888695314003</v>
      </c>
      <c r="J14">
        <v>-36159.704623990183</v>
      </c>
      <c r="L14">
        <v>-35482.051720377189</v>
      </c>
    </row>
    <row r="15" spans="2:13" x14ac:dyDescent="0.25">
      <c r="C15">
        <v>-39681.276593482413</v>
      </c>
      <c r="E15">
        <v>-36839.008315350577</v>
      </c>
      <c r="G15">
        <v>-35339.331769015902</v>
      </c>
      <c r="I15">
        <v>-34384.581620860976</v>
      </c>
      <c r="K15">
        <v>-33709.354077299045</v>
      </c>
      <c r="M15">
        <v>3837.8617736412834</v>
      </c>
    </row>
    <row r="16" spans="2:13" x14ac:dyDescent="0.25">
      <c r="B16">
        <v>-39840.319573759662</v>
      </c>
      <c r="D16">
        <v>-33729.860922382548</v>
      </c>
      <c r="F16">
        <v>-32109.569013820284</v>
      </c>
      <c r="H16">
        <v>-31330.722011495731</v>
      </c>
      <c r="J16">
        <v>-30871.409964213053</v>
      </c>
      <c r="L16">
        <v>2740.3622829817937</v>
      </c>
    </row>
    <row r="17" spans="2:11" x14ac:dyDescent="0.25">
      <c r="C17">
        <v>-26396.314377602932</v>
      </c>
      <c r="E17">
        <v>-26330.354193162504</v>
      </c>
      <c r="G17">
        <v>-26470.009150048016</v>
      </c>
      <c r="I17">
        <v>-26642.694518486092</v>
      </c>
      <c r="K17">
        <v>1795.5611384001463</v>
      </c>
    </row>
    <row r="18" spans="2:11" x14ac:dyDescent="0.25">
      <c r="B18">
        <v>-9374.2415872242163</v>
      </c>
      <c r="D18">
        <v>-17069.543100875882</v>
      </c>
      <c r="F18">
        <v>-19470.460753446921</v>
      </c>
      <c r="H18">
        <v>-20866.609424067963</v>
      </c>
      <c r="J18">
        <v>1038.3756110442312</v>
      </c>
    </row>
    <row r="19" spans="2:11" x14ac:dyDescent="0.25">
      <c r="C19">
        <v>-5249.1110365277091</v>
      </c>
      <c r="E19">
        <v>-10839.777435360402</v>
      </c>
      <c r="G19">
        <v>-13862.197116194107</v>
      </c>
      <c r="I19">
        <v>495.7618118366014</v>
      </c>
    </row>
    <row r="20" spans="2:11" x14ac:dyDescent="0.25">
      <c r="B20">
        <v>0</v>
      </c>
      <c r="D20">
        <v>-2939.242222149288</v>
      </c>
      <c r="F20">
        <v>-6787.4151046769712</v>
      </c>
      <c r="H20">
        <v>171.42827557252318</v>
      </c>
    </row>
    <row r="21" spans="2:11" x14ac:dyDescent="0.25">
      <c r="C21">
        <v>0</v>
      </c>
      <c r="E21">
        <v>-1645.8300806263433</v>
      </c>
      <c r="G21">
        <v>30.67050472763518</v>
      </c>
    </row>
    <row r="22" spans="2:11" x14ac:dyDescent="0.25">
      <c r="B22">
        <v>0</v>
      </c>
      <c r="D22">
        <v>0</v>
      </c>
      <c r="F22">
        <v>0</v>
      </c>
    </row>
    <row r="23" spans="2:11" x14ac:dyDescent="0.25">
      <c r="C23">
        <v>0</v>
      </c>
      <c r="E23">
        <v>0</v>
      </c>
    </row>
    <row r="24" spans="2:11" x14ac:dyDescent="0.25">
      <c r="B24">
        <v>0</v>
      </c>
      <c r="D24">
        <v>0</v>
      </c>
    </row>
    <row r="25" spans="2:11" x14ac:dyDescent="0.25">
      <c r="C25">
        <v>0</v>
      </c>
    </row>
    <row r="26" spans="2:11" x14ac:dyDescent="0.25">
      <c r="B2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2:M26"/>
  <sheetViews>
    <sheetView workbookViewId="0">
      <selection activeCell="P23" sqref="P23"/>
    </sheetView>
  </sheetViews>
  <sheetFormatPr defaultColWidth="11.42578125" defaultRowHeight="15" x14ac:dyDescent="0.25"/>
  <sheetData>
    <row r="2" spans="2:13" x14ac:dyDescent="0.25">
      <c r="B2" t="s">
        <v>26</v>
      </c>
    </row>
    <row r="4" spans="2:13" x14ac:dyDescent="0.25">
      <c r="B4">
        <v>0</v>
      </c>
    </row>
    <row r="5" spans="2:13" x14ac:dyDescent="0.25">
      <c r="C5">
        <v>0</v>
      </c>
    </row>
    <row r="6" spans="2:13" x14ac:dyDescent="0.25">
      <c r="B6">
        <v>0</v>
      </c>
      <c r="D6">
        <v>0</v>
      </c>
    </row>
    <row r="7" spans="2:13" x14ac:dyDescent="0.25">
      <c r="C7">
        <v>0</v>
      </c>
      <c r="E7">
        <v>0</v>
      </c>
    </row>
    <row r="8" spans="2:13" x14ac:dyDescent="0.25">
      <c r="B8">
        <v>0</v>
      </c>
      <c r="D8">
        <v>0</v>
      </c>
      <c r="F8">
        <v>0</v>
      </c>
    </row>
    <row r="9" spans="2:13" x14ac:dyDescent="0.25">
      <c r="C9">
        <v>0</v>
      </c>
      <c r="E9">
        <v>0</v>
      </c>
      <c r="G9">
        <v>0</v>
      </c>
    </row>
    <row r="10" spans="2:13" x14ac:dyDescent="0.25">
      <c r="B10">
        <v>0</v>
      </c>
      <c r="D10">
        <v>0</v>
      </c>
      <c r="F10">
        <v>0</v>
      </c>
      <c r="H10">
        <v>0</v>
      </c>
    </row>
    <row r="11" spans="2:13" x14ac:dyDescent="0.25">
      <c r="C11">
        <v>0</v>
      </c>
      <c r="E11">
        <v>0</v>
      </c>
      <c r="G11">
        <v>0</v>
      </c>
      <c r="I11">
        <v>-1.8471824063514422E-3</v>
      </c>
    </row>
    <row r="12" spans="2:13" x14ac:dyDescent="0.25">
      <c r="B12">
        <v>0</v>
      </c>
      <c r="D12">
        <v>0</v>
      </c>
      <c r="F12">
        <v>0</v>
      </c>
      <c r="H12">
        <v>-4.3601658707535318E-3</v>
      </c>
      <c r="J12">
        <v>-9.5546528154632302E-3</v>
      </c>
    </row>
    <row r="13" spans="2:13" x14ac:dyDescent="0.25">
      <c r="C13">
        <v>0</v>
      </c>
      <c r="E13">
        <v>0</v>
      </c>
      <c r="G13">
        <v>-1.0291916139475695E-2</v>
      </c>
      <c r="I13">
        <v>-2.0040214838936379E-2</v>
      </c>
      <c r="K13">
        <v>-2.7911575842911079E-2</v>
      </c>
    </row>
    <row r="14" spans="2:13" x14ac:dyDescent="0.25">
      <c r="B14">
        <v>0</v>
      </c>
      <c r="D14">
        <v>0</v>
      </c>
      <c r="F14">
        <v>-2.4293465194179492E-2</v>
      </c>
      <c r="H14">
        <v>-4.1372002995087538E-2</v>
      </c>
      <c r="J14">
        <v>-5.2885094357736848E-2</v>
      </c>
      <c r="L14">
        <v>-6.0668505289055492E-2</v>
      </c>
    </row>
    <row r="15" spans="2:13" x14ac:dyDescent="0.25">
      <c r="C15">
        <v>0</v>
      </c>
      <c r="E15">
        <v>-5.7343301591541711E-2</v>
      </c>
      <c r="G15">
        <v>-8.3654640633784139E-2</v>
      </c>
      <c r="I15">
        <v>-9.7568629041273905E-2</v>
      </c>
      <c r="K15">
        <v>-0.10523238905045448</v>
      </c>
      <c r="M15">
        <v>-6.1335430583114052E-3</v>
      </c>
    </row>
    <row r="16" spans="2:13" x14ac:dyDescent="0.25">
      <c r="B16">
        <v>0</v>
      </c>
      <c r="D16">
        <v>-0.1353555045002941</v>
      </c>
      <c r="F16">
        <v>-0.16441204271506896</v>
      </c>
      <c r="H16">
        <v>-0.17402084703754406</v>
      </c>
      <c r="J16">
        <v>-0.17644781721643485</v>
      </c>
      <c r="L16">
        <v>-9.8476042937499318E-3</v>
      </c>
    </row>
    <row r="17" spans="2:11" x14ac:dyDescent="0.25">
      <c r="C17">
        <v>-0.31949873987080646</v>
      </c>
      <c r="E17">
        <v>-0.31007279341982669</v>
      </c>
      <c r="G17">
        <v>-0.2969587776136266</v>
      </c>
      <c r="I17">
        <v>-0.28375833234913922</v>
      </c>
      <c r="K17">
        <v>-1.521327999356052E-2</v>
      </c>
    </row>
    <row r="18" spans="2:11" x14ac:dyDescent="0.25">
      <c r="B18">
        <v>-0.7541580607001579</v>
      </c>
      <c r="D18">
        <v>-0.547765430860646</v>
      </c>
      <c r="F18">
        <v>-0.47728084646576241</v>
      </c>
      <c r="H18">
        <v>-0.43304975319902073</v>
      </c>
      <c r="J18">
        <v>-2.2443429476145846E-2</v>
      </c>
    </row>
    <row r="19" spans="2:11" x14ac:dyDescent="0.25">
      <c r="C19">
        <v>-0.85830889314073655</v>
      </c>
      <c r="E19">
        <v>-0.70475760835700596</v>
      </c>
      <c r="G19">
        <v>-0.61819355390030306</v>
      </c>
      <c r="I19">
        <v>-3.1319756599612718E-2</v>
      </c>
    </row>
    <row r="20" spans="2:11" x14ac:dyDescent="0.25">
      <c r="B20">
        <v>-1</v>
      </c>
      <c r="D20">
        <v>-0.91833626996199358</v>
      </c>
      <c r="F20">
        <v>-0.80989703834750215</v>
      </c>
      <c r="H20">
        <v>-4.0877776103844674E-2</v>
      </c>
    </row>
    <row r="21" spans="2:11" x14ac:dyDescent="0.25">
      <c r="C21">
        <v>-1.0000000000000031</v>
      </c>
      <c r="E21">
        <v>-0.95293307426594587</v>
      </c>
      <c r="G21">
        <v>-4.9308610616456049E-2</v>
      </c>
    </row>
    <row r="22" spans="2:11" x14ac:dyDescent="0.25">
      <c r="B22">
        <v>-1</v>
      </c>
      <c r="D22">
        <v>-0.99999999999999556</v>
      </c>
      <c r="F22">
        <v>-5.4578151106995751E-2</v>
      </c>
    </row>
    <row r="23" spans="2:11" x14ac:dyDescent="0.25">
      <c r="C23">
        <v>-0.999999999999994</v>
      </c>
      <c r="E23">
        <v>-5.6099977599104713E-2</v>
      </c>
    </row>
    <row r="24" spans="2:11" x14ac:dyDescent="0.25">
      <c r="B24">
        <v>-1</v>
      </c>
      <c r="D24">
        <v>-5.6099977599104747E-2</v>
      </c>
    </row>
    <row r="25" spans="2:11" x14ac:dyDescent="0.25">
      <c r="C25">
        <v>-5.6099977599104893E-2</v>
      </c>
    </row>
    <row r="26" spans="2:11" x14ac:dyDescent="0.25">
      <c r="B26">
        <v>-5.6099977599104879E-2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M26"/>
  <sheetViews>
    <sheetView topLeftCell="A6" workbookViewId="0">
      <selection activeCell="C28" sqref="C28:SF500"/>
    </sheetView>
  </sheetViews>
  <sheetFormatPr defaultColWidth="11.42578125" defaultRowHeight="15" x14ac:dyDescent="0.25"/>
  <sheetData>
    <row r="2" spans="2:13" x14ac:dyDescent="0.25">
      <c r="B2" t="s">
        <v>27</v>
      </c>
    </row>
    <row r="4" spans="2:13" x14ac:dyDescent="0.25">
      <c r="B4">
        <v>0</v>
      </c>
    </row>
    <row r="5" spans="2:13" x14ac:dyDescent="0.25">
      <c r="C5">
        <v>0</v>
      </c>
    </row>
    <row r="6" spans="2:13" x14ac:dyDescent="0.25">
      <c r="B6">
        <v>0</v>
      </c>
      <c r="D6">
        <v>0</v>
      </c>
    </row>
    <row r="7" spans="2:13" x14ac:dyDescent="0.25">
      <c r="C7">
        <v>0</v>
      </c>
      <c r="E7">
        <v>0</v>
      </c>
    </row>
    <row r="8" spans="2:13" x14ac:dyDescent="0.25">
      <c r="B8">
        <v>0</v>
      </c>
      <c r="D8">
        <v>0</v>
      </c>
      <c r="F8">
        <v>0</v>
      </c>
    </row>
    <row r="9" spans="2:13" x14ac:dyDescent="0.25">
      <c r="C9">
        <v>0</v>
      </c>
      <c r="E9">
        <v>0</v>
      </c>
      <c r="G9">
        <v>0</v>
      </c>
    </row>
    <row r="10" spans="2:13" x14ac:dyDescent="0.25">
      <c r="B10">
        <v>0</v>
      </c>
      <c r="D10">
        <v>0</v>
      </c>
      <c r="F10">
        <v>0</v>
      </c>
      <c r="H10">
        <v>0</v>
      </c>
    </row>
    <row r="11" spans="2:13" x14ac:dyDescent="0.25">
      <c r="C11">
        <v>0</v>
      </c>
      <c r="E11">
        <v>0</v>
      </c>
      <c r="G11">
        <v>0</v>
      </c>
      <c r="I11">
        <v>91.332000048231649</v>
      </c>
    </row>
    <row r="12" spans="2:13" x14ac:dyDescent="0.25">
      <c r="B12">
        <v>0</v>
      </c>
      <c r="D12">
        <v>0</v>
      </c>
      <c r="F12">
        <v>0</v>
      </c>
      <c r="H12">
        <v>209.44943545339748</v>
      </c>
      <c r="J12">
        <v>461.21141854460518</v>
      </c>
    </row>
    <row r="13" spans="2:13" x14ac:dyDescent="0.25">
      <c r="C13">
        <v>0</v>
      </c>
      <c r="E13">
        <v>0</v>
      </c>
      <c r="G13">
        <v>480.32525279836375</v>
      </c>
      <c r="I13">
        <v>940.40352219487079</v>
      </c>
      <c r="K13">
        <v>1316.0905781653935</v>
      </c>
    </row>
    <row r="14" spans="2:13" x14ac:dyDescent="0.25">
      <c r="B14">
        <v>0</v>
      </c>
      <c r="D14">
        <v>0</v>
      </c>
      <c r="F14">
        <v>1101.5181204780354</v>
      </c>
      <c r="H14">
        <v>1887.6459767357635</v>
      </c>
      <c r="J14">
        <v>2425.9071153348737</v>
      </c>
      <c r="L14">
        <v>2796.1065785447013</v>
      </c>
    </row>
    <row r="15" spans="2:13" x14ac:dyDescent="0.25">
      <c r="C15">
        <v>0</v>
      </c>
      <c r="E15">
        <v>2526.084486860851</v>
      </c>
      <c r="G15">
        <v>3712.0966213003549</v>
      </c>
      <c r="I15">
        <v>4355.6816623069626</v>
      </c>
      <c r="K15">
        <v>4722.2234887938093</v>
      </c>
      <c r="M15">
        <v>382.57284090929841</v>
      </c>
    </row>
    <row r="16" spans="2:13" x14ac:dyDescent="0.25">
      <c r="B16">
        <v>0</v>
      </c>
      <c r="D16">
        <v>5793.0075920946001</v>
      </c>
      <c r="F16">
        <v>7098.3779184498626</v>
      </c>
      <c r="H16">
        <v>7564.8126605543248</v>
      </c>
      <c r="J16">
        <v>7714.201775111811</v>
      </c>
      <c r="L16">
        <v>621.05011231688411</v>
      </c>
    </row>
    <row r="17" spans="2:11" x14ac:dyDescent="0.25">
      <c r="C17">
        <v>13284.962215879499</v>
      </c>
      <c r="E17">
        <v>13034.73860904876</v>
      </c>
      <c r="G17">
        <v>12581.419240268589</v>
      </c>
      <c r="I17">
        <v>12097.568764681786</v>
      </c>
      <c r="K17">
        <v>979.17128454552221</v>
      </c>
    </row>
    <row r="18" spans="2:11" x14ac:dyDescent="0.25">
      <c r="B18">
        <v>30466.077986535445</v>
      </c>
      <c r="D18">
        <v>22453.325413601364</v>
      </c>
      <c r="F18">
        <v>19737.486178823438</v>
      </c>
      <c r="H18">
        <v>18028.925247981937</v>
      </c>
      <c r="J18">
        <v>1492.814069186697</v>
      </c>
    </row>
    <row r="19" spans="2:11" x14ac:dyDescent="0.25">
      <c r="C19">
        <v>34432.165556954656</v>
      </c>
      <c r="E19">
        <v>28525.315366851195</v>
      </c>
      <c r="G19">
        <v>25189.231274122205</v>
      </c>
      <c r="I19">
        <v>2189.8677681264107</v>
      </c>
    </row>
    <row r="20" spans="2:11" x14ac:dyDescent="0.25">
      <c r="B20">
        <v>39840.319573759662</v>
      </c>
      <c r="D20">
        <v>36583.62629232803</v>
      </c>
      <c r="F20">
        <v>32420.531827593084</v>
      </c>
      <c r="H20">
        <v>3074.9476333418675</v>
      </c>
    </row>
    <row r="21" spans="2:11" x14ac:dyDescent="0.25">
      <c r="C21">
        <v>39681.276593482537</v>
      </c>
      <c r="E21">
        <v>37719.262721585052</v>
      </c>
      <c r="G21">
        <v>4114.23016433669</v>
      </c>
    </row>
    <row r="22" spans="2:11" x14ac:dyDescent="0.25">
      <c r="B22">
        <v>39840.319573759662</v>
      </c>
      <c r="D22">
        <v>39522.868514477064</v>
      </c>
      <c r="F22">
        <v>5235.0828708674571</v>
      </c>
    </row>
    <row r="23" spans="2:11" x14ac:dyDescent="0.25">
      <c r="C23">
        <v>39681.276593482216</v>
      </c>
      <c r="E23">
        <v>6358.9207239852049</v>
      </c>
    </row>
    <row r="24" spans="2:11" x14ac:dyDescent="0.25">
      <c r="B24">
        <v>39840.319573759662</v>
      </c>
      <c r="D24">
        <v>7455.8813658965946</v>
      </c>
    </row>
    <row r="25" spans="2:11" x14ac:dyDescent="0.25">
      <c r="C25">
        <v>8526.7500294769179</v>
      </c>
    </row>
    <row r="26" spans="2:11" x14ac:dyDescent="0.25">
      <c r="B26">
        <v>9572.2896858851927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2:N28"/>
  <sheetViews>
    <sheetView workbookViewId="0">
      <selection activeCell="B2" sqref="B2:SE428"/>
    </sheetView>
  </sheetViews>
  <sheetFormatPr defaultColWidth="11.42578125" defaultRowHeight="15" x14ac:dyDescent="0.25"/>
  <sheetData>
    <row r="2" spans="2:14" x14ac:dyDescent="0.25">
      <c r="B2" t="s">
        <v>28</v>
      </c>
    </row>
    <row r="4" spans="2:14" x14ac:dyDescent="0.25">
      <c r="B4">
        <f>'Put y call Europeo'!$Q$3</f>
        <v>0</v>
      </c>
    </row>
    <row r="5" spans="2:14" x14ac:dyDescent="0.25">
      <c r="C5">
        <f>($B$4*'Put y call Europeo'!$B$8+$B$6*(1-'Put y call Europeo'!$B$8))* EXP(-'Put y call Europeo'!$B$5/'Put y call Europeo'!$B$1)</f>
        <v>0</v>
      </c>
    </row>
    <row r="6" spans="2:14" x14ac:dyDescent="0.25">
      <c r="B6">
        <f>'Put y call Europeo'!$Q$5</f>
        <v>0</v>
      </c>
      <c r="D6">
        <f>($C$5*'Put y call Europeo'!$B$8+$C$7*(1-'Put y call Europeo'!$B$8))* EXP(-'Put y call Europeo'!$B$5/'Put y call Europeo'!$B$1)</f>
        <v>0</v>
      </c>
    </row>
    <row r="7" spans="2:14" x14ac:dyDescent="0.25">
      <c r="C7">
        <f>($B$6*'Put y call Europeo'!$B$8+$B$8*(1-'Put y call Europeo'!$B$8))* EXP(-'Put y call Europeo'!$B$5/'Put y call Europeo'!$B$1)</f>
        <v>0</v>
      </c>
      <c r="E7">
        <f>($D$6*'Put y call Europeo'!$B$8+$D$8*(1-'Put y call Europeo'!$B$8))* EXP(-'Put y call Europeo'!$B$5/'Put y call Europeo'!$B$1)</f>
        <v>0</v>
      </c>
    </row>
    <row r="8" spans="2:14" x14ac:dyDescent="0.25">
      <c r="B8">
        <f>'Put y call Europeo'!$Q$7</f>
        <v>0</v>
      </c>
      <c r="D8">
        <f>($C$7*'Put y call Europeo'!$B$8+$C$9*(1-'Put y call Europeo'!$B$8))* EXP(-'Put y call Europeo'!$B$5/'Put y call Europeo'!$B$1)</f>
        <v>0</v>
      </c>
      <c r="F8">
        <f>($E$7*'Put y call Europeo'!$B$8+$E$9*(1-'Put y call Europeo'!$B$8))* EXP(-'Put y call Europeo'!$B$5/'Put y call Europeo'!$B$1)</f>
        <v>0</v>
      </c>
    </row>
    <row r="9" spans="2:14" x14ac:dyDescent="0.25">
      <c r="C9">
        <f>($B$8*'Put y call Europeo'!$B$8+$B$10*(1-'Put y call Europeo'!$B$8))* EXP(-'Put y call Europeo'!$B$5/'Put y call Europeo'!$B$1)</f>
        <v>0</v>
      </c>
      <c r="E9">
        <f>($D$8*'Put y call Europeo'!$B$8+$D$10*(1-'Put y call Europeo'!$B$8))* EXP(-'Put y call Europeo'!$B$5/'Put y call Europeo'!$B$1)</f>
        <v>0</v>
      </c>
      <c r="G9">
        <f>($F$8*'Put y call Europeo'!$B$8+$F$10*(1-'Put y call Europeo'!$B$8))* EXP(-'Put y call Europeo'!$B$5/'Put y call Europeo'!$B$1)</f>
        <v>0</v>
      </c>
    </row>
    <row r="10" spans="2:14" x14ac:dyDescent="0.25">
      <c r="B10">
        <f>'Put y call Europeo'!$Q$9</f>
        <v>0</v>
      </c>
      <c r="D10">
        <f>($C$9*'Put y call Europeo'!$B$8+$C$11*(1-'Put y call Europeo'!$B$8))* EXP(-'Put y call Europeo'!$B$5/'Put y call Europeo'!$B$1)</f>
        <v>0</v>
      </c>
      <c r="F10">
        <f>($E$9*'Put y call Europeo'!$B$8+$E$11*(1-'Put y call Europeo'!$B$8))* EXP(-'Put y call Europeo'!$B$5/'Put y call Europeo'!$B$1)</f>
        <v>0</v>
      </c>
      <c r="H10">
        <f>($G$9*'Put y call Europeo'!$B$8+$G$11*(1-'Put y call Europeo'!$B$8))* EXP(-'Put y call Europeo'!$B$5/'Put y call Europeo'!$B$1)</f>
        <v>0</v>
      </c>
    </row>
    <row r="11" spans="2:14" x14ac:dyDescent="0.25">
      <c r="C11">
        <f>($B$10*'Put y call Europeo'!$B$8+$B$12*(1-'Put y call Europeo'!$B$8))* EXP(-'Put y call Europeo'!$B$5/'Put y call Europeo'!$B$1)</f>
        <v>0</v>
      </c>
      <c r="E11">
        <f>($D$10*'Put y call Europeo'!$B$8+$D$12*(1-'Put y call Europeo'!$B$8))* EXP(-'Put y call Europeo'!$B$5/'Put y call Europeo'!$B$1)</f>
        <v>0</v>
      </c>
      <c r="G11">
        <f>($F$10*'Put y call Europeo'!$B$8+$F$12*(1-'Put y call Europeo'!$B$8))* EXP(-'Put y call Europeo'!$B$5/'Put y call Europeo'!$B$1)</f>
        <v>0</v>
      </c>
      <c r="I11">
        <f>($H$10*'Put y call Europeo'!$B$8+$H$12*(1-'Put y call Europeo'!$B$8))* EXP(-'Put y call Europeo'!$B$5/'Put y call Europeo'!$B$1)</f>
        <v>0</v>
      </c>
    </row>
    <row r="12" spans="2:14" x14ac:dyDescent="0.25">
      <c r="B12">
        <f>'Put y call Europeo'!$Q$11</f>
        <v>0</v>
      </c>
      <c r="D12">
        <f>($C$11*'Put y call Europeo'!$B$8+$C$13*(1-'Put y call Europeo'!$B$8))* EXP(-'Put y call Europeo'!$B$5/'Put y call Europeo'!$B$1)</f>
        <v>0</v>
      </c>
      <c r="F12">
        <f>($E$11*'Put y call Europeo'!$B$8+$E$13*(1-'Put y call Europeo'!$B$8))* EXP(-'Put y call Europeo'!$B$5/'Put y call Europeo'!$B$1)</f>
        <v>0</v>
      </c>
      <c r="H12">
        <f>($G$11*'Put y call Europeo'!$B$8+$G$13*(1-'Put y call Europeo'!$B$8))* EXP(-'Put y call Europeo'!$B$5/'Put y call Europeo'!$B$1)</f>
        <v>0</v>
      </c>
      <c r="J12">
        <f>($I$11*'Put y call Europeo'!$B$8+$I$13*(1-'Put y call Europeo'!$B$8))* EXP(-'Put y call Europeo'!$B$5/'Put y call Europeo'!$B$1)</f>
        <v>2.2431928297911448</v>
      </c>
    </row>
    <row r="13" spans="2:14" x14ac:dyDescent="0.25">
      <c r="C13">
        <f>($B$12*'Put y call Europeo'!$B$8+$B$14*(1-'Put y call Europeo'!$B$8))* EXP(-'Put y call Europeo'!$B$5/'Put y call Europeo'!$B$1)</f>
        <v>0</v>
      </c>
      <c r="E13">
        <f>($D$12*'Put y call Europeo'!$B$8+$D$14*(1-'Put y call Europeo'!$B$8))* EXP(-'Put y call Europeo'!$B$5/'Put y call Europeo'!$B$1)</f>
        <v>0</v>
      </c>
      <c r="G13">
        <f>($F$12*'Put y call Europeo'!$B$8+$F$14*(1-'Put y call Europeo'!$B$8))* EXP(-'Put y call Europeo'!$B$5/'Put y call Europeo'!$B$1)</f>
        <v>0</v>
      </c>
      <c r="I13">
        <f>($H$12*'Put y call Europeo'!$B$8+$H$14*(1-'Put y call Europeo'!$B$8))* EXP(-'Put y call Europeo'!$B$5/'Put y call Europeo'!$B$1)</f>
        <v>5.1442590939073831</v>
      </c>
      <c r="K13">
        <f>($J$12*'Put y call Europeo'!$B$8+$J$14*(1-'Put y call Europeo'!$B$8))* EXP(-'Put y call Europeo'!$B$5/'Put y call Europeo'!$B$1)</f>
        <v>13.936797339534355</v>
      </c>
    </row>
    <row r="14" spans="2:14" x14ac:dyDescent="0.25">
      <c r="B14">
        <f>'Put y call Europeo'!$Q$13</f>
        <v>0</v>
      </c>
      <c r="D14">
        <f>($C$13*'Put y call Europeo'!$B$8+$C$15*(1-'Put y call Europeo'!$B$8))* EXP(-'Put y call Europeo'!$B$5/'Put y call Europeo'!$B$1)</f>
        <v>0</v>
      </c>
      <c r="F14">
        <f>($E$13*'Put y call Europeo'!$B$8+$E$15*(1-'Put y call Europeo'!$B$8))* EXP(-'Put y call Europeo'!$B$5/'Put y call Europeo'!$B$1)</f>
        <v>0</v>
      </c>
      <c r="H14">
        <f>($G$13*'Put y call Europeo'!$B$8+$G$15*(1-'Put y call Europeo'!$B$8))* EXP(-'Put y call Europeo'!$B$5/'Put y call Europeo'!$B$1)</f>
        <v>11.797203197958115</v>
      </c>
      <c r="J14">
        <f>($I$13*'Put y call Europeo'!$B$8+$I$15*(1-'Put y call Europeo'!$B$8))* EXP(-'Put y call Europeo'!$B$5/'Put y call Europeo'!$B$1)</f>
        <v>29.080385159934664</v>
      </c>
      <c r="L14">
        <f>($K$13*'Put y call Europeo'!$B$8+$K$15*(1-'Put y call Europeo'!$B$8))* EXP(-'Put y call Europeo'!$B$5/'Put y call Europeo'!$B$1)</f>
        <v>48.267241104610193</v>
      </c>
    </row>
    <row r="15" spans="2:14" x14ac:dyDescent="0.25">
      <c r="C15">
        <f>($B$14*'Put y call Europeo'!$B$8+$B$16*(1-'Put y call Europeo'!$B$8))* EXP(-'Put y call Europeo'!$B$5/'Put y call Europeo'!$B$1)</f>
        <v>0</v>
      </c>
      <c r="E15">
        <f>($D$14*'Put y call Europeo'!$B$8+$D$16*(1-'Put y call Europeo'!$B$8))* EXP(-'Put y call Europeo'!$B$5/'Put y call Europeo'!$B$1)</f>
        <v>0</v>
      </c>
      <c r="G15">
        <f>($F$14*'Put y call Europeo'!$B$8+$F$16*(1-'Put y call Europeo'!$B$8))* EXP(-'Put y call Europeo'!$B$5/'Put y call Europeo'!$B$1)</f>
        <v>27.054236723563225</v>
      </c>
      <c r="I15">
        <f>($H$14*'Put y call Europeo'!$B$8+$H$16*(1-'Put y call Europeo'!$B$8))* EXP(-'Put y call Europeo'!$B$5/'Put y call Europeo'!$B$1)</f>
        <v>60.083484439430158</v>
      </c>
      <c r="K15">
        <f>($J$14*'Put y call Europeo'!$B$8+$J$16*(1-'Put y call Europeo'!$B$8))* EXP(-'Put y call Europeo'!$B$5/'Put y call Europeo'!$B$1)</f>
        <v>92.793550259281304</v>
      </c>
      <c r="M15">
        <f>($L$14*'Put y call Europeo'!$B$8+$L$16*(1-'Put y call Europeo'!$B$8))* EXP(-'Put y call Europeo'!$B$5/'Put y call Europeo'!$B$1)</f>
        <v>123.77962108082151</v>
      </c>
    </row>
    <row r="16" spans="2:14" x14ac:dyDescent="0.25">
      <c r="B16">
        <f>'Put y call Europeo'!$Q$15</f>
        <v>0</v>
      </c>
      <c r="D16">
        <f>($C$15*'Put y call Europeo'!$B$8+$C$17*(1-'Put y call Europeo'!$B$8))* EXP(-'Put y call Europeo'!$B$5/'Put y call Europeo'!$B$1)</f>
        <v>0</v>
      </c>
      <c r="F16">
        <f>($E$15*'Put y call Europeo'!$B$8+$E$17*(1-'Put y call Europeo'!$B$8))* EXP(-'Put y call Europeo'!$B$5/'Put y call Europeo'!$B$1)</f>
        <v>62.042817472304051</v>
      </c>
      <c r="H16">
        <f>($G$15*'Put y call Europeo'!$B$8+$G$17*(1-'Put y call Europeo'!$B$8))* EXP(-'Put y call Europeo'!$B$5/'Put y call Europeo'!$B$1)</f>
        <v>122.63894836956192</v>
      </c>
      <c r="J16">
        <f>($I$15*'Put y call Europeo'!$B$8+$I$17*(1-'Put y call Europeo'!$B$8))* EXP(-'Put y call Europeo'!$B$5/'Put y call Europeo'!$B$1)</f>
        <v>175.45844841167138</v>
      </c>
      <c r="L16">
        <f>($K$15*'Put y call Europeo'!$B$8+$K$17*(1-'Put y call Europeo'!$B$8))* EXP(-'Put y call Europeo'!$B$5/'Put y call Europeo'!$B$1)</f>
        <v>221.87980586114162</v>
      </c>
      <c r="N16">
        <f>($M$15*'Put y call Europeo'!$B$8+$M$17*(1-'Put y call Europeo'!$B$8))* EXP(-'Put y call Europeo'!$B$5/'Put y call Europeo'!$B$1)</f>
        <v>262.80815730953356</v>
      </c>
    </row>
    <row r="17" spans="2:13" x14ac:dyDescent="0.25">
      <c r="C17">
        <f>($B$16*'Put y call Europeo'!$B$8+$B$18*(1-'Put y call Europeo'!$B$8))* EXP(-'Put y call Europeo'!$B$5/'Put y call Europeo'!$B$1)</f>
        <v>0</v>
      </c>
      <c r="E17">
        <f>($D$16*'Put y call Europeo'!$B$8+$D$18*(1-'Put y call Europeo'!$B$8))* EXP(-'Put y call Europeo'!$B$5/'Put y call Europeo'!$B$1)</f>
        <v>142.28127147823139</v>
      </c>
      <c r="G17">
        <f>($F$16*'Put y call Europeo'!$B$8+$F$18*(1-'Put y call Europeo'!$B$8))* EXP(-'Put y call Europeo'!$B$5/'Put y call Europeo'!$B$1)</f>
        <v>246.50398695901916</v>
      </c>
      <c r="I17">
        <f>($H$16*'Put y call Europeo'!$B$8+$H$18*(1-'Put y call Europeo'!$B$8))* EXP(-'Put y call Europeo'!$B$5/'Put y call Europeo'!$B$1)</f>
        <v>325.22011040538473</v>
      </c>
      <c r="K17">
        <f>($J$16*'Put y call Europeo'!$B$8+$J$18*(1-'Put y call Europeo'!$B$8))* EXP(-'Put y call Europeo'!$B$5/'Put y call Europeo'!$B$1)</f>
        <v>389.67339845922737</v>
      </c>
      <c r="M17">
        <f>($L$16*'Put y call Europeo'!$B$8+$L$18*(1-'Put y call Europeo'!$B$8))* EXP(-'Put y call Europeo'!$B$5/'Put y call Europeo'!$B$1)</f>
        <v>443.74352823599975</v>
      </c>
    </row>
    <row r="18" spans="2:13" x14ac:dyDescent="0.25">
      <c r="B18">
        <f>'Put y call Europeo'!$Q$17</f>
        <v>0</v>
      </c>
      <c r="D18">
        <f>($C$17*'Put y call Europeo'!$B$8+$C$19*(1-'Put y call Europeo'!$B$8))* EXP(-'Put y call Europeo'!$B$5/'Put y call Europeo'!$B$1)</f>
        <v>326.29014990331632</v>
      </c>
      <c r="F18">
        <f>($E$17*'Put y call Europeo'!$B$8+$E$19*(1-'Put y call Europeo'!$B$8))* EXP(-'Put y call Europeo'!$B$5/'Put y call Europeo'!$B$1)</f>
        <v>485.63108121138788</v>
      </c>
      <c r="H18">
        <f>($G$17*'Put y call Europeo'!$B$8+$G$19*(1-'Put y call Europeo'!$B$8))* EXP(-'Put y call Europeo'!$B$5/'Put y call Europeo'!$B$1)</f>
        <v>588.33609081565646</v>
      </c>
      <c r="J18">
        <f>($I$17*'Put y call Europeo'!$B$8+$I$19*(1-'Put y call Europeo'!$B$8))* EXP(-'Put y call Europeo'!$B$5/'Put y call Europeo'!$B$1)</f>
        <v>668.3186224519801</v>
      </c>
      <c r="L18">
        <f>($K$17*'Put y call Europeo'!$B$8+$K$19*(1-'Put y call Europeo'!$B$8))* EXP(-'Put y call Europeo'!$B$5/'Put y call Europeo'!$B$1)</f>
        <v>732.70569918529702</v>
      </c>
    </row>
    <row r="19" spans="2:13" x14ac:dyDescent="0.25">
      <c r="C19">
        <f>($B$18*'Put y call Europeo'!$B$8+$B$20*(1-'Put y call Europeo'!$B$8))* EXP(-'Put y call Europeo'!$B$5/'Put y call Europeo'!$B$1)</f>
        <v>748.27319729299359</v>
      </c>
      <c r="E19">
        <f>($D$18*'Put y call Europeo'!$B$8+$D$20*(1-'Put y call Europeo'!$B$8))* EXP(-'Put y call Europeo'!$B$5/'Put y call Europeo'!$B$1)</f>
        <v>930.97952196271387</v>
      </c>
      <c r="G19">
        <f>($F$18*'Put y call Europeo'!$B$8+$F$20*(1-'Put y call Europeo'!$B$8))* EXP(-'Put y call Europeo'!$B$5/'Put y call Europeo'!$B$1)</f>
        <v>1032.6758558278457</v>
      </c>
      <c r="I19">
        <f>($H$18*'Put y call Europeo'!$B$8+$H$20*(1-'Put y call Europeo'!$B$8))* EXP(-'Put y call Europeo'!$B$5/'Put y call Europeo'!$B$1)</f>
        <v>1115.0168309148003</v>
      </c>
      <c r="K19">
        <f>($J$18*'Put y call Europeo'!$B$8+$J$20*(1-'Put y call Europeo'!$B$8))* EXP(-'Put y call Europeo'!$B$5/'Put y call Europeo'!$B$1)</f>
        <v>1179.9083338514081</v>
      </c>
    </row>
    <row r="20" spans="2:13" x14ac:dyDescent="0.25">
      <c r="B20">
        <f>'Put y call Europeo'!$Q$19</f>
        <v>1715.9965691670077</v>
      </c>
      <c r="D20" s="13">
        <f>'Put y call Europeo'!$F$59</f>
        <v>1715.9965691670077</v>
      </c>
      <c r="F20">
        <f>($E$19*'Put y call Europeo'!$B$8+$E$21*(1-'Put y call Europeo'!$B$8))* EXP(-'Put y call Europeo'!$B$5/'Put y call Europeo'!$B$1)</f>
        <v>1744.6012902974771</v>
      </c>
      <c r="H20">
        <f>($G$19*'Put y call Europeo'!$B$8+$G$21*(1-'Put y call Europeo'!$B$8))* EXP(-'Put y call Europeo'!$B$5/'Put y call Europeo'!$B$1)</f>
        <v>1801.5462008269208</v>
      </c>
      <c r="J20">
        <f>($I$19*'Put y call Europeo'!$B$8+$I$21*(1-'Put y call Europeo'!$B$8))* EXP(-'Put y call Europeo'!$B$5/'Put y call Europeo'!$B$1)</f>
        <v>1847.6530690002817</v>
      </c>
    </row>
    <row r="21" spans="2:13" x14ac:dyDescent="0.25">
      <c r="C21" s="13">
        <f>'Put y call Europeo'!$E$60</f>
        <v>2805.3612790013067</v>
      </c>
      <c r="E21" s="13">
        <f>'Put y call Europeo'!$G$60</f>
        <v>2805.3612790012994</v>
      </c>
      <c r="G21" s="13">
        <f>'Put y call Europeo'!$I$60</f>
        <v>2805.3612790012994</v>
      </c>
      <c r="I21" s="13">
        <f>'Put y call Europeo'!$K$60</f>
        <v>2805.3612790012994</v>
      </c>
    </row>
    <row r="22" spans="2:13" x14ac:dyDescent="0.25">
      <c r="B22">
        <f>'Put y call Europeo'!$Q$21</f>
        <v>3863.7283040407929</v>
      </c>
      <c r="D22" s="13">
        <f>'Put y call Europeo'!$F$61</f>
        <v>3863.7283040407856</v>
      </c>
      <c r="F22" s="13">
        <f>'Put y call Europeo'!$H$61</f>
        <v>3863.7283040407929</v>
      </c>
      <c r="H22" s="13">
        <f>'Put y call Europeo'!$J$61</f>
        <v>3863.7283040407856</v>
      </c>
    </row>
    <row r="23" spans="2:13" x14ac:dyDescent="0.25">
      <c r="C23" s="13">
        <f>'Put y call Europeo'!$E$62</f>
        <v>4891.9796780561228</v>
      </c>
      <c r="E23" s="13">
        <f>'Put y call Europeo'!$G$62</f>
        <v>4891.9796780561228</v>
      </c>
      <c r="G23" s="13">
        <f>'Put y call Europeo'!$I$62</f>
        <v>4891.9796780561228</v>
      </c>
    </row>
    <row r="24" spans="2:13" x14ac:dyDescent="0.25">
      <c r="B24">
        <f>'Put y call Europeo'!$Q$23</f>
        <v>5890.9723366992621</v>
      </c>
      <c r="D24" s="13">
        <f>'Put y call Europeo'!$F$63</f>
        <v>5890.9723366992694</v>
      </c>
      <c r="F24" s="13">
        <f>'Put y call Europeo'!$H$63</f>
        <v>5890.9723366992621</v>
      </c>
    </row>
    <row r="25" spans="2:13" x14ac:dyDescent="0.25">
      <c r="C25" s="13">
        <f>'Put y call Europeo'!$E$64</f>
        <v>6861.5388316660974</v>
      </c>
      <c r="E25" s="13">
        <f>'Put y call Europeo'!$G$64</f>
        <v>6861.5388316660901</v>
      </c>
    </row>
    <row r="26" spans="2:13" x14ac:dyDescent="0.25">
      <c r="B26">
        <f>'Put y call Europeo'!$Q$25</f>
        <v>7804.4880245376808</v>
      </c>
      <c r="D26" s="13">
        <f>'Put y call Europeo'!$F$65</f>
        <v>7804.4880245376844</v>
      </c>
    </row>
    <row r="27" spans="2:13" x14ac:dyDescent="0.25">
      <c r="C27" s="13">
        <f>'Put y call Europeo'!$E$66</f>
        <v>8720.6057608784286</v>
      </c>
    </row>
    <row r="28" spans="2:13" x14ac:dyDescent="0.25">
      <c r="B28">
        <f>'Put y call Europeo'!$Q$27</f>
        <v>9610.6555251528298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N28"/>
  <sheetViews>
    <sheetView workbookViewId="0">
      <selection activeCell="B2" sqref="B2:SE388"/>
    </sheetView>
  </sheetViews>
  <sheetFormatPr defaultColWidth="11.42578125" defaultRowHeight="15" x14ac:dyDescent="0.25"/>
  <sheetData>
    <row r="2" spans="2:14" x14ac:dyDescent="0.25">
      <c r="B2" t="s">
        <v>29</v>
      </c>
    </row>
    <row r="4" spans="2:14" x14ac:dyDescent="0.25">
      <c r="B4">
        <f>'Put y call Europeo'!$P$3</f>
        <v>20758.826223719829</v>
      </c>
    </row>
    <row r="5" spans="2:14" x14ac:dyDescent="0.25">
      <c r="C5">
        <f>($B$4*'Put y call Europeo'!$B$8+$B$6*(1-'Put y call Europeo'!$B$8))*EXP(-'Put y call Europeo'!$B$5/'Put y call Europeo'!$B$1)</f>
        <v>19189.624736691712</v>
      </c>
    </row>
    <row r="6" spans="2:14" x14ac:dyDescent="0.25">
      <c r="B6">
        <f>'Put y call Europeo'!$P$5</f>
        <v>17350.257433621249</v>
      </c>
      <c r="D6">
        <f>($C$5*'Put y call Europeo'!$B$8+$C$7*(1-'Put y call Europeo'!$B$8))*EXP(-'Put y call Europeo'!$B$5/'Put y call Europeo'!$B$1)</f>
        <v>17668.980840138833</v>
      </c>
    </row>
    <row r="7" spans="2:14" x14ac:dyDescent="0.25">
      <c r="C7">
        <f>($B$6*'Put y call Europeo'!$B$8+$B$8*(1-'Put y call Europeo'!$B$8))*EXP(-'Put y call Europeo'!$B$5/'Put y call Europeo'!$B$1)</f>
        <v>15878.046183198992</v>
      </c>
      <c r="E7">
        <f>($D$6*'Put y call Europeo'!$B$8+$D$8*(1-'Put y call Europeo'!$B$8))*EXP(-'Put y call Europeo'!$B$5/'Put y call Europeo'!$B$1)</f>
        <v>16195.497242481435</v>
      </c>
    </row>
    <row r="8" spans="2:14" x14ac:dyDescent="0.25">
      <c r="B8">
        <f>'Put y call Europeo'!$P$7</f>
        <v>14132.909276292208</v>
      </c>
      <c r="D8">
        <f>($C$7*'Put y call Europeo'!$B$8+$C$9*(1-'Put y call Europeo'!$B$8))*EXP(-'Put y call Europeo'!$B$5/'Put y call Europeo'!$B$1)</f>
        <v>14451.632682809788</v>
      </c>
      <c r="F8">
        <f>($E$7*'Put y call Europeo'!$B$8+$E$9*(1-'Put y call Europeo'!$B$8))*EXP(-'Put y call Europeo'!$B$5/'Put y call Europeo'!$B$1)</f>
        <v>14767.816474080815</v>
      </c>
    </row>
    <row r="9" spans="2:14" x14ac:dyDescent="0.25">
      <c r="C9">
        <f>($B$8*'Put y call Europeo'!$B$8+$B$10*(1-'Put y call Europeo'!$B$8))*EXP(-'Put y call Europeo'!$B$5/'Put y call Europeo'!$B$1)</f>
        <v>12752.247112374886</v>
      </c>
      <c r="E9">
        <f>($D$8*'Put y call Europeo'!$B$8+$D$10*(1-'Put y call Europeo'!$B$8))*EXP(-'Put y call Europeo'!$B$5/'Put y call Europeo'!$B$1)</f>
        <v>13069.698171657328</v>
      </c>
      <c r="G9">
        <f>($F$8*'Put y call Europeo'!$B$8+$F$10*(1-'Put y call Europeo'!$B$8))*EXP(-'Put y call Europeo'!$B$5/'Put y call Europeo'!$B$1)</f>
        <v>13384.619753864341</v>
      </c>
    </row>
    <row r="10" spans="2:14" x14ac:dyDescent="0.25">
      <c r="B10">
        <f>'Put y call Europeo'!$P$9</f>
        <v>11096.054278517848</v>
      </c>
      <c r="D10">
        <f>($C$9*'Put y call Europeo'!$B$8+$C$11*(1-'Put y call Europeo'!$B$8))*EXP(-'Put y call Europeo'!$B$5/'Put y call Europeo'!$B$1)</f>
        <v>11414.777685035424</v>
      </c>
      <c r="F10">
        <f>($E$9*'Put y call Europeo'!$B$8+$E$11*(1-'Put y call Europeo'!$B$8))*EXP(-'Put y call Europeo'!$B$5/'Put y call Europeo'!$B$1)</f>
        <v>11730.961476306447</v>
      </c>
      <c r="H10">
        <f>($G$9*'Put y call Europeo'!$B$8+$G$11*(1-'Put y call Europeo'!$B$8))*EXP(-'Put y call Europeo'!$B$5/'Put y call Europeo'!$B$1)</f>
        <v>12044.625888201484</v>
      </c>
    </row>
    <row r="11" spans="2:14" x14ac:dyDescent="0.25">
      <c r="C11">
        <f>($B$10*'Put y call Europeo'!$B$8+$B$12*(1-'Put y call Europeo'!$B$8))*EXP(-'Put y call Europeo'!$B$5/'Put y call Europeo'!$B$1)</f>
        <v>9801.8052994033114</v>
      </c>
      <c r="E11">
        <f>($D$10*'Put y call Europeo'!$B$8+$D$12*(1-'Put y call Europeo'!$B$8))*EXP(-'Put y call Europeo'!$B$5/'Put y call Europeo'!$B$1)</f>
        <v>10119.256358685752</v>
      </c>
      <c r="G11">
        <f>($F$10*'Put y call Europeo'!$B$8+$F$12*(1-'Put y call Europeo'!$B$8))*EXP(-'Put y call Europeo'!$B$5/'Put y call Europeo'!$B$1)</f>
        <v>10434.177940892767</v>
      </c>
      <c r="I11">
        <f>($H$10*'Put y call Europeo'!$B$8+$H$12*(1-'Put y call Europeo'!$B$8))*EXP(-'Put y call Europeo'!$B$5/'Put y call Europeo'!$B$1)</f>
        <v>10746.590201113107</v>
      </c>
    </row>
    <row r="12" spans="2:14" x14ac:dyDescent="0.25">
      <c r="B12">
        <f>'Put y call Europeo'!$P$11</f>
        <v>8229.5667780903459</v>
      </c>
      <c r="D12">
        <f>($C$11*'Put y call Europeo'!$B$8+$C$13*(1-'Put y call Europeo'!$B$8))*EXP(-'Put y call Europeo'!$B$5/'Put y call Europeo'!$B$1)</f>
        <v>8548.2901846079258</v>
      </c>
      <c r="F12">
        <f>($E$11*'Put y call Europeo'!$B$8+$E$13*(1-'Put y call Europeo'!$B$8))*EXP(-'Put y call Europeo'!$B$5/'Put y call Europeo'!$B$1)</f>
        <v>8864.473975878951</v>
      </c>
      <c r="H12">
        <f>($G$11*'Put y call Europeo'!$B$8+$G$13*(1-'Put y call Europeo'!$B$8))*EXP(-'Put y call Europeo'!$B$5/'Put y call Europeo'!$B$1)</f>
        <v>9178.1383877739881</v>
      </c>
      <c r="J12">
        <f>($I$11*'Put y call Europeo'!$B$8+$I$13*(1-'Put y call Europeo'!$B$8))*EXP(-'Put y call Europeo'!$B$5/'Put y call Europeo'!$B$1)</f>
        <v>9491.546687752254</v>
      </c>
    </row>
    <row r="13" spans="2:14" x14ac:dyDescent="0.25">
      <c r="C13">
        <f>($B$12*'Put y call Europeo'!$B$8+$B$14*(1-'Put y call Europeo'!$B$8))*EXP(-'Put y call Europeo'!$B$5/'Put y call Europeo'!$B$1)</f>
        <v>7016.8832060469003</v>
      </c>
      <c r="E13">
        <f>($D$12*'Put y call Europeo'!$B$8+$D$14*(1-'Put y call Europeo'!$B$8))*EXP(-'Put y call Europeo'!$B$5/'Put y call Europeo'!$B$1)</f>
        <v>7334.334265329343</v>
      </c>
      <c r="G13">
        <f>($F$12*'Put y call Europeo'!$B$8+$F$14*(1-'Put y call Europeo'!$B$8))*EXP(-'Put y call Europeo'!$B$5/'Put y call Europeo'!$B$1)</f>
        <v>7649.2558475363576</v>
      </c>
      <c r="I13">
        <f>($H$12*'Put y call Europeo'!$B$8+$H$14*(1-'Put y call Europeo'!$B$8))*EXP(-'Put y call Europeo'!$B$5/'Put y call Europeo'!$B$1)</f>
        <v>7966.8123668506078</v>
      </c>
      <c r="K13">
        <f>($J$12*'Put y call Europeo'!$B$8+$J$14*(1-'Put y call Europeo'!$B$8))*EXP(-'Put y call Europeo'!$B$5/'Put y call Europeo'!$B$1)</f>
        <v>8285.0981545614541</v>
      </c>
    </row>
    <row r="14" spans="2:14" x14ac:dyDescent="0.25">
      <c r="B14">
        <f>'Put y call Europeo'!$P$13</f>
        <v>5523.889162224943</v>
      </c>
      <c r="D14">
        <f>($C$13*'Put y call Europeo'!$B$8+$C$15*(1-'Put y call Europeo'!$B$8))*EXP(-'Put y call Europeo'!$B$5/'Put y call Europeo'!$B$1)</f>
        <v>5842.6125687425256</v>
      </c>
      <c r="F14">
        <f>($E$13*'Put y call Europeo'!$B$8+$E$15*(1-'Put y call Europeo'!$B$8))*EXP(-'Put y call Europeo'!$B$5/'Put y call Europeo'!$B$1)</f>
        <v>6158.7963600135508</v>
      </c>
      <c r="H14">
        <f>($G$13*'Put y call Europeo'!$B$8+$G$15*(1-'Put y call Europeo'!$B$8))*EXP(-'Put y call Europeo'!$B$5/'Put y call Europeo'!$B$1)</f>
        <v>6484.2579751065468</v>
      </c>
      <c r="J14">
        <f>($I$13*'Put y call Europeo'!$B$8+$I$15*(1-'Put y call Europeo'!$B$8))*EXP(-'Put y call Europeo'!$B$5/'Put y call Europeo'!$B$1)</f>
        <v>6811.7208821370177</v>
      </c>
      <c r="L14">
        <f>($K$13*'Put y call Europeo'!$B$8+$K$15*(1-'Put y call Europeo'!$B$8))*EXP(-'Put y call Europeo'!$B$5/'Put y call Europeo'!$B$1)</f>
        <v>7137.7586892817171</v>
      </c>
    </row>
    <row r="15" spans="2:14" x14ac:dyDescent="0.25">
      <c r="C15">
        <f>($B$14*'Put y call Europeo'!$B$8+$B$16*(1-'Put y call Europeo'!$B$8))*EXP(-'Put y call Europeo'!$B$5/'Put y call Europeo'!$B$1)</f>
        <v>4388.1951797430402</v>
      </c>
      <c r="E15">
        <f>($D$14*'Put y call Europeo'!$B$8+$D$16*(1-'Put y call Europeo'!$B$8))*EXP(-'Put y call Europeo'!$B$5/'Put y call Europeo'!$B$1)</f>
        <v>4705.6462390254828</v>
      </c>
      <c r="G15">
        <f>($F$14*'Put y call Europeo'!$B$8+$F$16*(1-'Put y call Europeo'!$B$8))*EXP(-'Put y call Europeo'!$B$5/'Put y call Europeo'!$B$1)</f>
        <v>5047.6220579560595</v>
      </c>
      <c r="I15">
        <f>($H$14*'Put y call Europeo'!$B$8+$H$16*(1-'Put y call Europeo'!$B$8))*EXP(-'Put y call Europeo'!$B$5/'Put y call Europeo'!$B$1)</f>
        <v>5390.8038133384143</v>
      </c>
      <c r="K15">
        <f>($J$14*'Put y call Europeo'!$B$8+$J$16*(1-'Put y call Europeo'!$B$8))*EXP(-'Put y call Europeo'!$B$5/'Put y call Europeo'!$B$1)</f>
        <v>5729.780953471125</v>
      </c>
      <c r="M15">
        <f>($L$14*'Put y call Europeo'!$B$8+$L$16*(1-'Put y call Europeo'!$B$8))*EXP(-'Put y call Europeo'!$B$5/'Put y call Europeo'!$B$1)</f>
        <v>6063.1851518756093</v>
      </c>
    </row>
    <row r="16" spans="2:14" x14ac:dyDescent="0.25">
      <c r="B16">
        <f>'Put y call Europeo'!$P$15</f>
        <v>2970</v>
      </c>
      <c r="D16">
        <f>($C$15*'Put y call Europeo'!$B$8+$C$17*(1-'Put y call Europeo'!$B$8))*EXP(-'Put y call Europeo'!$B$5/'Put y call Europeo'!$B$1)</f>
        <v>3288.7234065175762</v>
      </c>
      <c r="F16">
        <f>($E$15*'Put y call Europeo'!$B$8+$E$17*(1-'Put y call Europeo'!$B$8))*EXP(-'Put y call Europeo'!$B$5/'Put y call Europeo'!$B$1)</f>
        <v>3666.9500152609048</v>
      </c>
      <c r="H16">
        <f>($G$15*'Put y call Europeo'!$B$8+$G$17*(1-'Put y call Europeo'!$B$8))*EXP(-'Put y call Europeo'!$B$5/'Put y call Europeo'!$B$1)</f>
        <v>4036.0283229502875</v>
      </c>
      <c r="J16">
        <f>($I$15*'Put y call Europeo'!$B$8+$I$17*(1-'Put y call Europeo'!$B$8))*EXP(-'Put y call Europeo'!$B$5/'Put y call Europeo'!$B$1)</f>
        <v>4392.8943892355337</v>
      </c>
      <c r="L16">
        <f>($K$15*'Put y call Europeo'!$B$8+$K$17*(1-'Put y call Europeo'!$B$8))*EXP(-'Put y call Europeo'!$B$5/'Put y call Europeo'!$B$1)</f>
        <v>4738.8101652028699</v>
      </c>
      <c r="N16">
        <f>($M$15*'Put y call Europeo'!$B$8+$M$17*(1-'Put y call Europeo'!$B$8))*EXP(-'Put y call Europeo'!$B$5/'Put y call Europeo'!$B$1)</f>
        <v>5075.319392823194</v>
      </c>
    </row>
    <row r="17" spans="2:13" x14ac:dyDescent="0.25">
      <c r="C17">
        <f>($B$16*'Put y call Europeo'!$B$8+$B$18*(1-'Put y call Europeo'!$B$8))*EXP(-'Put y call Europeo'!$B$5/'Put y call Europeo'!$B$1)</f>
        <v>1906.9764928298644</v>
      </c>
      <c r="E17">
        <f>($D$16*'Put y call Europeo'!$B$8+$D$18*(1-'Put y call Europeo'!$B$8))*EXP(-'Put y call Europeo'!$B$5/'Put y call Europeo'!$B$1)</f>
        <v>2366.7088235905362</v>
      </c>
      <c r="G17">
        <f>($F$16*'Put y call Europeo'!$B$8+$F$18*(1-'Put y call Europeo'!$B$8))*EXP(-'Put y call Europeo'!$B$5/'Put y call Europeo'!$B$1)</f>
        <v>2773.9688286304336</v>
      </c>
      <c r="I17">
        <f>($H$16*'Put y call Europeo'!$B$8+$H$18*(1-'Put y call Europeo'!$B$8))*EXP(-'Put y call Europeo'!$B$5/'Put y call Europeo'!$B$1)</f>
        <v>3151.6742320589437</v>
      </c>
      <c r="K17">
        <f>($J$16*'Put y call Europeo'!$B$8+$J$18*(1-'Put y call Europeo'!$B$8))*EXP(-'Put y call Europeo'!$B$5/'Put y call Europeo'!$B$1)</f>
        <v>3509.6668367384505</v>
      </c>
      <c r="M17">
        <f>($L$16*'Put y call Europeo'!$B$8+$L$18*(1-'Put y call Europeo'!$B$8))*EXP(-'Put y call Europeo'!$B$5/'Put y call Europeo'!$B$1)</f>
        <v>3853.2439646081998</v>
      </c>
    </row>
    <row r="18" spans="2:13" x14ac:dyDescent="0.25">
      <c r="B18">
        <f>'Put y call Europeo'!$P$17</f>
        <v>559.38396256646229</v>
      </c>
      <c r="D18">
        <f>($C$17*'Put y call Europeo'!$B$8+$C$19*(1-'Put y call Europeo'!$B$8))*EXP(-'Put y call Europeo'!$B$5/'Put y call Europeo'!$B$1)</f>
        <v>1204.3975189873586</v>
      </c>
      <c r="F18">
        <f>($E$17*'Put y call Europeo'!$B$8+$E$19*(1-'Put y call Europeo'!$B$8))*EXP(-'Put y call Europeo'!$B$5/'Put y call Europeo'!$B$1)</f>
        <v>1652.6682847435236</v>
      </c>
      <c r="H18">
        <f>($G$17*'Put y call Europeo'!$B$8+$G$19*(1-'Put y call Europeo'!$B$8))*EXP(-'Put y call Europeo'!$B$5/'Put y call Europeo'!$B$1)</f>
        <v>2044.9097302332229</v>
      </c>
      <c r="J18">
        <f>($I$17*'Put y call Europeo'!$B$8+$I$19*(1-'Put y call Europeo'!$B$8))*EXP(-'Put y call Europeo'!$B$5/'Put y call Europeo'!$B$1)</f>
        <v>2407.6262897540778</v>
      </c>
      <c r="L18">
        <f>($K$17*'Put y call Europeo'!$B$8+$K$19*(1-'Put y call Europeo'!$B$8))*EXP(-'Put y call Europeo'!$B$5/'Put y call Europeo'!$B$1)</f>
        <v>2751.3456842717696</v>
      </c>
    </row>
    <row r="19" spans="2:13" x14ac:dyDescent="0.25">
      <c r="C19">
        <f>($B$18*'Put y call Europeo'!$B$8+$B$20*(1-'Put y call Europeo'!$B$8))*EXP(-'Put y call Europeo'!$B$5/'Put y call Europeo'!$B$1)</f>
        <v>313.22731596398694</v>
      </c>
      <c r="E19">
        <f>($D$18*'Put y call Europeo'!$B$8+$D$20*(1-'Put y call Europeo'!$B$8))*EXP(-'Put y call Europeo'!$B$5/'Put y call Europeo'!$B$1)</f>
        <v>750.88386923884389</v>
      </c>
      <c r="G19">
        <f>($F$18*'Put y call Europeo'!$B$8+$F$20*(1-'Put y call Europeo'!$B$8))*EXP(-'Put y call Europeo'!$B$5/'Put y call Europeo'!$B$1)</f>
        <v>1127.430555845541</v>
      </c>
      <c r="I19">
        <f>($H$18*'Put y call Europeo'!$B$8+$H$20*(1-'Put y call Europeo'!$B$8))*EXP(-'Put y call Europeo'!$B$5/'Put y call Europeo'!$B$1)</f>
        <v>1474.2202211157669</v>
      </c>
      <c r="K19">
        <f>($J$18*'Put y call Europeo'!$B$8+$J$20*(1-'Put y call Europeo'!$B$8))*EXP(-'Put y call Europeo'!$B$5/'Put y call Europeo'!$B$1)</f>
        <v>1802.7577666146742</v>
      </c>
    </row>
    <row r="20" spans="2:13" x14ac:dyDescent="0.25">
      <c r="B20">
        <f>'Put y call Europeo'!$P$19</f>
        <v>0</v>
      </c>
      <c r="D20">
        <f>($C$19*'Put y call Europeo'!$B$8+$C$21*(1-'Put y call Europeo'!$B$8))*EXP(-'Put y call Europeo'!$B$5/'Put y call Europeo'!$B$1)</f>
        <v>175.39178459079679</v>
      </c>
      <c r="F20">
        <f>($E$19*'Put y call Europeo'!$B$8+$E$21*(1-'Put y call Europeo'!$B$8))*EXP(-'Put y call Europeo'!$B$5/'Put y call Europeo'!$B$1)</f>
        <v>463.2832992275159</v>
      </c>
      <c r="H20">
        <f>($G$19*'Put y call Europeo'!$B$8+$G$21*(1-'Put y call Europeo'!$B$8))*EXP(-'Put y call Europeo'!$B$5/'Put y call Europeo'!$B$1)</f>
        <v>754.88217620078706</v>
      </c>
      <c r="J20">
        <f>($I$19*'Put y call Europeo'!$B$8+$I$21*(1-'Put y call Europeo'!$B$8))*EXP(-'Put y call Europeo'!$B$5/'Put y call Europeo'!$B$1)</f>
        <v>1042.5374315803879</v>
      </c>
    </row>
    <row r="21" spans="2:13" x14ac:dyDescent="0.25">
      <c r="C21">
        <f>($B$20*'Put y call Europeo'!$B$8+$B$22*(1-'Put y call Europeo'!$B$8))*EXP(-'Put y call Europeo'!$B$5/'Put y call Europeo'!$B$1)</f>
        <v>0</v>
      </c>
      <c r="E21">
        <f>($D$20*'Put y call Europeo'!$B$8+$D$22*(1-'Put y call Europeo'!$B$8))*EXP(-'Put y call Europeo'!$B$5/'Put y call Europeo'!$B$1)</f>
        <v>98.210713223623614</v>
      </c>
      <c r="G21">
        <f>($F$20*'Put y call Europeo'!$B$8+$F$22*(1-'Put y call Europeo'!$B$8))*EXP(-'Put y call Europeo'!$B$5/'Put y call Europeo'!$B$1)</f>
        <v>283.39587377940313</v>
      </c>
      <c r="I21">
        <f>($H$20*'Put y call Europeo'!$B$8+$H$22*(1-'Put y call Europeo'!$B$8))*EXP(-'Put y call Europeo'!$B$5/'Put y call Europeo'!$B$1)</f>
        <v>497.7488304718608</v>
      </c>
    </row>
    <row r="22" spans="2:13" x14ac:dyDescent="0.25">
      <c r="B22">
        <f>'Put y call Europeo'!$P$21</f>
        <v>0</v>
      </c>
      <c r="D22">
        <f>($C$21*'Put y call Europeo'!$B$8+$C$23*(1-'Put y call Europeo'!$B$8))*EXP(-'Put y call Europeo'!$B$5/'Put y call Europeo'!$B$1)</f>
        <v>0</v>
      </c>
      <c r="F22">
        <f>($E$21*'Put y call Europeo'!$B$8+$E$23*(1-'Put y call Europeo'!$B$8))*EXP(-'Put y call Europeo'!$B$5/'Put y call Europeo'!$B$1)</f>
        <v>54.993135592959533</v>
      </c>
      <c r="H22">
        <f>($G$21*'Put y call Europeo'!$B$8+$G$23*(1-'Put y call Europeo'!$B$8))*EXP(-'Put y call Europeo'!$B$5/'Put y call Europeo'!$B$1)</f>
        <v>172.11536193141615</v>
      </c>
    </row>
    <row r="23" spans="2:13" x14ac:dyDescent="0.25">
      <c r="C23">
        <f>($B$22*'Put y call Europeo'!$B$8+$B$24*(1-'Put y call Europeo'!$B$8))*EXP(-'Put y call Europeo'!$B$5/'Put y call Europeo'!$B$1)</f>
        <v>0</v>
      </c>
      <c r="E23">
        <f>($D$22*'Put y call Europeo'!$B$8+$D$24*(1-'Put y call Europeo'!$B$8))*EXP(-'Put y call Europeo'!$B$5/'Put y call Europeo'!$B$1)</f>
        <v>0</v>
      </c>
      <c r="G23">
        <f>($F$22*'Put y call Europeo'!$B$8+$F$24*(1-'Put y call Europeo'!$B$8))*EXP(-'Put y call Europeo'!$B$5/'Put y call Europeo'!$B$1)</f>
        <v>30.793432438062982</v>
      </c>
    </row>
    <row r="24" spans="2:13" x14ac:dyDescent="0.25">
      <c r="B24">
        <f>'Put y call Europeo'!$P$23</f>
        <v>0</v>
      </c>
      <c r="D24">
        <f>($C$23*'Put y call Europeo'!$B$8+$C$25*(1-'Put y call Europeo'!$B$8))*EXP(-'Put y call Europeo'!$B$5/'Put y call Europeo'!$B$1)</f>
        <v>0</v>
      </c>
      <c r="F24">
        <f>($E$23*'Put y call Europeo'!$B$8+$E$25*(1-'Put y call Europeo'!$B$8))*EXP(-'Put y call Europeo'!$B$5/'Put y call Europeo'!$B$1)</f>
        <v>0</v>
      </c>
    </row>
    <row r="25" spans="2:13" x14ac:dyDescent="0.25">
      <c r="C25">
        <f>($B$24*'Put y call Europeo'!$B$8+$B$26*(1-'Put y call Europeo'!$B$8))*EXP(-'Put y call Europeo'!$B$5/'Put y call Europeo'!$B$1)</f>
        <v>0</v>
      </c>
      <c r="E25">
        <f>($D$24*'Put y call Europeo'!$B$8+$D$26*(1-'Put y call Europeo'!$B$8))*EXP(-'Put y call Europeo'!$B$5/'Put y call Europeo'!$B$1)</f>
        <v>0</v>
      </c>
    </row>
    <row r="26" spans="2:13" x14ac:dyDescent="0.25">
      <c r="B26">
        <f>'Put y call Europeo'!$P$25</f>
        <v>0</v>
      </c>
      <c r="D26">
        <f>($C$25*'Put y call Europeo'!$B$8+$C$27*(1-'Put y call Europeo'!$B$8))*EXP(-'Put y call Europeo'!$B$5/'Put y call Europeo'!$B$1)</f>
        <v>0</v>
      </c>
    </row>
    <row r="27" spans="2:13" x14ac:dyDescent="0.25">
      <c r="C27">
        <f>($B$26*'Put y call Europeo'!$B$8+$B$28*(1-'Put y call Europeo'!$B$8))*EXP(-'Put y call Europeo'!$B$5/'Put y call Europeo'!$B$1)</f>
        <v>0</v>
      </c>
    </row>
    <row r="28" spans="2:13" x14ac:dyDescent="0.25">
      <c r="B28">
        <f>'Put y call Europeo'!$P$27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H10012"/>
  <sheetViews>
    <sheetView workbookViewId="0">
      <selection activeCell="K21" sqref="K21"/>
    </sheetView>
  </sheetViews>
  <sheetFormatPr defaultColWidth="11.42578125" defaultRowHeight="15" x14ac:dyDescent="0.25"/>
  <cols>
    <col min="1" max="1" width="5.5703125" bestFit="1" customWidth="1"/>
    <col min="2" max="2" width="11.85546875" bestFit="1" customWidth="1"/>
    <col min="3" max="3" width="12.7109375" bestFit="1" customWidth="1"/>
    <col min="4" max="4" width="13.42578125" bestFit="1" customWidth="1"/>
    <col min="5" max="5" width="12" bestFit="1" customWidth="1"/>
    <col min="7" max="7" width="13" customWidth="1"/>
  </cols>
  <sheetData>
    <row r="1" spans="1:8" x14ac:dyDescent="0.25">
      <c r="A1" s="3" t="s">
        <v>50</v>
      </c>
      <c r="B1" s="4">
        <f>'Put y call Europeo'!B2</f>
        <v>42970</v>
      </c>
      <c r="D1" s="16" t="s">
        <v>49</v>
      </c>
      <c r="E1" s="16"/>
      <c r="G1" s="16" t="s">
        <v>48</v>
      </c>
      <c r="H1" s="16"/>
    </row>
    <row r="2" spans="1:8" x14ac:dyDescent="0.25">
      <c r="A2" s="3" t="s">
        <v>47</v>
      </c>
      <c r="B2" s="4">
        <f>'Put y call Europeo'!B3</f>
        <v>40000</v>
      </c>
      <c r="D2" t="s">
        <v>46</v>
      </c>
      <c r="E2" s="15">
        <f ca="1">AVERAGE(C12:C10012)*EXP(-B5*B4)</f>
        <v>230.93899246204185</v>
      </c>
      <c r="G2" t="s">
        <v>46</v>
      </c>
      <c r="H2">
        <f>B2*(EXP(-B4*B5))*H16-B1*H15</f>
        <v>228.64632689465452</v>
      </c>
    </row>
    <row r="3" spans="1:8" x14ac:dyDescent="0.25">
      <c r="A3" s="14" t="s">
        <v>45</v>
      </c>
      <c r="B3" s="4">
        <f>'Put y call Europeo'!B4</f>
        <v>0.1</v>
      </c>
      <c r="D3" t="s">
        <v>44</v>
      </c>
      <c r="E3">
        <f ca="1">AVERAGE(D12:D10012)*EXP(-B5*B4)</f>
        <v>5023.2094247085943</v>
      </c>
      <c r="G3" t="s">
        <v>44</v>
      </c>
      <c r="H3">
        <f>B1*H13-B2*EXP(-B4*B5)*H14</f>
        <v>5073.2948437944651</v>
      </c>
    </row>
    <row r="4" spans="1:8" ht="15.75" thickBot="1" x14ac:dyDescent="0.3">
      <c r="A4" s="5" t="s">
        <v>43</v>
      </c>
      <c r="B4" s="6">
        <f>'Put y call Europeo'!B5</f>
        <v>4.8000000000000001E-2</v>
      </c>
    </row>
    <row r="5" spans="1:8" ht="15.75" thickTop="1" x14ac:dyDescent="0.25">
      <c r="A5" s="7" t="s">
        <v>11</v>
      </c>
      <c r="B5" s="8">
        <f>'Put y call Europeo'!B17</f>
        <v>1</v>
      </c>
    </row>
    <row r="6" spans="1:8" x14ac:dyDescent="0.25">
      <c r="A6" s="7" t="s">
        <v>42</v>
      </c>
      <c r="B6" s="8">
        <f>'Put y call Europeo'!B15</f>
        <v>0</v>
      </c>
    </row>
    <row r="11" spans="1:8" x14ac:dyDescent="0.25">
      <c r="B11" t="s">
        <v>41</v>
      </c>
      <c r="C11" t="s">
        <v>40</v>
      </c>
      <c r="D11" t="s">
        <v>39</v>
      </c>
      <c r="G11" t="s">
        <v>38</v>
      </c>
      <c r="H11">
        <f>(LN(B1/B2)+(B4+(B3^2)*0.5)*B5)/(B3*SQRT(B5))</f>
        <v>1.2462274367296737</v>
      </c>
    </row>
    <row r="12" spans="1:8" x14ac:dyDescent="0.25">
      <c r="B12">
        <f ca="1">$B$1*EXP((($B$4-($B$3^2)/2)*$B$5+$B$3*SQRT($B$5)*NORMSINV(RAND())))</f>
        <v>44091.494224240159</v>
      </c>
      <c r="C12">
        <f t="shared" ref="C12:C75" ca="1" si="0">IF(MAX($B$2-B12)&lt;0,0,$B$2-B12)</f>
        <v>0</v>
      </c>
      <c r="D12">
        <f t="shared" ref="D12:D75" ca="1" si="1">IF(MAX(B12-$B$2)&lt;0,0,B12-$B$2)</f>
        <v>4091.4942242401594</v>
      </c>
      <c r="G12" t="s">
        <v>37</v>
      </c>
      <c r="H12">
        <f>H11-B3*SQRT(B5)</f>
        <v>1.1462274367296736</v>
      </c>
    </row>
    <row r="13" spans="1:8" x14ac:dyDescent="0.25">
      <c r="B13">
        <f t="shared" ref="B13:B76" ca="1" si="2">$B$1*EXP((($B$4-($B$3^2)/2)*$B$5+$B$3*SQRT($B$5)*NORMSINV(RAND())))</f>
        <v>38552.805487330887</v>
      </c>
      <c r="C13">
        <f t="shared" ca="1" si="0"/>
        <v>1447.1945126691135</v>
      </c>
      <c r="D13">
        <f t="shared" ca="1" si="1"/>
        <v>0</v>
      </c>
      <c r="G13" t="s">
        <v>36</v>
      </c>
      <c r="H13">
        <f>NORMSDIST(H11)</f>
        <v>0.89365954549535032</v>
      </c>
    </row>
    <row r="14" spans="1:8" x14ac:dyDescent="0.25">
      <c r="B14">
        <f t="shared" ca="1" si="2"/>
        <v>45090.10073935426</v>
      </c>
      <c r="C14">
        <f t="shared" ca="1" si="0"/>
        <v>0</v>
      </c>
      <c r="D14">
        <f t="shared" ca="1" si="1"/>
        <v>5090.1007393542604</v>
      </c>
      <c r="G14" t="s">
        <v>35</v>
      </c>
      <c r="H14">
        <f>NORMSDIST(H12)</f>
        <v>0.87414947088195893</v>
      </c>
    </row>
    <row r="15" spans="1:8" x14ac:dyDescent="0.25">
      <c r="B15">
        <f t="shared" ca="1" si="2"/>
        <v>44683.454556157812</v>
      </c>
      <c r="C15">
        <f t="shared" ca="1" si="0"/>
        <v>0</v>
      </c>
      <c r="D15">
        <f t="shared" ca="1" si="1"/>
        <v>4683.4545561578125</v>
      </c>
      <c r="G15" t="s">
        <v>34</v>
      </c>
      <c r="H15">
        <f>NORMSDIST(-H11)</f>
        <v>0.10634045450464966</v>
      </c>
    </row>
    <row r="16" spans="1:8" x14ac:dyDescent="0.25">
      <c r="B16">
        <f t="shared" ca="1" si="2"/>
        <v>41412.29187777279</v>
      </c>
      <c r="C16">
        <f t="shared" ca="1" si="0"/>
        <v>0</v>
      </c>
      <c r="D16">
        <f t="shared" ca="1" si="1"/>
        <v>1412.29187777279</v>
      </c>
      <c r="G16" t="s">
        <v>33</v>
      </c>
      <c r="H16">
        <f>NORMSDIST(-H12)</f>
        <v>0.12585052911804107</v>
      </c>
    </row>
    <row r="17" spans="2:4" x14ac:dyDescent="0.25">
      <c r="B17">
        <f t="shared" ca="1" si="2"/>
        <v>44740.327927598766</v>
      </c>
      <c r="C17">
        <f t="shared" ca="1" si="0"/>
        <v>0</v>
      </c>
      <c r="D17">
        <f t="shared" ca="1" si="1"/>
        <v>4740.3279275987661</v>
      </c>
    </row>
    <row r="18" spans="2:4" x14ac:dyDescent="0.25">
      <c r="B18">
        <f t="shared" ca="1" si="2"/>
        <v>54257.967821628699</v>
      </c>
      <c r="C18">
        <f t="shared" ca="1" si="0"/>
        <v>0</v>
      </c>
      <c r="D18">
        <f t="shared" ca="1" si="1"/>
        <v>14257.967821628699</v>
      </c>
    </row>
    <row r="19" spans="2:4" x14ac:dyDescent="0.25">
      <c r="B19">
        <f t="shared" ca="1" si="2"/>
        <v>34605.527935462451</v>
      </c>
      <c r="C19">
        <f t="shared" ca="1" si="0"/>
        <v>5394.4720645375492</v>
      </c>
      <c r="D19">
        <f t="shared" ca="1" si="1"/>
        <v>0</v>
      </c>
    </row>
    <row r="20" spans="2:4" x14ac:dyDescent="0.25">
      <c r="B20">
        <f t="shared" ca="1" si="2"/>
        <v>38159.452439696441</v>
      </c>
      <c r="C20">
        <f t="shared" ca="1" si="0"/>
        <v>1840.5475603035593</v>
      </c>
      <c r="D20">
        <f t="shared" ca="1" si="1"/>
        <v>0</v>
      </c>
    </row>
    <row r="21" spans="2:4" x14ac:dyDescent="0.25">
      <c r="B21">
        <f t="shared" ca="1" si="2"/>
        <v>39784.591102674705</v>
      </c>
      <c r="C21">
        <f t="shared" ca="1" si="0"/>
        <v>215.40889732529467</v>
      </c>
      <c r="D21">
        <f t="shared" ca="1" si="1"/>
        <v>0</v>
      </c>
    </row>
    <row r="22" spans="2:4" x14ac:dyDescent="0.25">
      <c r="B22">
        <f t="shared" ca="1" si="2"/>
        <v>42494.929006720951</v>
      </c>
      <c r="C22">
        <f t="shared" ca="1" si="0"/>
        <v>0</v>
      </c>
      <c r="D22">
        <f t="shared" ca="1" si="1"/>
        <v>2494.9290067209513</v>
      </c>
    </row>
    <row r="23" spans="2:4" x14ac:dyDescent="0.25">
      <c r="B23">
        <f t="shared" ca="1" si="2"/>
        <v>40962.239196771072</v>
      </c>
      <c r="C23">
        <f t="shared" ca="1" si="0"/>
        <v>0</v>
      </c>
      <c r="D23">
        <f t="shared" ca="1" si="1"/>
        <v>962.23919677107187</v>
      </c>
    </row>
    <row r="24" spans="2:4" x14ac:dyDescent="0.25">
      <c r="B24">
        <f t="shared" ca="1" si="2"/>
        <v>48325.73892230013</v>
      </c>
      <c r="C24">
        <f t="shared" ca="1" si="0"/>
        <v>0</v>
      </c>
      <c r="D24">
        <f t="shared" ca="1" si="1"/>
        <v>8325.7389223001301</v>
      </c>
    </row>
    <row r="25" spans="2:4" x14ac:dyDescent="0.25">
      <c r="B25">
        <f t="shared" ca="1" si="2"/>
        <v>41630.383639331885</v>
      </c>
      <c r="C25">
        <f t="shared" ca="1" si="0"/>
        <v>0</v>
      </c>
      <c r="D25">
        <f t="shared" ca="1" si="1"/>
        <v>1630.3836393318852</v>
      </c>
    </row>
    <row r="26" spans="2:4" x14ac:dyDescent="0.25">
      <c r="B26">
        <f t="shared" ca="1" si="2"/>
        <v>43287.399441052999</v>
      </c>
      <c r="C26">
        <f t="shared" ca="1" si="0"/>
        <v>0</v>
      </c>
      <c r="D26">
        <f t="shared" ca="1" si="1"/>
        <v>3287.3994410529995</v>
      </c>
    </row>
    <row r="27" spans="2:4" x14ac:dyDescent="0.25">
      <c r="B27">
        <f t="shared" ca="1" si="2"/>
        <v>42703.527303470066</v>
      </c>
      <c r="C27">
        <f t="shared" ca="1" si="0"/>
        <v>0</v>
      </c>
      <c r="D27">
        <f t="shared" ca="1" si="1"/>
        <v>2703.5273034700658</v>
      </c>
    </row>
    <row r="28" spans="2:4" x14ac:dyDescent="0.25">
      <c r="B28">
        <f t="shared" ca="1" si="2"/>
        <v>44175.751640876369</v>
      </c>
      <c r="C28">
        <f t="shared" ca="1" si="0"/>
        <v>0</v>
      </c>
      <c r="D28">
        <f t="shared" ca="1" si="1"/>
        <v>4175.7516408763695</v>
      </c>
    </row>
    <row r="29" spans="2:4" x14ac:dyDescent="0.25">
      <c r="B29">
        <f t="shared" ca="1" si="2"/>
        <v>46460.470380267725</v>
      </c>
      <c r="C29">
        <f t="shared" ca="1" si="0"/>
        <v>0</v>
      </c>
      <c r="D29">
        <f t="shared" ca="1" si="1"/>
        <v>6460.470380267725</v>
      </c>
    </row>
    <row r="30" spans="2:4" x14ac:dyDescent="0.25">
      <c r="B30">
        <f t="shared" ca="1" si="2"/>
        <v>52265.044241636846</v>
      </c>
      <c r="C30">
        <f t="shared" ca="1" si="0"/>
        <v>0</v>
      </c>
      <c r="D30">
        <f t="shared" ca="1" si="1"/>
        <v>12265.044241636846</v>
      </c>
    </row>
    <row r="31" spans="2:4" x14ac:dyDescent="0.25">
      <c r="B31">
        <f t="shared" ca="1" si="2"/>
        <v>49956.443704827841</v>
      </c>
      <c r="C31">
        <f t="shared" ca="1" si="0"/>
        <v>0</v>
      </c>
      <c r="D31">
        <f t="shared" ca="1" si="1"/>
        <v>9956.4437048278414</v>
      </c>
    </row>
    <row r="32" spans="2:4" x14ac:dyDescent="0.25">
      <c r="B32">
        <f t="shared" ca="1" si="2"/>
        <v>39058.207120311403</v>
      </c>
      <c r="C32">
        <f t="shared" ca="1" si="0"/>
        <v>941.79287968859717</v>
      </c>
      <c r="D32">
        <f t="shared" ca="1" si="1"/>
        <v>0</v>
      </c>
    </row>
    <row r="33" spans="2:4" x14ac:dyDescent="0.25">
      <c r="B33">
        <f t="shared" ca="1" si="2"/>
        <v>49219.745199443088</v>
      </c>
      <c r="C33">
        <f t="shared" ca="1" si="0"/>
        <v>0</v>
      </c>
      <c r="D33">
        <f t="shared" ca="1" si="1"/>
        <v>9219.7451994430885</v>
      </c>
    </row>
    <row r="34" spans="2:4" x14ac:dyDescent="0.25">
      <c r="B34">
        <f t="shared" ca="1" si="2"/>
        <v>40048.640576644786</v>
      </c>
      <c r="C34">
        <f t="shared" ca="1" si="0"/>
        <v>0</v>
      </c>
      <c r="D34">
        <f t="shared" ca="1" si="1"/>
        <v>48.640576644786051</v>
      </c>
    </row>
    <row r="35" spans="2:4" x14ac:dyDescent="0.25">
      <c r="B35">
        <f t="shared" ca="1" si="2"/>
        <v>39341.301166321893</v>
      </c>
      <c r="C35">
        <f t="shared" ca="1" si="0"/>
        <v>658.69883367810689</v>
      </c>
      <c r="D35">
        <f t="shared" ca="1" si="1"/>
        <v>0</v>
      </c>
    </row>
    <row r="36" spans="2:4" x14ac:dyDescent="0.25">
      <c r="B36">
        <f t="shared" ca="1" si="2"/>
        <v>55718.001186149158</v>
      </c>
      <c r="C36">
        <f t="shared" ca="1" si="0"/>
        <v>0</v>
      </c>
      <c r="D36">
        <f t="shared" ca="1" si="1"/>
        <v>15718.001186149158</v>
      </c>
    </row>
    <row r="37" spans="2:4" x14ac:dyDescent="0.25">
      <c r="B37">
        <f t="shared" ca="1" si="2"/>
        <v>41896.810449922516</v>
      </c>
      <c r="C37">
        <f t="shared" ca="1" si="0"/>
        <v>0</v>
      </c>
      <c r="D37">
        <f t="shared" ca="1" si="1"/>
        <v>1896.8104499225155</v>
      </c>
    </row>
    <row r="38" spans="2:4" x14ac:dyDescent="0.25">
      <c r="B38">
        <f t="shared" ca="1" si="2"/>
        <v>43038.632231603944</v>
      </c>
      <c r="C38">
        <f t="shared" ca="1" si="0"/>
        <v>0</v>
      </c>
      <c r="D38">
        <f t="shared" ca="1" si="1"/>
        <v>3038.6322316039441</v>
      </c>
    </row>
    <row r="39" spans="2:4" x14ac:dyDescent="0.25">
      <c r="B39">
        <f t="shared" ca="1" si="2"/>
        <v>41955.018449031246</v>
      </c>
      <c r="C39">
        <f t="shared" ca="1" si="0"/>
        <v>0</v>
      </c>
      <c r="D39">
        <f t="shared" ca="1" si="1"/>
        <v>1955.0184490312458</v>
      </c>
    </row>
    <row r="40" spans="2:4" x14ac:dyDescent="0.25">
      <c r="B40">
        <f t="shared" ca="1" si="2"/>
        <v>48668.936633608115</v>
      </c>
      <c r="C40">
        <f t="shared" ca="1" si="0"/>
        <v>0</v>
      </c>
      <c r="D40">
        <f t="shared" ca="1" si="1"/>
        <v>8668.9366336081148</v>
      </c>
    </row>
    <row r="41" spans="2:4" x14ac:dyDescent="0.25">
      <c r="B41">
        <f t="shared" ca="1" si="2"/>
        <v>48783.040728667198</v>
      </c>
      <c r="C41">
        <f t="shared" ca="1" si="0"/>
        <v>0</v>
      </c>
      <c r="D41">
        <f t="shared" ca="1" si="1"/>
        <v>8783.040728667198</v>
      </c>
    </row>
    <row r="42" spans="2:4" x14ac:dyDescent="0.25">
      <c r="B42">
        <f t="shared" ca="1" si="2"/>
        <v>44456.712296662699</v>
      </c>
      <c r="C42">
        <f t="shared" ca="1" si="0"/>
        <v>0</v>
      </c>
      <c r="D42">
        <f t="shared" ca="1" si="1"/>
        <v>4456.7122966626994</v>
      </c>
    </row>
    <row r="43" spans="2:4" x14ac:dyDescent="0.25">
      <c r="B43">
        <f t="shared" ca="1" si="2"/>
        <v>38014.964414197668</v>
      </c>
      <c r="C43">
        <f t="shared" ca="1" si="0"/>
        <v>1985.0355858023322</v>
      </c>
      <c r="D43">
        <f t="shared" ca="1" si="1"/>
        <v>0</v>
      </c>
    </row>
    <row r="44" spans="2:4" x14ac:dyDescent="0.25">
      <c r="B44">
        <f t="shared" ca="1" si="2"/>
        <v>40024.622778041681</v>
      </c>
      <c r="C44">
        <f t="shared" ca="1" si="0"/>
        <v>0</v>
      </c>
      <c r="D44">
        <f t="shared" ca="1" si="1"/>
        <v>24.622778041681158</v>
      </c>
    </row>
    <row r="45" spans="2:4" x14ac:dyDescent="0.25">
      <c r="B45">
        <f t="shared" ca="1" si="2"/>
        <v>42313.875177012073</v>
      </c>
      <c r="C45">
        <f t="shared" ca="1" si="0"/>
        <v>0</v>
      </c>
      <c r="D45">
        <f t="shared" ca="1" si="1"/>
        <v>2313.8751770120725</v>
      </c>
    </row>
    <row r="46" spans="2:4" x14ac:dyDescent="0.25">
      <c r="B46">
        <f t="shared" ca="1" si="2"/>
        <v>49949.387336712905</v>
      </c>
      <c r="C46">
        <f t="shared" ca="1" si="0"/>
        <v>0</v>
      </c>
      <c r="D46">
        <f t="shared" ca="1" si="1"/>
        <v>9949.3873367129054</v>
      </c>
    </row>
    <row r="47" spans="2:4" x14ac:dyDescent="0.25">
      <c r="B47">
        <f t="shared" ca="1" si="2"/>
        <v>43539.112264409618</v>
      </c>
      <c r="C47">
        <f t="shared" ca="1" si="0"/>
        <v>0</v>
      </c>
      <c r="D47">
        <f t="shared" ca="1" si="1"/>
        <v>3539.1122644096176</v>
      </c>
    </row>
    <row r="48" spans="2:4" x14ac:dyDescent="0.25">
      <c r="B48">
        <f t="shared" ca="1" si="2"/>
        <v>43175.185288008433</v>
      </c>
      <c r="C48">
        <f t="shared" ca="1" si="0"/>
        <v>0</v>
      </c>
      <c r="D48">
        <f t="shared" ca="1" si="1"/>
        <v>3175.1852880084334</v>
      </c>
    </row>
    <row r="49" spans="2:4" x14ac:dyDescent="0.25">
      <c r="B49">
        <f t="shared" ca="1" si="2"/>
        <v>50556.425755942182</v>
      </c>
      <c r="C49">
        <f t="shared" ca="1" si="0"/>
        <v>0</v>
      </c>
      <c r="D49">
        <f t="shared" ca="1" si="1"/>
        <v>10556.425755942182</v>
      </c>
    </row>
    <row r="50" spans="2:4" x14ac:dyDescent="0.25">
      <c r="B50">
        <f t="shared" ca="1" si="2"/>
        <v>42030.854304753964</v>
      </c>
      <c r="C50">
        <f t="shared" ca="1" si="0"/>
        <v>0</v>
      </c>
      <c r="D50">
        <f t="shared" ca="1" si="1"/>
        <v>2030.8543047539642</v>
      </c>
    </row>
    <row r="51" spans="2:4" x14ac:dyDescent="0.25">
      <c r="B51">
        <f t="shared" ca="1" si="2"/>
        <v>36507.351905754265</v>
      </c>
      <c r="C51">
        <f t="shared" ca="1" si="0"/>
        <v>3492.6480942457347</v>
      </c>
      <c r="D51">
        <f t="shared" ca="1" si="1"/>
        <v>0</v>
      </c>
    </row>
    <row r="52" spans="2:4" x14ac:dyDescent="0.25">
      <c r="B52">
        <f t="shared" ca="1" si="2"/>
        <v>45716.415429018896</v>
      </c>
      <c r="C52">
        <f t="shared" ca="1" si="0"/>
        <v>0</v>
      </c>
      <c r="D52">
        <f t="shared" ca="1" si="1"/>
        <v>5716.4154290188962</v>
      </c>
    </row>
    <row r="53" spans="2:4" x14ac:dyDescent="0.25">
      <c r="B53">
        <f t="shared" ca="1" si="2"/>
        <v>39375.207860034752</v>
      </c>
      <c r="C53">
        <f t="shared" ca="1" si="0"/>
        <v>624.79213996524777</v>
      </c>
      <c r="D53">
        <f t="shared" ca="1" si="1"/>
        <v>0</v>
      </c>
    </row>
    <row r="54" spans="2:4" x14ac:dyDescent="0.25">
      <c r="B54">
        <f t="shared" ca="1" si="2"/>
        <v>40929.401099241521</v>
      </c>
      <c r="C54">
        <f t="shared" ca="1" si="0"/>
        <v>0</v>
      </c>
      <c r="D54">
        <f t="shared" ca="1" si="1"/>
        <v>929.40109924152057</v>
      </c>
    </row>
    <row r="55" spans="2:4" x14ac:dyDescent="0.25">
      <c r="B55">
        <f t="shared" ca="1" si="2"/>
        <v>41203.962332811672</v>
      </c>
      <c r="C55">
        <f t="shared" ca="1" si="0"/>
        <v>0</v>
      </c>
      <c r="D55">
        <f t="shared" ca="1" si="1"/>
        <v>1203.9623328116722</v>
      </c>
    </row>
    <row r="56" spans="2:4" x14ac:dyDescent="0.25">
      <c r="B56">
        <f t="shared" ca="1" si="2"/>
        <v>46193.663174380832</v>
      </c>
      <c r="C56">
        <f t="shared" ca="1" si="0"/>
        <v>0</v>
      </c>
      <c r="D56">
        <f t="shared" ca="1" si="1"/>
        <v>6193.6631743808321</v>
      </c>
    </row>
    <row r="57" spans="2:4" x14ac:dyDescent="0.25">
      <c r="B57">
        <f t="shared" ca="1" si="2"/>
        <v>48900.948429304022</v>
      </c>
      <c r="C57">
        <f t="shared" ca="1" si="0"/>
        <v>0</v>
      </c>
      <c r="D57">
        <f t="shared" ca="1" si="1"/>
        <v>8900.9484293040223</v>
      </c>
    </row>
    <row r="58" spans="2:4" x14ac:dyDescent="0.25">
      <c r="B58">
        <f t="shared" ca="1" si="2"/>
        <v>44154.905651431363</v>
      </c>
      <c r="C58">
        <f t="shared" ca="1" si="0"/>
        <v>0</v>
      </c>
      <c r="D58">
        <f t="shared" ca="1" si="1"/>
        <v>4154.9056514313634</v>
      </c>
    </row>
    <row r="59" spans="2:4" x14ac:dyDescent="0.25">
      <c r="B59">
        <f t="shared" ca="1" si="2"/>
        <v>52684.506546154757</v>
      </c>
      <c r="C59">
        <f t="shared" ca="1" si="0"/>
        <v>0</v>
      </c>
      <c r="D59">
        <f t="shared" ca="1" si="1"/>
        <v>12684.506546154757</v>
      </c>
    </row>
    <row r="60" spans="2:4" x14ac:dyDescent="0.25">
      <c r="B60">
        <f t="shared" ca="1" si="2"/>
        <v>45636.124812896618</v>
      </c>
      <c r="C60">
        <f t="shared" ca="1" si="0"/>
        <v>0</v>
      </c>
      <c r="D60">
        <f t="shared" ca="1" si="1"/>
        <v>5636.1248128966181</v>
      </c>
    </row>
    <row r="61" spans="2:4" x14ac:dyDescent="0.25">
      <c r="B61">
        <f t="shared" ca="1" si="2"/>
        <v>45238.502993452414</v>
      </c>
      <c r="C61">
        <f t="shared" ca="1" si="0"/>
        <v>0</v>
      </c>
      <c r="D61">
        <f t="shared" ca="1" si="1"/>
        <v>5238.5029934524136</v>
      </c>
    </row>
    <row r="62" spans="2:4" x14ac:dyDescent="0.25">
      <c r="B62">
        <f t="shared" ca="1" si="2"/>
        <v>53884.406239614516</v>
      </c>
      <c r="C62">
        <f t="shared" ca="1" si="0"/>
        <v>0</v>
      </c>
      <c r="D62">
        <f t="shared" ca="1" si="1"/>
        <v>13884.406239614516</v>
      </c>
    </row>
    <row r="63" spans="2:4" x14ac:dyDescent="0.25">
      <c r="B63">
        <f t="shared" ca="1" si="2"/>
        <v>45255.125266810552</v>
      </c>
      <c r="C63">
        <f t="shared" ca="1" si="0"/>
        <v>0</v>
      </c>
      <c r="D63">
        <f t="shared" ca="1" si="1"/>
        <v>5255.1252668105517</v>
      </c>
    </row>
    <row r="64" spans="2:4" x14ac:dyDescent="0.25">
      <c r="B64">
        <f t="shared" ca="1" si="2"/>
        <v>45978.252116509066</v>
      </c>
      <c r="C64">
        <f t="shared" ca="1" si="0"/>
        <v>0</v>
      </c>
      <c r="D64">
        <f t="shared" ca="1" si="1"/>
        <v>5978.2521165090657</v>
      </c>
    </row>
    <row r="65" spans="2:4" x14ac:dyDescent="0.25">
      <c r="B65">
        <f t="shared" ca="1" si="2"/>
        <v>48779.440014464824</v>
      </c>
      <c r="C65">
        <f t="shared" ca="1" si="0"/>
        <v>0</v>
      </c>
      <c r="D65">
        <f t="shared" ca="1" si="1"/>
        <v>8779.4400144648243</v>
      </c>
    </row>
    <row r="66" spans="2:4" x14ac:dyDescent="0.25">
      <c r="B66">
        <f t="shared" ca="1" si="2"/>
        <v>42216.065195826282</v>
      </c>
      <c r="C66">
        <f t="shared" ca="1" si="0"/>
        <v>0</v>
      </c>
      <c r="D66">
        <f t="shared" ca="1" si="1"/>
        <v>2216.0651958262824</v>
      </c>
    </row>
    <row r="67" spans="2:4" x14ac:dyDescent="0.25">
      <c r="B67">
        <f t="shared" ca="1" si="2"/>
        <v>55763.551782466639</v>
      </c>
      <c r="C67">
        <f t="shared" ca="1" si="0"/>
        <v>0</v>
      </c>
      <c r="D67">
        <f t="shared" ca="1" si="1"/>
        <v>15763.551782466639</v>
      </c>
    </row>
    <row r="68" spans="2:4" x14ac:dyDescent="0.25">
      <c r="B68">
        <f t="shared" ca="1" si="2"/>
        <v>48620.92763338668</v>
      </c>
      <c r="C68">
        <f t="shared" ca="1" si="0"/>
        <v>0</v>
      </c>
      <c r="D68">
        <f t="shared" ca="1" si="1"/>
        <v>8620.9276333866801</v>
      </c>
    </row>
    <row r="69" spans="2:4" x14ac:dyDescent="0.25">
      <c r="B69">
        <f t="shared" ca="1" si="2"/>
        <v>50549.673232811598</v>
      </c>
      <c r="C69">
        <f t="shared" ca="1" si="0"/>
        <v>0</v>
      </c>
      <c r="D69">
        <f t="shared" ca="1" si="1"/>
        <v>10549.673232811598</v>
      </c>
    </row>
    <row r="70" spans="2:4" x14ac:dyDescent="0.25">
      <c r="B70">
        <f t="shared" ca="1" si="2"/>
        <v>41823.744206525895</v>
      </c>
      <c r="C70">
        <f t="shared" ca="1" si="0"/>
        <v>0</v>
      </c>
      <c r="D70">
        <f t="shared" ca="1" si="1"/>
        <v>1823.7442065258947</v>
      </c>
    </row>
    <row r="71" spans="2:4" x14ac:dyDescent="0.25">
      <c r="B71">
        <f t="shared" ca="1" si="2"/>
        <v>44631.431430623488</v>
      </c>
      <c r="C71">
        <f t="shared" ca="1" si="0"/>
        <v>0</v>
      </c>
      <c r="D71">
        <f t="shared" ca="1" si="1"/>
        <v>4631.4314306234883</v>
      </c>
    </row>
    <row r="72" spans="2:4" x14ac:dyDescent="0.25">
      <c r="B72">
        <f t="shared" ca="1" si="2"/>
        <v>37775.538965595057</v>
      </c>
      <c r="C72">
        <f t="shared" ca="1" si="0"/>
        <v>2224.4610344049433</v>
      </c>
      <c r="D72">
        <f t="shared" ca="1" si="1"/>
        <v>0</v>
      </c>
    </row>
    <row r="73" spans="2:4" x14ac:dyDescent="0.25">
      <c r="B73">
        <f t="shared" ca="1" si="2"/>
        <v>43099.304212802592</v>
      </c>
      <c r="C73">
        <f t="shared" ca="1" si="0"/>
        <v>0</v>
      </c>
      <c r="D73">
        <f t="shared" ca="1" si="1"/>
        <v>3099.3042128025918</v>
      </c>
    </row>
    <row r="74" spans="2:4" x14ac:dyDescent="0.25">
      <c r="B74">
        <f t="shared" ca="1" si="2"/>
        <v>43309.17523175088</v>
      </c>
      <c r="C74">
        <f t="shared" ca="1" si="0"/>
        <v>0</v>
      </c>
      <c r="D74">
        <f t="shared" ca="1" si="1"/>
        <v>3309.1752317508799</v>
      </c>
    </row>
    <row r="75" spans="2:4" x14ac:dyDescent="0.25">
      <c r="B75">
        <f t="shared" ca="1" si="2"/>
        <v>39358.468212589964</v>
      </c>
      <c r="C75">
        <f t="shared" ca="1" si="0"/>
        <v>641.53178741003649</v>
      </c>
      <c r="D75">
        <f t="shared" ca="1" si="1"/>
        <v>0</v>
      </c>
    </row>
    <row r="76" spans="2:4" x14ac:dyDescent="0.25">
      <c r="B76">
        <f t="shared" ca="1" si="2"/>
        <v>35997.682539062887</v>
      </c>
      <c r="C76">
        <f t="shared" ref="C76:C139" ca="1" si="3">IF(MAX($B$2-B76)&lt;0,0,$B$2-B76)</f>
        <v>4002.3174609371126</v>
      </c>
      <c r="D76">
        <f t="shared" ref="D76:D139" ca="1" si="4">IF(MAX(B76-$B$2)&lt;0,0,B76-$B$2)</f>
        <v>0</v>
      </c>
    </row>
    <row r="77" spans="2:4" x14ac:dyDescent="0.25">
      <c r="B77">
        <f t="shared" ref="B77:B140" ca="1" si="5">$B$1*EXP((($B$4-($B$3^2)/2)*$B$5+$B$3*SQRT($B$5)*NORMSINV(RAND())))</f>
        <v>49884.46097804037</v>
      </c>
      <c r="C77">
        <f t="shared" ca="1" si="3"/>
        <v>0</v>
      </c>
      <c r="D77">
        <f t="shared" ca="1" si="4"/>
        <v>9884.4609780403698</v>
      </c>
    </row>
    <row r="78" spans="2:4" x14ac:dyDescent="0.25">
      <c r="B78">
        <f t="shared" ca="1" si="5"/>
        <v>42599.070773401691</v>
      </c>
      <c r="C78">
        <f t="shared" ca="1" si="3"/>
        <v>0</v>
      </c>
      <c r="D78">
        <f t="shared" ca="1" si="4"/>
        <v>2599.0707734016905</v>
      </c>
    </row>
    <row r="79" spans="2:4" x14ac:dyDescent="0.25">
      <c r="B79">
        <f t="shared" ca="1" si="5"/>
        <v>45027.621540283842</v>
      </c>
      <c r="C79">
        <f t="shared" ca="1" si="3"/>
        <v>0</v>
      </c>
      <c r="D79">
        <f t="shared" ca="1" si="4"/>
        <v>5027.6215402838425</v>
      </c>
    </row>
    <row r="80" spans="2:4" x14ac:dyDescent="0.25">
      <c r="B80">
        <f t="shared" ca="1" si="5"/>
        <v>45230.327072265944</v>
      </c>
      <c r="C80">
        <f t="shared" ca="1" si="3"/>
        <v>0</v>
      </c>
      <c r="D80">
        <f t="shared" ca="1" si="4"/>
        <v>5230.3270722659436</v>
      </c>
    </row>
    <row r="81" spans="2:4" x14ac:dyDescent="0.25">
      <c r="B81">
        <f t="shared" ca="1" si="5"/>
        <v>46288.37080581778</v>
      </c>
      <c r="C81">
        <f t="shared" ca="1" si="3"/>
        <v>0</v>
      </c>
      <c r="D81">
        <f t="shared" ca="1" si="4"/>
        <v>6288.3708058177799</v>
      </c>
    </row>
    <row r="82" spans="2:4" x14ac:dyDescent="0.25">
      <c r="B82">
        <f t="shared" ca="1" si="5"/>
        <v>45386.722857640096</v>
      </c>
      <c r="C82">
        <f t="shared" ca="1" si="3"/>
        <v>0</v>
      </c>
      <c r="D82">
        <f t="shared" ca="1" si="4"/>
        <v>5386.7228576400958</v>
      </c>
    </row>
    <row r="83" spans="2:4" x14ac:dyDescent="0.25">
      <c r="B83">
        <f t="shared" ca="1" si="5"/>
        <v>45019.373140155083</v>
      </c>
      <c r="C83">
        <f t="shared" ca="1" si="3"/>
        <v>0</v>
      </c>
      <c r="D83">
        <f t="shared" ca="1" si="4"/>
        <v>5019.3731401550831</v>
      </c>
    </row>
    <row r="84" spans="2:4" x14ac:dyDescent="0.25">
      <c r="B84">
        <f t="shared" ca="1" si="5"/>
        <v>37193.131657088328</v>
      </c>
      <c r="C84">
        <f t="shared" ca="1" si="3"/>
        <v>2806.8683429116718</v>
      </c>
      <c r="D84">
        <f t="shared" ca="1" si="4"/>
        <v>0</v>
      </c>
    </row>
    <row r="85" spans="2:4" x14ac:dyDescent="0.25">
      <c r="B85">
        <f t="shared" ca="1" si="5"/>
        <v>45133.372017878362</v>
      </c>
      <c r="C85">
        <f t="shared" ca="1" si="3"/>
        <v>0</v>
      </c>
      <c r="D85">
        <f t="shared" ca="1" si="4"/>
        <v>5133.3720178783624</v>
      </c>
    </row>
    <row r="86" spans="2:4" x14ac:dyDescent="0.25">
      <c r="B86">
        <f t="shared" ca="1" si="5"/>
        <v>37926.292196180926</v>
      </c>
      <c r="C86">
        <f t="shared" ca="1" si="3"/>
        <v>2073.7078038190739</v>
      </c>
      <c r="D86">
        <f t="shared" ca="1" si="4"/>
        <v>0</v>
      </c>
    </row>
    <row r="87" spans="2:4" x14ac:dyDescent="0.25">
      <c r="B87">
        <f t="shared" ca="1" si="5"/>
        <v>43521.390764023541</v>
      </c>
      <c r="C87">
        <f t="shared" ca="1" si="3"/>
        <v>0</v>
      </c>
      <c r="D87">
        <f t="shared" ca="1" si="4"/>
        <v>3521.3907640235411</v>
      </c>
    </row>
    <row r="88" spans="2:4" x14ac:dyDescent="0.25">
      <c r="B88">
        <f t="shared" ca="1" si="5"/>
        <v>41835.22399307591</v>
      </c>
      <c r="C88">
        <f t="shared" ca="1" si="3"/>
        <v>0</v>
      </c>
      <c r="D88">
        <f t="shared" ca="1" si="4"/>
        <v>1835.2239930759097</v>
      </c>
    </row>
    <row r="89" spans="2:4" x14ac:dyDescent="0.25">
      <c r="B89">
        <f t="shared" ca="1" si="5"/>
        <v>41212.036942914201</v>
      </c>
      <c r="C89">
        <f t="shared" ca="1" si="3"/>
        <v>0</v>
      </c>
      <c r="D89">
        <f t="shared" ca="1" si="4"/>
        <v>1212.0369429142011</v>
      </c>
    </row>
    <row r="90" spans="2:4" x14ac:dyDescent="0.25">
      <c r="B90">
        <f t="shared" ca="1" si="5"/>
        <v>43554.247082120295</v>
      </c>
      <c r="C90">
        <f t="shared" ca="1" si="3"/>
        <v>0</v>
      </c>
      <c r="D90">
        <f t="shared" ca="1" si="4"/>
        <v>3554.2470821202951</v>
      </c>
    </row>
    <row r="91" spans="2:4" x14ac:dyDescent="0.25">
      <c r="B91">
        <f t="shared" ca="1" si="5"/>
        <v>41341.173180508231</v>
      </c>
      <c r="C91">
        <f t="shared" ca="1" si="3"/>
        <v>0</v>
      </c>
      <c r="D91">
        <f t="shared" ca="1" si="4"/>
        <v>1341.1731805082309</v>
      </c>
    </row>
    <row r="92" spans="2:4" x14ac:dyDescent="0.25">
      <c r="B92">
        <f t="shared" ca="1" si="5"/>
        <v>47027.527428393805</v>
      </c>
      <c r="C92">
        <f t="shared" ca="1" si="3"/>
        <v>0</v>
      </c>
      <c r="D92">
        <f t="shared" ca="1" si="4"/>
        <v>7027.5274283938052</v>
      </c>
    </row>
    <row r="93" spans="2:4" x14ac:dyDescent="0.25">
      <c r="B93">
        <f t="shared" ca="1" si="5"/>
        <v>41453.556660674592</v>
      </c>
      <c r="C93">
        <f t="shared" ca="1" si="3"/>
        <v>0</v>
      </c>
      <c r="D93">
        <f t="shared" ca="1" si="4"/>
        <v>1453.5566606745924</v>
      </c>
    </row>
    <row r="94" spans="2:4" x14ac:dyDescent="0.25">
      <c r="B94">
        <f t="shared" ca="1" si="5"/>
        <v>44240.344881615521</v>
      </c>
      <c r="C94">
        <f t="shared" ca="1" si="3"/>
        <v>0</v>
      </c>
      <c r="D94">
        <f t="shared" ca="1" si="4"/>
        <v>4240.3448816155214</v>
      </c>
    </row>
    <row r="95" spans="2:4" x14ac:dyDescent="0.25">
      <c r="B95">
        <f t="shared" ca="1" si="5"/>
        <v>46163.321100198715</v>
      </c>
      <c r="C95">
        <f t="shared" ca="1" si="3"/>
        <v>0</v>
      </c>
      <c r="D95">
        <f t="shared" ca="1" si="4"/>
        <v>6163.3211001987147</v>
      </c>
    </row>
    <row r="96" spans="2:4" x14ac:dyDescent="0.25">
      <c r="B96">
        <f t="shared" ca="1" si="5"/>
        <v>43008.838814739116</v>
      </c>
      <c r="C96">
        <f t="shared" ca="1" si="3"/>
        <v>0</v>
      </c>
      <c r="D96">
        <f t="shared" ca="1" si="4"/>
        <v>3008.8388147391161</v>
      </c>
    </row>
    <row r="97" spans="2:4" x14ac:dyDescent="0.25">
      <c r="B97">
        <f t="shared" ca="1" si="5"/>
        <v>39563.697672584909</v>
      </c>
      <c r="C97">
        <f t="shared" ca="1" si="3"/>
        <v>436.30232741509099</v>
      </c>
      <c r="D97">
        <f t="shared" ca="1" si="4"/>
        <v>0</v>
      </c>
    </row>
    <row r="98" spans="2:4" x14ac:dyDescent="0.25">
      <c r="B98">
        <f t="shared" ca="1" si="5"/>
        <v>47238.079813261065</v>
      </c>
      <c r="C98">
        <f t="shared" ca="1" si="3"/>
        <v>0</v>
      </c>
      <c r="D98">
        <f t="shared" ca="1" si="4"/>
        <v>7238.0798132610653</v>
      </c>
    </row>
    <row r="99" spans="2:4" x14ac:dyDescent="0.25">
      <c r="B99">
        <f t="shared" ca="1" si="5"/>
        <v>52001.820243270384</v>
      </c>
      <c r="C99">
        <f t="shared" ca="1" si="3"/>
        <v>0</v>
      </c>
      <c r="D99">
        <f t="shared" ca="1" si="4"/>
        <v>12001.820243270384</v>
      </c>
    </row>
    <row r="100" spans="2:4" x14ac:dyDescent="0.25">
      <c r="B100">
        <f t="shared" ca="1" si="5"/>
        <v>45794.605382418158</v>
      </c>
      <c r="C100">
        <f t="shared" ca="1" si="3"/>
        <v>0</v>
      </c>
      <c r="D100">
        <f t="shared" ca="1" si="4"/>
        <v>5794.6053824181581</v>
      </c>
    </row>
    <row r="101" spans="2:4" x14ac:dyDescent="0.25">
      <c r="B101">
        <f t="shared" ca="1" si="5"/>
        <v>41426.468542582144</v>
      </c>
      <c r="C101">
        <f t="shared" ca="1" si="3"/>
        <v>0</v>
      </c>
      <c r="D101">
        <f t="shared" ca="1" si="4"/>
        <v>1426.4685425821444</v>
      </c>
    </row>
    <row r="102" spans="2:4" x14ac:dyDescent="0.25">
      <c r="B102">
        <f t="shared" ca="1" si="5"/>
        <v>42322.288634401404</v>
      </c>
      <c r="C102">
        <f t="shared" ca="1" si="3"/>
        <v>0</v>
      </c>
      <c r="D102">
        <f t="shared" ca="1" si="4"/>
        <v>2322.2886344014041</v>
      </c>
    </row>
    <row r="103" spans="2:4" x14ac:dyDescent="0.25">
      <c r="B103">
        <f t="shared" ca="1" si="5"/>
        <v>42804.582995136909</v>
      </c>
      <c r="C103">
        <f t="shared" ca="1" si="3"/>
        <v>0</v>
      </c>
      <c r="D103">
        <f t="shared" ca="1" si="4"/>
        <v>2804.5829951369087</v>
      </c>
    </row>
    <row r="104" spans="2:4" x14ac:dyDescent="0.25">
      <c r="B104">
        <f t="shared" ca="1" si="5"/>
        <v>40542.072311937103</v>
      </c>
      <c r="C104">
        <f t="shared" ca="1" si="3"/>
        <v>0</v>
      </c>
      <c r="D104">
        <f t="shared" ca="1" si="4"/>
        <v>542.07231193710322</v>
      </c>
    </row>
    <row r="105" spans="2:4" x14ac:dyDescent="0.25">
      <c r="B105">
        <f t="shared" ca="1" si="5"/>
        <v>55589.057830343008</v>
      </c>
      <c r="C105">
        <f t="shared" ca="1" si="3"/>
        <v>0</v>
      </c>
      <c r="D105">
        <f t="shared" ca="1" si="4"/>
        <v>15589.057830343008</v>
      </c>
    </row>
    <row r="106" spans="2:4" x14ac:dyDescent="0.25">
      <c r="B106">
        <f t="shared" ca="1" si="5"/>
        <v>49079.422701272306</v>
      </c>
      <c r="C106">
        <f t="shared" ca="1" si="3"/>
        <v>0</v>
      </c>
      <c r="D106">
        <f t="shared" ca="1" si="4"/>
        <v>9079.4227012723059</v>
      </c>
    </row>
    <row r="107" spans="2:4" x14ac:dyDescent="0.25">
      <c r="B107">
        <f t="shared" ca="1" si="5"/>
        <v>43767.963487690802</v>
      </c>
      <c r="C107">
        <f t="shared" ca="1" si="3"/>
        <v>0</v>
      </c>
      <c r="D107">
        <f t="shared" ca="1" si="4"/>
        <v>3767.9634876908021</v>
      </c>
    </row>
    <row r="108" spans="2:4" x14ac:dyDescent="0.25">
      <c r="B108">
        <f t="shared" ca="1" si="5"/>
        <v>37751.062253772339</v>
      </c>
      <c r="C108">
        <f t="shared" ca="1" si="3"/>
        <v>2248.9377462276607</v>
      </c>
      <c r="D108">
        <f t="shared" ca="1" si="4"/>
        <v>0</v>
      </c>
    </row>
    <row r="109" spans="2:4" x14ac:dyDescent="0.25">
      <c r="B109">
        <f t="shared" ca="1" si="5"/>
        <v>42248.639144769462</v>
      </c>
      <c r="C109">
        <f t="shared" ca="1" si="3"/>
        <v>0</v>
      </c>
      <c r="D109">
        <f t="shared" ca="1" si="4"/>
        <v>2248.6391447694623</v>
      </c>
    </row>
    <row r="110" spans="2:4" x14ac:dyDescent="0.25">
      <c r="B110">
        <f t="shared" ca="1" si="5"/>
        <v>52573.910222935658</v>
      </c>
      <c r="C110">
        <f t="shared" ca="1" si="3"/>
        <v>0</v>
      </c>
      <c r="D110">
        <f t="shared" ca="1" si="4"/>
        <v>12573.910222935658</v>
      </c>
    </row>
    <row r="111" spans="2:4" x14ac:dyDescent="0.25">
      <c r="B111">
        <f t="shared" ca="1" si="5"/>
        <v>39638.373380437297</v>
      </c>
      <c r="C111">
        <f t="shared" ca="1" si="3"/>
        <v>361.62661956270313</v>
      </c>
      <c r="D111">
        <f t="shared" ca="1" si="4"/>
        <v>0</v>
      </c>
    </row>
    <row r="112" spans="2:4" x14ac:dyDescent="0.25">
      <c r="B112">
        <f t="shared" ca="1" si="5"/>
        <v>45047.467272911956</v>
      </c>
      <c r="C112">
        <f t="shared" ca="1" si="3"/>
        <v>0</v>
      </c>
      <c r="D112">
        <f t="shared" ca="1" si="4"/>
        <v>5047.4672729119557</v>
      </c>
    </row>
    <row r="113" spans="2:4" x14ac:dyDescent="0.25">
      <c r="B113">
        <f t="shared" ca="1" si="5"/>
        <v>49669.006808434737</v>
      </c>
      <c r="C113">
        <f t="shared" ca="1" si="3"/>
        <v>0</v>
      </c>
      <c r="D113">
        <f t="shared" ca="1" si="4"/>
        <v>9669.0068084347367</v>
      </c>
    </row>
    <row r="114" spans="2:4" x14ac:dyDescent="0.25">
      <c r="B114">
        <f t="shared" ca="1" si="5"/>
        <v>43954.100721878887</v>
      </c>
      <c r="C114">
        <f t="shared" ca="1" si="3"/>
        <v>0</v>
      </c>
      <c r="D114">
        <f t="shared" ca="1" si="4"/>
        <v>3954.1007218788873</v>
      </c>
    </row>
    <row r="115" spans="2:4" x14ac:dyDescent="0.25">
      <c r="B115">
        <f t="shared" ca="1" si="5"/>
        <v>39573.150916891995</v>
      </c>
      <c r="C115">
        <f t="shared" ca="1" si="3"/>
        <v>426.84908310800529</v>
      </c>
      <c r="D115">
        <f t="shared" ca="1" si="4"/>
        <v>0</v>
      </c>
    </row>
    <row r="116" spans="2:4" x14ac:dyDescent="0.25">
      <c r="B116">
        <f t="shared" ca="1" si="5"/>
        <v>34759.159133622605</v>
      </c>
      <c r="C116">
        <f t="shared" ca="1" si="3"/>
        <v>5240.8408663773953</v>
      </c>
      <c r="D116">
        <f t="shared" ca="1" si="4"/>
        <v>0</v>
      </c>
    </row>
    <row r="117" spans="2:4" x14ac:dyDescent="0.25">
      <c r="B117">
        <f t="shared" ca="1" si="5"/>
        <v>49091.708168906291</v>
      </c>
      <c r="C117">
        <f t="shared" ca="1" si="3"/>
        <v>0</v>
      </c>
      <c r="D117">
        <f t="shared" ca="1" si="4"/>
        <v>9091.7081689062907</v>
      </c>
    </row>
    <row r="118" spans="2:4" x14ac:dyDescent="0.25">
      <c r="B118">
        <f t="shared" ca="1" si="5"/>
        <v>40520.343415373274</v>
      </c>
      <c r="C118">
        <f t="shared" ca="1" si="3"/>
        <v>0</v>
      </c>
      <c r="D118">
        <f t="shared" ca="1" si="4"/>
        <v>520.34341537327418</v>
      </c>
    </row>
    <row r="119" spans="2:4" x14ac:dyDescent="0.25">
      <c r="B119">
        <f t="shared" ca="1" si="5"/>
        <v>42564.305315927129</v>
      </c>
      <c r="C119">
        <f t="shared" ca="1" si="3"/>
        <v>0</v>
      </c>
      <c r="D119">
        <f t="shared" ca="1" si="4"/>
        <v>2564.3053159271294</v>
      </c>
    </row>
    <row r="120" spans="2:4" x14ac:dyDescent="0.25">
      <c r="B120">
        <f t="shared" ca="1" si="5"/>
        <v>42886.753362572315</v>
      </c>
      <c r="C120">
        <f t="shared" ca="1" si="3"/>
        <v>0</v>
      </c>
      <c r="D120">
        <f t="shared" ca="1" si="4"/>
        <v>2886.7533625723154</v>
      </c>
    </row>
    <row r="121" spans="2:4" x14ac:dyDescent="0.25">
      <c r="B121">
        <f t="shared" ca="1" si="5"/>
        <v>41323.779622610986</v>
      </c>
      <c r="C121">
        <f t="shared" ca="1" si="3"/>
        <v>0</v>
      </c>
      <c r="D121">
        <f t="shared" ca="1" si="4"/>
        <v>1323.7796226109858</v>
      </c>
    </row>
    <row r="122" spans="2:4" x14ac:dyDescent="0.25">
      <c r="B122">
        <f t="shared" ca="1" si="5"/>
        <v>37056.253622349665</v>
      </c>
      <c r="C122">
        <f t="shared" ca="1" si="3"/>
        <v>2943.7463776503355</v>
      </c>
      <c r="D122">
        <f t="shared" ca="1" si="4"/>
        <v>0</v>
      </c>
    </row>
    <row r="123" spans="2:4" x14ac:dyDescent="0.25">
      <c r="B123">
        <f t="shared" ca="1" si="5"/>
        <v>46388.709269577957</v>
      </c>
      <c r="C123">
        <f t="shared" ca="1" si="3"/>
        <v>0</v>
      </c>
      <c r="D123">
        <f t="shared" ca="1" si="4"/>
        <v>6388.7092695779575</v>
      </c>
    </row>
    <row r="124" spans="2:4" x14ac:dyDescent="0.25">
      <c r="B124">
        <f t="shared" ca="1" si="5"/>
        <v>39426.471186116214</v>
      </c>
      <c r="C124">
        <f t="shared" ca="1" si="3"/>
        <v>573.52881388378592</v>
      </c>
      <c r="D124">
        <f t="shared" ca="1" si="4"/>
        <v>0</v>
      </c>
    </row>
    <row r="125" spans="2:4" x14ac:dyDescent="0.25">
      <c r="B125">
        <f t="shared" ca="1" si="5"/>
        <v>49579.209485737178</v>
      </c>
      <c r="C125">
        <f t="shared" ca="1" si="3"/>
        <v>0</v>
      </c>
      <c r="D125">
        <f t="shared" ca="1" si="4"/>
        <v>9579.2094857371776</v>
      </c>
    </row>
    <row r="126" spans="2:4" x14ac:dyDescent="0.25">
      <c r="B126">
        <f t="shared" ca="1" si="5"/>
        <v>40539.055780448485</v>
      </c>
      <c r="C126">
        <f t="shared" ca="1" si="3"/>
        <v>0</v>
      </c>
      <c r="D126">
        <f t="shared" ca="1" si="4"/>
        <v>539.05578044848517</v>
      </c>
    </row>
    <row r="127" spans="2:4" x14ac:dyDescent="0.25">
      <c r="B127">
        <f t="shared" ca="1" si="5"/>
        <v>44324.683965383891</v>
      </c>
      <c r="C127">
        <f t="shared" ca="1" si="3"/>
        <v>0</v>
      </c>
      <c r="D127">
        <f t="shared" ca="1" si="4"/>
        <v>4324.6839653838906</v>
      </c>
    </row>
    <row r="128" spans="2:4" x14ac:dyDescent="0.25">
      <c r="B128">
        <f t="shared" ca="1" si="5"/>
        <v>41087.592418176966</v>
      </c>
      <c r="C128">
        <f t="shared" ca="1" si="3"/>
        <v>0</v>
      </c>
      <c r="D128">
        <f t="shared" ca="1" si="4"/>
        <v>1087.592418176966</v>
      </c>
    </row>
    <row r="129" spans="2:4" x14ac:dyDescent="0.25">
      <c r="B129">
        <f t="shared" ca="1" si="5"/>
        <v>41706.031541484277</v>
      </c>
      <c r="C129">
        <f t="shared" ca="1" si="3"/>
        <v>0</v>
      </c>
      <c r="D129">
        <f t="shared" ca="1" si="4"/>
        <v>1706.0315414842771</v>
      </c>
    </row>
    <row r="130" spans="2:4" x14ac:dyDescent="0.25">
      <c r="B130">
        <f t="shared" ca="1" si="5"/>
        <v>47472.567225508486</v>
      </c>
      <c r="C130">
        <f t="shared" ca="1" si="3"/>
        <v>0</v>
      </c>
      <c r="D130">
        <f t="shared" ca="1" si="4"/>
        <v>7472.5672255084864</v>
      </c>
    </row>
    <row r="131" spans="2:4" x14ac:dyDescent="0.25">
      <c r="B131">
        <f t="shared" ca="1" si="5"/>
        <v>43717.599611680438</v>
      </c>
      <c r="C131">
        <f t="shared" ca="1" si="3"/>
        <v>0</v>
      </c>
      <c r="D131">
        <f t="shared" ca="1" si="4"/>
        <v>3717.5996116804381</v>
      </c>
    </row>
    <row r="132" spans="2:4" x14ac:dyDescent="0.25">
      <c r="B132">
        <f t="shared" ca="1" si="5"/>
        <v>43743.882245374392</v>
      </c>
      <c r="C132">
        <f t="shared" ca="1" si="3"/>
        <v>0</v>
      </c>
      <c r="D132">
        <f t="shared" ca="1" si="4"/>
        <v>3743.8822453743924</v>
      </c>
    </row>
    <row r="133" spans="2:4" x14ac:dyDescent="0.25">
      <c r="B133">
        <f t="shared" ca="1" si="5"/>
        <v>41328.998119764474</v>
      </c>
      <c r="C133">
        <f t="shared" ca="1" si="3"/>
        <v>0</v>
      </c>
      <c r="D133">
        <f t="shared" ca="1" si="4"/>
        <v>1328.9981197644738</v>
      </c>
    </row>
    <row r="134" spans="2:4" x14ac:dyDescent="0.25">
      <c r="B134">
        <f t="shared" ca="1" si="5"/>
        <v>44710.313687489164</v>
      </c>
      <c r="C134">
        <f t="shared" ca="1" si="3"/>
        <v>0</v>
      </c>
      <c r="D134">
        <f t="shared" ca="1" si="4"/>
        <v>4710.3136874891643</v>
      </c>
    </row>
    <row r="135" spans="2:4" x14ac:dyDescent="0.25">
      <c r="B135">
        <f t="shared" ca="1" si="5"/>
        <v>46508.806365706369</v>
      </c>
      <c r="C135">
        <f t="shared" ca="1" si="3"/>
        <v>0</v>
      </c>
      <c r="D135">
        <f t="shared" ca="1" si="4"/>
        <v>6508.8063657063685</v>
      </c>
    </row>
    <row r="136" spans="2:4" x14ac:dyDescent="0.25">
      <c r="B136">
        <f t="shared" ca="1" si="5"/>
        <v>45593.307852710604</v>
      </c>
      <c r="C136">
        <f t="shared" ca="1" si="3"/>
        <v>0</v>
      </c>
      <c r="D136">
        <f t="shared" ca="1" si="4"/>
        <v>5593.3078527106045</v>
      </c>
    </row>
    <row r="137" spans="2:4" x14ac:dyDescent="0.25">
      <c r="B137">
        <f t="shared" ca="1" si="5"/>
        <v>41865.255180326727</v>
      </c>
      <c r="C137">
        <f t="shared" ca="1" si="3"/>
        <v>0</v>
      </c>
      <c r="D137">
        <f t="shared" ca="1" si="4"/>
        <v>1865.255180326727</v>
      </c>
    </row>
    <row r="138" spans="2:4" x14ac:dyDescent="0.25">
      <c r="B138">
        <f t="shared" ca="1" si="5"/>
        <v>45361.895141654328</v>
      </c>
      <c r="C138">
        <f t="shared" ca="1" si="3"/>
        <v>0</v>
      </c>
      <c r="D138">
        <f t="shared" ca="1" si="4"/>
        <v>5361.8951416543277</v>
      </c>
    </row>
    <row r="139" spans="2:4" x14ac:dyDescent="0.25">
      <c r="B139">
        <f t="shared" ca="1" si="5"/>
        <v>50610.954894976836</v>
      </c>
      <c r="C139">
        <f t="shared" ca="1" si="3"/>
        <v>0</v>
      </c>
      <c r="D139">
        <f t="shared" ca="1" si="4"/>
        <v>10610.954894976836</v>
      </c>
    </row>
    <row r="140" spans="2:4" x14ac:dyDescent="0.25">
      <c r="B140">
        <f t="shared" ca="1" si="5"/>
        <v>40302.008675431833</v>
      </c>
      <c r="C140">
        <f t="shared" ref="C140:C203" ca="1" si="6">IF(MAX($B$2-B140)&lt;0,0,$B$2-B140)</f>
        <v>0</v>
      </c>
      <c r="D140">
        <f t="shared" ref="D140:D203" ca="1" si="7">IF(MAX(B140-$B$2)&lt;0,0,B140-$B$2)</f>
        <v>302.00867543183267</v>
      </c>
    </row>
    <row r="141" spans="2:4" x14ac:dyDescent="0.25">
      <c r="B141">
        <f t="shared" ref="B141:B204" ca="1" si="8">$B$1*EXP((($B$4-($B$3^2)/2)*$B$5+$B$3*SQRT($B$5)*NORMSINV(RAND())))</f>
        <v>40825.666549413778</v>
      </c>
      <c r="C141">
        <f t="shared" ca="1" si="6"/>
        <v>0</v>
      </c>
      <c r="D141">
        <f t="shared" ca="1" si="7"/>
        <v>825.66654941377783</v>
      </c>
    </row>
    <row r="142" spans="2:4" x14ac:dyDescent="0.25">
      <c r="B142">
        <f t="shared" ca="1" si="8"/>
        <v>40586.938442270846</v>
      </c>
      <c r="C142">
        <f t="shared" ca="1" si="6"/>
        <v>0</v>
      </c>
      <c r="D142">
        <f t="shared" ca="1" si="7"/>
        <v>586.93844227084628</v>
      </c>
    </row>
    <row r="143" spans="2:4" x14ac:dyDescent="0.25">
      <c r="B143">
        <f t="shared" ca="1" si="8"/>
        <v>40107.366778907257</v>
      </c>
      <c r="C143">
        <f t="shared" ca="1" si="6"/>
        <v>0</v>
      </c>
      <c r="D143">
        <f t="shared" ca="1" si="7"/>
        <v>107.36677890725696</v>
      </c>
    </row>
    <row r="144" spans="2:4" x14ac:dyDescent="0.25">
      <c r="B144">
        <f t="shared" ca="1" si="8"/>
        <v>46287.651641654324</v>
      </c>
      <c r="C144">
        <f t="shared" ca="1" si="6"/>
        <v>0</v>
      </c>
      <c r="D144">
        <f t="shared" ca="1" si="7"/>
        <v>6287.6516416543236</v>
      </c>
    </row>
    <row r="145" spans="2:4" x14ac:dyDescent="0.25">
      <c r="B145">
        <f t="shared" ca="1" si="8"/>
        <v>44131.687292484028</v>
      </c>
      <c r="C145">
        <f t="shared" ca="1" si="6"/>
        <v>0</v>
      </c>
      <c r="D145">
        <f t="shared" ca="1" si="7"/>
        <v>4131.6872924840281</v>
      </c>
    </row>
    <row r="146" spans="2:4" x14ac:dyDescent="0.25">
      <c r="B146">
        <f t="shared" ca="1" si="8"/>
        <v>46375.278031706184</v>
      </c>
      <c r="C146">
        <f t="shared" ca="1" si="6"/>
        <v>0</v>
      </c>
      <c r="D146">
        <f t="shared" ca="1" si="7"/>
        <v>6375.2780317061843</v>
      </c>
    </row>
    <row r="147" spans="2:4" x14ac:dyDescent="0.25">
      <c r="B147">
        <f t="shared" ca="1" si="8"/>
        <v>50388.053879805579</v>
      </c>
      <c r="C147">
        <f t="shared" ca="1" si="6"/>
        <v>0</v>
      </c>
      <c r="D147">
        <f t="shared" ca="1" si="7"/>
        <v>10388.053879805579</v>
      </c>
    </row>
    <row r="148" spans="2:4" x14ac:dyDescent="0.25">
      <c r="B148">
        <f t="shared" ca="1" si="8"/>
        <v>35954.419916683793</v>
      </c>
      <c r="C148">
        <f t="shared" ca="1" si="6"/>
        <v>4045.5800833162066</v>
      </c>
      <c r="D148">
        <f t="shared" ca="1" si="7"/>
        <v>0</v>
      </c>
    </row>
    <row r="149" spans="2:4" x14ac:dyDescent="0.25">
      <c r="B149">
        <f t="shared" ca="1" si="8"/>
        <v>46626.953084543937</v>
      </c>
      <c r="C149">
        <f t="shared" ca="1" si="6"/>
        <v>0</v>
      </c>
      <c r="D149">
        <f t="shared" ca="1" si="7"/>
        <v>6626.9530845439367</v>
      </c>
    </row>
    <row r="150" spans="2:4" x14ac:dyDescent="0.25">
      <c r="B150">
        <f t="shared" ca="1" si="8"/>
        <v>41521.413510100596</v>
      </c>
      <c r="C150">
        <f t="shared" ca="1" si="6"/>
        <v>0</v>
      </c>
      <c r="D150">
        <f t="shared" ca="1" si="7"/>
        <v>1521.4135101005959</v>
      </c>
    </row>
    <row r="151" spans="2:4" x14ac:dyDescent="0.25">
      <c r="B151">
        <f t="shared" ca="1" si="8"/>
        <v>38846.445546409348</v>
      </c>
      <c r="C151">
        <f t="shared" ca="1" si="6"/>
        <v>1153.554453590652</v>
      </c>
      <c r="D151">
        <f t="shared" ca="1" si="7"/>
        <v>0</v>
      </c>
    </row>
    <row r="152" spans="2:4" x14ac:dyDescent="0.25">
      <c r="B152">
        <f t="shared" ca="1" si="8"/>
        <v>42860.248937926313</v>
      </c>
      <c r="C152">
        <f t="shared" ca="1" si="6"/>
        <v>0</v>
      </c>
      <c r="D152">
        <f t="shared" ca="1" si="7"/>
        <v>2860.2489379263134</v>
      </c>
    </row>
    <row r="153" spans="2:4" x14ac:dyDescent="0.25">
      <c r="B153">
        <f t="shared" ca="1" si="8"/>
        <v>44430.70385859102</v>
      </c>
      <c r="C153">
        <f t="shared" ca="1" si="6"/>
        <v>0</v>
      </c>
      <c r="D153">
        <f t="shared" ca="1" si="7"/>
        <v>4430.7038585910195</v>
      </c>
    </row>
    <row r="154" spans="2:4" x14ac:dyDescent="0.25">
      <c r="B154">
        <f t="shared" ca="1" si="8"/>
        <v>48197.504072483076</v>
      </c>
      <c r="C154">
        <f t="shared" ca="1" si="6"/>
        <v>0</v>
      </c>
      <c r="D154">
        <f t="shared" ca="1" si="7"/>
        <v>8197.504072483076</v>
      </c>
    </row>
    <row r="155" spans="2:4" x14ac:dyDescent="0.25">
      <c r="B155">
        <f t="shared" ca="1" si="8"/>
        <v>45986.738855431016</v>
      </c>
      <c r="C155">
        <f t="shared" ca="1" si="6"/>
        <v>0</v>
      </c>
      <c r="D155">
        <f t="shared" ca="1" si="7"/>
        <v>5986.7388554310164</v>
      </c>
    </row>
    <row r="156" spans="2:4" x14ac:dyDescent="0.25">
      <c r="B156">
        <f t="shared" ca="1" si="8"/>
        <v>47779.410117517597</v>
      </c>
      <c r="C156">
        <f t="shared" ca="1" si="6"/>
        <v>0</v>
      </c>
      <c r="D156">
        <f t="shared" ca="1" si="7"/>
        <v>7779.4101175175965</v>
      </c>
    </row>
    <row r="157" spans="2:4" x14ac:dyDescent="0.25">
      <c r="B157">
        <f t="shared" ca="1" si="8"/>
        <v>48881.548180452897</v>
      </c>
      <c r="C157">
        <f t="shared" ca="1" si="6"/>
        <v>0</v>
      </c>
      <c r="D157">
        <f t="shared" ca="1" si="7"/>
        <v>8881.5481804528972</v>
      </c>
    </row>
    <row r="158" spans="2:4" x14ac:dyDescent="0.25">
      <c r="B158">
        <f t="shared" ca="1" si="8"/>
        <v>39953.323608245119</v>
      </c>
      <c r="C158">
        <f t="shared" ca="1" si="6"/>
        <v>46.676391754881479</v>
      </c>
      <c r="D158">
        <f t="shared" ca="1" si="7"/>
        <v>0</v>
      </c>
    </row>
    <row r="159" spans="2:4" x14ac:dyDescent="0.25">
      <c r="B159">
        <f t="shared" ca="1" si="8"/>
        <v>45297.854292423974</v>
      </c>
      <c r="C159">
        <f t="shared" ca="1" si="6"/>
        <v>0</v>
      </c>
      <c r="D159">
        <f t="shared" ca="1" si="7"/>
        <v>5297.8542924239737</v>
      </c>
    </row>
    <row r="160" spans="2:4" x14ac:dyDescent="0.25">
      <c r="B160">
        <f t="shared" ca="1" si="8"/>
        <v>41209.403230656528</v>
      </c>
      <c r="C160">
        <f t="shared" ca="1" si="6"/>
        <v>0</v>
      </c>
      <c r="D160">
        <f t="shared" ca="1" si="7"/>
        <v>1209.4032306565277</v>
      </c>
    </row>
    <row r="161" spans="2:4" x14ac:dyDescent="0.25">
      <c r="B161">
        <f t="shared" ca="1" si="8"/>
        <v>45380.115904142614</v>
      </c>
      <c r="C161">
        <f t="shared" ca="1" si="6"/>
        <v>0</v>
      </c>
      <c r="D161">
        <f t="shared" ca="1" si="7"/>
        <v>5380.1159041426145</v>
      </c>
    </row>
    <row r="162" spans="2:4" x14ac:dyDescent="0.25">
      <c r="B162">
        <f t="shared" ca="1" si="8"/>
        <v>49343.686634352132</v>
      </c>
      <c r="C162">
        <f t="shared" ca="1" si="6"/>
        <v>0</v>
      </c>
      <c r="D162">
        <f t="shared" ca="1" si="7"/>
        <v>9343.6866343521324</v>
      </c>
    </row>
    <row r="163" spans="2:4" x14ac:dyDescent="0.25">
      <c r="B163">
        <f t="shared" ca="1" si="8"/>
        <v>51433.459675996564</v>
      </c>
      <c r="C163">
        <f t="shared" ca="1" si="6"/>
        <v>0</v>
      </c>
      <c r="D163">
        <f t="shared" ca="1" si="7"/>
        <v>11433.459675996564</v>
      </c>
    </row>
    <row r="164" spans="2:4" x14ac:dyDescent="0.25">
      <c r="B164">
        <f t="shared" ca="1" si="8"/>
        <v>41633.481007396484</v>
      </c>
      <c r="C164">
        <f t="shared" ca="1" si="6"/>
        <v>0</v>
      </c>
      <c r="D164">
        <f t="shared" ca="1" si="7"/>
        <v>1633.4810073964836</v>
      </c>
    </row>
    <row r="165" spans="2:4" x14ac:dyDescent="0.25">
      <c r="B165">
        <f t="shared" ca="1" si="8"/>
        <v>38586.546123403597</v>
      </c>
      <c r="C165">
        <f t="shared" ca="1" si="6"/>
        <v>1413.4538765964026</v>
      </c>
      <c r="D165">
        <f t="shared" ca="1" si="7"/>
        <v>0</v>
      </c>
    </row>
    <row r="166" spans="2:4" x14ac:dyDescent="0.25">
      <c r="B166">
        <f t="shared" ca="1" si="8"/>
        <v>45875.461824790931</v>
      </c>
      <c r="C166">
        <f t="shared" ca="1" si="6"/>
        <v>0</v>
      </c>
      <c r="D166">
        <f t="shared" ca="1" si="7"/>
        <v>5875.4618247909311</v>
      </c>
    </row>
    <row r="167" spans="2:4" x14ac:dyDescent="0.25">
      <c r="B167">
        <f t="shared" ca="1" si="8"/>
        <v>40239.564399740637</v>
      </c>
      <c r="C167">
        <f t="shared" ca="1" si="6"/>
        <v>0</v>
      </c>
      <c r="D167">
        <f t="shared" ca="1" si="7"/>
        <v>239.56439974063687</v>
      </c>
    </row>
    <row r="168" spans="2:4" x14ac:dyDescent="0.25">
      <c r="B168">
        <f t="shared" ca="1" si="8"/>
        <v>48705.993023069379</v>
      </c>
      <c r="C168">
        <f t="shared" ca="1" si="6"/>
        <v>0</v>
      </c>
      <c r="D168">
        <f t="shared" ca="1" si="7"/>
        <v>8705.993023069379</v>
      </c>
    </row>
    <row r="169" spans="2:4" x14ac:dyDescent="0.25">
      <c r="B169">
        <f t="shared" ca="1" si="8"/>
        <v>41697.066472692073</v>
      </c>
      <c r="C169">
        <f t="shared" ca="1" si="6"/>
        <v>0</v>
      </c>
      <c r="D169">
        <f t="shared" ca="1" si="7"/>
        <v>1697.0664726920731</v>
      </c>
    </row>
    <row r="170" spans="2:4" x14ac:dyDescent="0.25">
      <c r="B170">
        <f t="shared" ca="1" si="8"/>
        <v>47143.831329819179</v>
      </c>
      <c r="C170">
        <f t="shared" ca="1" si="6"/>
        <v>0</v>
      </c>
      <c r="D170">
        <f t="shared" ca="1" si="7"/>
        <v>7143.8313298191788</v>
      </c>
    </row>
    <row r="171" spans="2:4" x14ac:dyDescent="0.25">
      <c r="B171">
        <f t="shared" ca="1" si="8"/>
        <v>41935.680177549126</v>
      </c>
      <c r="C171">
        <f t="shared" ca="1" si="6"/>
        <v>0</v>
      </c>
      <c r="D171">
        <f t="shared" ca="1" si="7"/>
        <v>1935.6801775491258</v>
      </c>
    </row>
    <row r="172" spans="2:4" x14ac:dyDescent="0.25">
      <c r="B172">
        <f t="shared" ca="1" si="8"/>
        <v>42429.423869007034</v>
      </c>
      <c r="C172">
        <f t="shared" ca="1" si="6"/>
        <v>0</v>
      </c>
      <c r="D172">
        <f t="shared" ca="1" si="7"/>
        <v>2429.4238690070342</v>
      </c>
    </row>
    <row r="173" spans="2:4" x14ac:dyDescent="0.25">
      <c r="B173">
        <f t="shared" ca="1" si="8"/>
        <v>40333.156141838503</v>
      </c>
      <c r="C173">
        <f t="shared" ca="1" si="6"/>
        <v>0</v>
      </c>
      <c r="D173">
        <f t="shared" ca="1" si="7"/>
        <v>333.15614183850266</v>
      </c>
    </row>
    <row r="174" spans="2:4" x14ac:dyDescent="0.25">
      <c r="B174">
        <f t="shared" ca="1" si="8"/>
        <v>49926.3580278839</v>
      </c>
      <c r="C174">
        <f t="shared" ca="1" si="6"/>
        <v>0</v>
      </c>
      <c r="D174">
        <f t="shared" ca="1" si="7"/>
        <v>9926.3580278838999</v>
      </c>
    </row>
    <row r="175" spans="2:4" x14ac:dyDescent="0.25">
      <c r="B175">
        <f t="shared" ca="1" si="8"/>
        <v>46949.354842834589</v>
      </c>
      <c r="C175">
        <f t="shared" ca="1" si="6"/>
        <v>0</v>
      </c>
      <c r="D175">
        <f t="shared" ca="1" si="7"/>
        <v>6949.3548428345894</v>
      </c>
    </row>
    <row r="176" spans="2:4" x14ac:dyDescent="0.25">
      <c r="B176">
        <f t="shared" ca="1" si="8"/>
        <v>43791.402980246108</v>
      </c>
      <c r="C176">
        <f t="shared" ca="1" si="6"/>
        <v>0</v>
      </c>
      <c r="D176">
        <f t="shared" ca="1" si="7"/>
        <v>3791.4029802461082</v>
      </c>
    </row>
    <row r="177" spans="2:4" x14ac:dyDescent="0.25">
      <c r="B177">
        <f t="shared" ca="1" si="8"/>
        <v>46933.910095803316</v>
      </c>
      <c r="C177">
        <f t="shared" ca="1" si="6"/>
        <v>0</v>
      </c>
      <c r="D177">
        <f t="shared" ca="1" si="7"/>
        <v>6933.9100958033159</v>
      </c>
    </row>
    <row r="178" spans="2:4" x14ac:dyDescent="0.25">
      <c r="B178">
        <f t="shared" ca="1" si="8"/>
        <v>45116.297167500743</v>
      </c>
      <c r="C178">
        <f t="shared" ca="1" si="6"/>
        <v>0</v>
      </c>
      <c r="D178">
        <f t="shared" ca="1" si="7"/>
        <v>5116.2971675007429</v>
      </c>
    </row>
    <row r="179" spans="2:4" x14ac:dyDescent="0.25">
      <c r="B179">
        <f t="shared" ca="1" si="8"/>
        <v>41013.779252512468</v>
      </c>
      <c r="C179">
        <f t="shared" ca="1" si="6"/>
        <v>0</v>
      </c>
      <c r="D179">
        <f t="shared" ca="1" si="7"/>
        <v>1013.7792525124678</v>
      </c>
    </row>
    <row r="180" spans="2:4" x14ac:dyDescent="0.25">
      <c r="B180">
        <f t="shared" ca="1" si="8"/>
        <v>44943.191518352302</v>
      </c>
      <c r="C180">
        <f t="shared" ca="1" si="6"/>
        <v>0</v>
      </c>
      <c r="D180">
        <f t="shared" ca="1" si="7"/>
        <v>4943.1915183523015</v>
      </c>
    </row>
    <row r="181" spans="2:4" x14ac:dyDescent="0.25">
      <c r="B181">
        <f t="shared" ca="1" si="8"/>
        <v>51356.054325739249</v>
      </c>
      <c r="C181">
        <f t="shared" ca="1" si="6"/>
        <v>0</v>
      </c>
      <c r="D181">
        <f t="shared" ca="1" si="7"/>
        <v>11356.054325739249</v>
      </c>
    </row>
    <row r="182" spans="2:4" x14ac:dyDescent="0.25">
      <c r="B182">
        <f t="shared" ca="1" si="8"/>
        <v>47766.637798332522</v>
      </c>
      <c r="C182">
        <f t="shared" ca="1" si="6"/>
        <v>0</v>
      </c>
      <c r="D182">
        <f t="shared" ca="1" si="7"/>
        <v>7766.6377983325219</v>
      </c>
    </row>
    <row r="183" spans="2:4" x14ac:dyDescent="0.25">
      <c r="B183">
        <f t="shared" ca="1" si="8"/>
        <v>46666.177452769713</v>
      </c>
      <c r="C183">
        <f t="shared" ca="1" si="6"/>
        <v>0</v>
      </c>
      <c r="D183">
        <f t="shared" ca="1" si="7"/>
        <v>6666.1774527697125</v>
      </c>
    </row>
    <row r="184" spans="2:4" x14ac:dyDescent="0.25">
      <c r="B184">
        <f t="shared" ca="1" si="8"/>
        <v>38960.348467471384</v>
      </c>
      <c r="C184">
        <f t="shared" ca="1" si="6"/>
        <v>1039.6515325286164</v>
      </c>
      <c r="D184">
        <f t="shared" ca="1" si="7"/>
        <v>0</v>
      </c>
    </row>
    <row r="185" spans="2:4" x14ac:dyDescent="0.25">
      <c r="B185">
        <f t="shared" ca="1" si="8"/>
        <v>39976.276885149782</v>
      </c>
      <c r="C185">
        <f t="shared" ca="1" si="6"/>
        <v>23.723114850217826</v>
      </c>
      <c r="D185">
        <f t="shared" ca="1" si="7"/>
        <v>0</v>
      </c>
    </row>
    <row r="186" spans="2:4" x14ac:dyDescent="0.25">
      <c r="B186">
        <f t="shared" ca="1" si="8"/>
        <v>43485.391451433075</v>
      </c>
      <c r="C186">
        <f t="shared" ca="1" si="6"/>
        <v>0</v>
      </c>
      <c r="D186">
        <f t="shared" ca="1" si="7"/>
        <v>3485.3914514330754</v>
      </c>
    </row>
    <row r="187" spans="2:4" x14ac:dyDescent="0.25">
      <c r="B187">
        <f t="shared" ca="1" si="8"/>
        <v>49735.493441029386</v>
      </c>
      <c r="C187">
        <f t="shared" ca="1" si="6"/>
        <v>0</v>
      </c>
      <c r="D187">
        <f t="shared" ca="1" si="7"/>
        <v>9735.4934410293863</v>
      </c>
    </row>
    <row r="188" spans="2:4" x14ac:dyDescent="0.25">
      <c r="B188">
        <f t="shared" ca="1" si="8"/>
        <v>53783.232503787927</v>
      </c>
      <c r="C188">
        <f t="shared" ca="1" si="6"/>
        <v>0</v>
      </c>
      <c r="D188">
        <f t="shared" ca="1" si="7"/>
        <v>13783.232503787927</v>
      </c>
    </row>
    <row r="189" spans="2:4" x14ac:dyDescent="0.25">
      <c r="B189">
        <f t="shared" ca="1" si="8"/>
        <v>47445.785685548282</v>
      </c>
      <c r="C189">
        <f t="shared" ca="1" si="6"/>
        <v>0</v>
      </c>
      <c r="D189">
        <f t="shared" ca="1" si="7"/>
        <v>7445.7856855482823</v>
      </c>
    </row>
    <row r="190" spans="2:4" x14ac:dyDescent="0.25">
      <c r="B190">
        <f t="shared" ca="1" si="8"/>
        <v>48992.961129958152</v>
      </c>
      <c r="C190">
        <f t="shared" ca="1" si="6"/>
        <v>0</v>
      </c>
      <c r="D190">
        <f t="shared" ca="1" si="7"/>
        <v>8992.961129958152</v>
      </c>
    </row>
    <row r="191" spans="2:4" x14ac:dyDescent="0.25">
      <c r="B191">
        <f t="shared" ca="1" si="8"/>
        <v>44126.59627530296</v>
      </c>
      <c r="C191">
        <f t="shared" ca="1" si="6"/>
        <v>0</v>
      </c>
      <c r="D191">
        <f t="shared" ca="1" si="7"/>
        <v>4126.5962753029598</v>
      </c>
    </row>
    <row r="192" spans="2:4" x14ac:dyDescent="0.25">
      <c r="B192">
        <f t="shared" ca="1" si="8"/>
        <v>40853.457982018277</v>
      </c>
      <c r="C192">
        <f t="shared" ca="1" si="6"/>
        <v>0</v>
      </c>
      <c r="D192">
        <f t="shared" ca="1" si="7"/>
        <v>853.45798201827711</v>
      </c>
    </row>
    <row r="193" spans="2:4" x14ac:dyDescent="0.25">
      <c r="B193">
        <f t="shared" ca="1" si="8"/>
        <v>41708.30554281731</v>
      </c>
      <c r="C193">
        <f t="shared" ca="1" si="6"/>
        <v>0</v>
      </c>
      <c r="D193">
        <f t="shared" ca="1" si="7"/>
        <v>1708.3055428173102</v>
      </c>
    </row>
    <row r="194" spans="2:4" x14ac:dyDescent="0.25">
      <c r="B194">
        <f t="shared" ca="1" si="8"/>
        <v>42664.897809441049</v>
      </c>
      <c r="C194">
        <f t="shared" ca="1" si="6"/>
        <v>0</v>
      </c>
      <c r="D194">
        <f t="shared" ca="1" si="7"/>
        <v>2664.8978094410486</v>
      </c>
    </row>
    <row r="195" spans="2:4" x14ac:dyDescent="0.25">
      <c r="B195">
        <f t="shared" ca="1" si="8"/>
        <v>51689.075817588891</v>
      </c>
      <c r="C195">
        <f t="shared" ca="1" si="6"/>
        <v>0</v>
      </c>
      <c r="D195">
        <f t="shared" ca="1" si="7"/>
        <v>11689.075817588891</v>
      </c>
    </row>
    <row r="196" spans="2:4" x14ac:dyDescent="0.25">
      <c r="B196">
        <f t="shared" ca="1" si="8"/>
        <v>53199.954250250703</v>
      </c>
      <c r="C196">
        <f t="shared" ca="1" si="6"/>
        <v>0</v>
      </c>
      <c r="D196">
        <f t="shared" ca="1" si="7"/>
        <v>13199.954250250703</v>
      </c>
    </row>
    <row r="197" spans="2:4" x14ac:dyDescent="0.25">
      <c r="B197">
        <f t="shared" ca="1" si="8"/>
        <v>45758.941182566537</v>
      </c>
      <c r="C197">
        <f t="shared" ca="1" si="6"/>
        <v>0</v>
      </c>
      <c r="D197">
        <f t="shared" ca="1" si="7"/>
        <v>5758.9411825665375</v>
      </c>
    </row>
    <row r="198" spans="2:4" x14ac:dyDescent="0.25">
      <c r="B198">
        <f t="shared" ca="1" si="8"/>
        <v>36141.76459054213</v>
      </c>
      <c r="C198">
        <f t="shared" ca="1" si="6"/>
        <v>3858.2354094578695</v>
      </c>
      <c r="D198">
        <f t="shared" ca="1" si="7"/>
        <v>0</v>
      </c>
    </row>
    <row r="199" spans="2:4" x14ac:dyDescent="0.25">
      <c r="B199">
        <f t="shared" ca="1" si="8"/>
        <v>47672.851829541854</v>
      </c>
      <c r="C199">
        <f t="shared" ca="1" si="6"/>
        <v>0</v>
      </c>
      <c r="D199">
        <f t="shared" ca="1" si="7"/>
        <v>7672.8518295418544</v>
      </c>
    </row>
    <row r="200" spans="2:4" x14ac:dyDescent="0.25">
      <c r="B200">
        <f t="shared" ca="1" si="8"/>
        <v>39454.109208040252</v>
      </c>
      <c r="C200">
        <f t="shared" ca="1" si="6"/>
        <v>545.89079195974773</v>
      </c>
      <c r="D200">
        <f t="shared" ca="1" si="7"/>
        <v>0</v>
      </c>
    </row>
    <row r="201" spans="2:4" x14ac:dyDescent="0.25">
      <c r="B201">
        <f t="shared" ca="1" si="8"/>
        <v>42207.0727998004</v>
      </c>
      <c r="C201">
        <f t="shared" ca="1" si="6"/>
        <v>0</v>
      </c>
      <c r="D201">
        <f t="shared" ca="1" si="7"/>
        <v>2207.0727998004004</v>
      </c>
    </row>
    <row r="202" spans="2:4" x14ac:dyDescent="0.25">
      <c r="B202">
        <f t="shared" ca="1" si="8"/>
        <v>43210.813296197484</v>
      </c>
      <c r="C202">
        <f t="shared" ca="1" si="6"/>
        <v>0</v>
      </c>
      <c r="D202">
        <f t="shared" ca="1" si="7"/>
        <v>3210.8132961974843</v>
      </c>
    </row>
    <row r="203" spans="2:4" x14ac:dyDescent="0.25">
      <c r="B203">
        <f t="shared" ca="1" si="8"/>
        <v>46929.444333599546</v>
      </c>
      <c r="C203">
        <f t="shared" ca="1" si="6"/>
        <v>0</v>
      </c>
      <c r="D203">
        <f t="shared" ca="1" si="7"/>
        <v>6929.4443335995456</v>
      </c>
    </row>
    <row r="204" spans="2:4" x14ac:dyDescent="0.25">
      <c r="B204">
        <f t="shared" ca="1" si="8"/>
        <v>37615.620491384921</v>
      </c>
      <c r="C204">
        <f t="shared" ref="C204:C267" ca="1" si="9">IF(MAX($B$2-B204)&lt;0,0,$B$2-B204)</f>
        <v>2384.3795086150785</v>
      </c>
      <c r="D204">
        <f t="shared" ref="D204:D267" ca="1" si="10">IF(MAX(B204-$B$2)&lt;0,0,B204-$B$2)</f>
        <v>0</v>
      </c>
    </row>
    <row r="205" spans="2:4" x14ac:dyDescent="0.25">
      <c r="B205">
        <f t="shared" ref="B205:B268" ca="1" si="11">$B$1*EXP((($B$4-($B$3^2)/2)*$B$5+$B$3*SQRT($B$5)*NORMSINV(RAND())))</f>
        <v>39897.288004286216</v>
      </c>
      <c r="C205">
        <f t="shared" ca="1" si="9"/>
        <v>102.71199571378384</v>
      </c>
      <c r="D205">
        <f t="shared" ca="1" si="10"/>
        <v>0</v>
      </c>
    </row>
    <row r="206" spans="2:4" x14ac:dyDescent="0.25">
      <c r="B206">
        <f t="shared" ca="1" si="11"/>
        <v>47074.03351453066</v>
      </c>
      <c r="C206">
        <f t="shared" ca="1" si="9"/>
        <v>0</v>
      </c>
      <c r="D206">
        <f t="shared" ca="1" si="10"/>
        <v>7074.0335145306599</v>
      </c>
    </row>
    <row r="207" spans="2:4" x14ac:dyDescent="0.25">
      <c r="B207">
        <f t="shared" ca="1" si="11"/>
        <v>48002.198291135319</v>
      </c>
      <c r="C207">
        <f t="shared" ca="1" si="9"/>
        <v>0</v>
      </c>
      <c r="D207">
        <f t="shared" ca="1" si="10"/>
        <v>8002.1982911353189</v>
      </c>
    </row>
    <row r="208" spans="2:4" x14ac:dyDescent="0.25">
      <c r="B208">
        <f t="shared" ca="1" si="11"/>
        <v>38682.990822085696</v>
      </c>
      <c r="C208">
        <f t="shared" ca="1" si="9"/>
        <v>1317.009177914304</v>
      </c>
      <c r="D208">
        <f t="shared" ca="1" si="10"/>
        <v>0</v>
      </c>
    </row>
    <row r="209" spans="2:4" x14ac:dyDescent="0.25">
      <c r="B209">
        <f t="shared" ca="1" si="11"/>
        <v>45362.628784468405</v>
      </c>
      <c r="C209">
        <f t="shared" ca="1" si="9"/>
        <v>0</v>
      </c>
      <c r="D209">
        <f t="shared" ca="1" si="10"/>
        <v>5362.6287844684048</v>
      </c>
    </row>
    <row r="210" spans="2:4" x14ac:dyDescent="0.25">
      <c r="B210">
        <f t="shared" ca="1" si="11"/>
        <v>45088.416271845272</v>
      </c>
      <c r="C210">
        <f t="shared" ca="1" si="9"/>
        <v>0</v>
      </c>
      <c r="D210">
        <f t="shared" ca="1" si="10"/>
        <v>5088.4162718452717</v>
      </c>
    </row>
    <row r="211" spans="2:4" x14ac:dyDescent="0.25">
      <c r="B211">
        <f t="shared" ca="1" si="11"/>
        <v>45560.042602378693</v>
      </c>
      <c r="C211">
        <f t="shared" ca="1" si="9"/>
        <v>0</v>
      </c>
      <c r="D211">
        <f t="shared" ca="1" si="10"/>
        <v>5560.0426023786931</v>
      </c>
    </row>
    <row r="212" spans="2:4" x14ac:dyDescent="0.25">
      <c r="B212">
        <f t="shared" ca="1" si="11"/>
        <v>46292.452998358334</v>
      </c>
      <c r="C212">
        <f t="shared" ca="1" si="9"/>
        <v>0</v>
      </c>
      <c r="D212">
        <f t="shared" ca="1" si="10"/>
        <v>6292.4529983583343</v>
      </c>
    </row>
    <row r="213" spans="2:4" x14ac:dyDescent="0.25">
      <c r="B213">
        <f t="shared" ca="1" si="11"/>
        <v>47365.092042446602</v>
      </c>
      <c r="C213">
        <f t="shared" ca="1" si="9"/>
        <v>0</v>
      </c>
      <c r="D213">
        <f t="shared" ca="1" si="10"/>
        <v>7365.0920424466021</v>
      </c>
    </row>
    <row r="214" spans="2:4" x14ac:dyDescent="0.25">
      <c r="B214">
        <f t="shared" ca="1" si="11"/>
        <v>42636.558496915903</v>
      </c>
      <c r="C214">
        <f t="shared" ca="1" si="9"/>
        <v>0</v>
      </c>
      <c r="D214">
        <f t="shared" ca="1" si="10"/>
        <v>2636.5584969159027</v>
      </c>
    </row>
    <row r="215" spans="2:4" x14ac:dyDescent="0.25">
      <c r="B215">
        <f t="shared" ca="1" si="11"/>
        <v>41856.684354367557</v>
      </c>
      <c r="C215">
        <f t="shared" ca="1" si="9"/>
        <v>0</v>
      </c>
      <c r="D215">
        <f t="shared" ca="1" si="10"/>
        <v>1856.6843543675568</v>
      </c>
    </row>
    <row r="216" spans="2:4" x14ac:dyDescent="0.25">
      <c r="B216">
        <f t="shared" ca="1" si="11"/>
        <v>43463.891492069182</v>
      </c>
      <c r="C216">
        <f t="shared" ca="1" si="9"/>
        <v>0</v>
      </c>
      <c r="D216">
        <f t="shared" ca="1" si="10"/>
        <v>3463.8914920691823</v>
      </c>
    </row>
    <row r="217" spans="2:4" x14ac:dyDescent="0.25">
      <c r="B217">
        <f t="shared" ca="1" si="11"/>
        <v>46111.069445540321</v>
      </c>
      <c r="C217">
        <f t="shared" ca="1" si="9"/>
        <v>0</v>
      </c>
      <c r="D217">
        <f t="shared" ca="1" si="10"/>
        <v>6111.0694455403209</v>
      </c>
    </row>
    <row r="218" spans="2:4" x14ac:dyDescent="0.25">
      <c r="B218">
        <f t="shared" ca="1" si="11"/>
        <v>42994.499690224591</v>
      </c>
      <c r="C218">
        <f t="shared" ca="1" si="9"/>
        <v>0</v>
      </c>
      <c r="D218">
        <f t="shared" ca="1" si="10"/>
        <v>2994.4996902245912</v>
      </c>
    </row>
    <row r="219" spans="2:4" x14ac:dyDescent="0.25">
      <c r="B219">
        <f t="shared" ca="1" si="11"/>
        <v>45465.261749125726</v>
      </c>
      <c r="C219">
        <f t="shared" ca="1" si="9"/>
        <v>0</v>
      </c>
      <c r="D219">
        <f t="shared" ca="1" si="10"/>
        <v>5465.2617491257261</v>
      </c>
    </row>
    <row r="220" spans="2:4" x14ac:dyDescent="0.25">
      <c r="B220">
        <f t="shared" ca="1" si="11"/>
        <v>48043.044222155397</v>
      </c>
      <c r="C220">
        <f t="shared" ca="1" si="9"/>
        <v>0</v>
      </c>
      <c r="D220">
        <f t="shared" ca="1" si="10"/>
        <v>8043.0442221553967</v>
      </c>
    </row>
    <row r="221" spans="2:4" x14ac:dyDescent="0.25">
      <c r="B221">
        <f t="shared" ca="1" si="11"/>
        <v>47141.559733949609</v>
      </c>
      <c r="C221">
        <f t="shared" ca="1" si="9"/>
        <v>0</v>
      </c>
      <c r="D221">
        <f t="shared" ca="1" si="10"/>
        <v>7141.5597339496089</v>
      </c>
    </row>
    <row r="222" spans="2:4" x14ac:dyDescent="0.25">
      <c r="B222">
        <f t="shared" ca="1" si="11"/>
        <v>49580.836138610262</v>
      </c>
      <c r="C222">
        <f t="shared" ca="1" si="9"/>
        <v>0</v>
      </c>
      <c r="D222">
        <f t="shared" ca="1" si="10"/>
        <v>9580.8361386102624</v>
      </c>
    </row>
    <row r="223" spans="2:4" x14ac:dyDescent="0.25">
      <c r="B223">
        <f t="shared" ca="1" si="11"/>
        <v>44380.491433729432</v>
      </c>
      <c r="C223">
        <f t="shared" ca="1" si="9"/>
        <v>0</v>
      </c>
      <c r="D223">
        <f t="shared" ca="1" si="10"/>
        <v>4380.4914337294322</v>
      </c>
    </row>
    <row r="224" spans="2:4" x14ac:dyDescent="0.25">
      <c r="B224">
        <f t="shared" ca="1" si="11"/>
        <v>39458.880864986597</v>
      </c>
      <c r="C224">
        <f t="shared" ca="1" si="9"/>
        <v>541.11913501340314</v>
      </c>
      <c r="D224">
        <f t="shared" ca="1" si="10"/>
        <v>0</v>
      </c>
    </row>
    <row r="225" spans="2:4" x14ac:dyDescent="0.25">
      <c r="B225">
        <f t="shared" ca="1" si="11"/>
        <v>41272.898660309002</v>
      </c>
      <c r="C225">
        <f t="shared" ca="1" si="9"/>
        <v>0</v>
      </c>
      <c r="D225">
        <f t="shared" ca="1" si="10"/>
        <v>1272.8986603090016</v>
      </c>
    </row>
    <row r="226" spans="2:4" x14ac:dyDescent="0.25">
      <c r="B226">
        <f t="shared" ca="1" si="11"/>
        <v>44152.124835359835</v>
      </c>
      <c r="C226">
        <f t="shared" ca="1" si="9"/>
        <v>0</v>
      </c>
      <c r="D226">
        <f t="shared" ca="1" si="10"/>
        <v>4152.1248353598348</v>
      </c>
    </row>
    <row r="227" spans="2:4" x14ac:dyDescent="0.25">
      <c r="B227">
        <f t="shared" ca="1" si="11"/>
        <v>41789.991883415547</v>
      </c>
      <c r="C227">
        <f t="shared" ca="1" si="9"/>
        <v>0</v>
      </c>
      <c r="D227">
        <f t="shared" ca="1" si="10"/>
        <v>1789.9918834155469</v>
      </c>
    </row>
    <row r="228" spans="2:4" x14ac:dyDescent="0.25">
      <c r="B228">
        <f t="shared" ca="1" si="11"/>
        <v>52910.866578246802</v>
      </c>
      <c r="C228">
        <f t="shared" ca="1" si="9"/>
        <v>0</v>
      </c>
      <c r="D228">
        <f t="shared" ca="1" si="10"/>
        <v>12910.866578246802</v>
      </c>
    </row>
    <row r="229" spans="2:4" x14ac:dyDescent="0.25">
      <c r="B229">
        <f t="shared" ca="1" si="11"/>
        <v>48276.419174842071</v>
      </c>
      <c r="C229">
        <f t="shared" ca="1" si="9"/>
        <v>0</v>
      </c>
      <c r="D229">
        <f t="shared" ca="1" si="10"/>
        <v>8276.4191748420708</v>
      </c>
    </row>
    <row r="230" spans="2:4" x14ac:dyDescent="0.25">
      <c r="B230">
        <f t="shared" ca="1" si="11"/>
        <v>44521.45469945838</v>
      </c>
      <c r="C230">
        <f t="shared" ca="1" si="9"/>
        <v>0</v>
      </c>
      <c r="D230">
        <f t="shared" ca="1" si="10"/>
        <v>4521.4546994583798</v>
      </c>
    </row>
    <row r="231" spans="2:4" x14ac:dyDescent="0.25">
      <c r="B231">
        <f t="shared" ca="1" si="11"/>
        <v>40055.779045606432</v>
      </c>
      <c r="C231">
        <f t="shared" ca="1" si="9"/>
        <v>0</v>
      </c>
      <c r="D231">
        <f t="shared" ca="1" si="10"/>
        <v>55.779045606432192</v>
      </c>
    </row>
    <row r="232" spans="2:4" x14ac:dyDescent="0.25">
      <c r="B232">
        <f t="shared" ca="1" si="11"/>
        <v>47488.781320170616</v>
      </c>
      <c r="C232">
        <f t="shared" ca="1" si="9"/>
        <v>0</v>
      </c>
      <c r="D232">
        <f t="shared" ca="1" si="10"/>
        <v>7488.7813201706158</v>
      </c>
    </row>
    <row r="233" spans="2:4" x14ac:dyDescent="0.25">
      <c r="B233">
        <f t="shared" ca="1" si="11"/>
        <v>38120.51197071933</v>
      </c>
      <c r="C233">
        <f t="shared" ca="1" si="9"/>
        <v>1879.4880292806702</v>
      </c>
      <c r="D233">
        <f t="shared" ca="1" si="10"/>
        <v>0</v>
      </c>
    </row>
    <row r="234" spans="2:4" x14ac:dyDescent="0.25">
      <c r="B234">
        <f t="shared" ca="1" si="11"/>
        <v>43981.632519771068</v>
      </c>
      <c r="C234">
        <f t="shared" ca="1" si="9"/>
        <v>0</v>
      </c>
      <c r="D234">
        <f t="shared" ca="1" si="10"/>
        <v>3981.6325197710685</v>
      </c>
    </row>
    <row r="235" spans="2:4" x14ac:dyDescent="0.25">
      <c r="B235">
        <f t="shared" ca="1" si="11"/>
        <v>43262.397033180663</v>
      </c>
      <c r="C235">
        <f t="shared" ca="1" si="9"/>
        <v>0</v>
      </c>
      <c r="D235">
        <f t="shared" ca="1" si="10"/>
        <v>3262.3970331806631</v>
      </c>
    </row>
    <row r="236" spans="2:4" x14ac:dyDescent="0.25">
      <c r="B236">
        <f t="shared" ca="1" si="11"/>
        <v>41834.676214008941</v>
      </c>
      <c r="C236">
        <f t="shared" ca="1" si="9"/>
        <v>0</v>
      </c>
      <c r="D236">
        <f t="shared" ca="1" si="10"/>
        <v>1834.6762140089413</v>
      </c>
    </row>
    <row r="237" spans="2:4" x14ac:dyDescent="0.25">
      <c r="B237">
        <f t="shared" ca="1" si="11"/>
        <v>38547.693747369543</v>
      </c>
      <c r="C237">
        <f t="shared" ca="1" si="9"/>
        <v>1452.3062526304566</v>
      </c>
      <c r="D237">
        <f t="shared" ca="1" si="10"/>
        <v>0</v>
      </c>
    </row>
    <row r="238" spans="2:4" x14ac:dyDescent="0.25">
      <c r="B238">
        <f t="shared" ca="1" si="11"/>
        <v>46865.333680349846</v>
      </c>
      <c r="C238">
        <f t="shared" ca="1" si="9"/>
        <v>0</v>
      </c>
      <c r="D238">
        <f t="shared" ca="1" si="10"/>
        <v>6865.333680349846</v>
      </c>
    </row>
    <row r="239" spans="2:4" x14ac:dyDescent="0.25">
      <c r="B239">
        <f t="shared" ca="1" si="11"/>
        <v>44329.2563237496</v>
      </c>
      <c r="C239">
        <f t="shared" ca="1" si="9"/>
        <v>0</v>
      </c>
      <c r="D239">
        <f t="shared" ca="1" si="10"/>
        <v>4329.2563237495997</v>
      </c>
    </row>
    <row r="240" spans="2:4" x14ac:dyDescent="0.25">
      <c r="B240">
        <f t="shared" ca="1" si="11"/>
        <v>46381.956874775198</v>
      </c>
      <c r="C240">
        <f t="shared" ca="1" si="9"/>
        <v>0</v>
      </c>
      <c r="D240">
        <f t="shared" ca="1" si="10"/>
        <v>6381.9568747751982</v>
      </c>
    </row>
    <row r="241" spans="2:4" x14ac:dyDescent="0.25">
      <c r="B241">
        <f t="shared" ca="1" si="11"/>
        <v>39265.617492167723</v>
      </c>
      <c r="C241">
        <f t="shared" ca="1" si="9"/>
        <v>734.38250783227704</v>
      </c>
      <c r="D241">
        <f t="shared" ca="1" si="10"/>
        <v>0</v>
      </c>
    </row>
    <row r="242" spans="2:4" x14ac:dyDescent="0.25">
      <c r="B242">
        <f t="shared" ca="1" si="11"/>
        <v>45746.473989507154</v>
      </c>
      <c r="C242">
        <f t="shared" ca="1" si="9"/>
        <v>0</v>
      </c>
      <c r="D242">
        <f t="shared" ca="1" si="10"/>
        <v>5746.4739895071543</v>
      </c>
    </row>
    <row r="243" spans="2:4" x14ac:dyDescent="0.25">
      <c r="B243">
        <f t="shared" ca="1" si="11"/>
        <v>44735.02991991779</v>
      </c>
      <c r="C243">
        <f t="shared" ca="1" si="9"/>
        <v>0</v>
      </c>
      <c r="D243">
        <f t="shared" ca="1" si="10"/>
        <v>4735.0299199177898</v>
      </c>
    </row>
    <row r="244" spans="2:4" x14ac:dyDescent="0.25">
      <c r="B244">
        <f t="shared" ca="1" si="11"/>
        <v>40210.546349630575</v>
      </c>
      <c r="C244">
        <f t="shared" ca="1" si="9"/>
        <v>0</v>
      </c>
      <c r="D244">
        <f t="shared" ca="1" si="10"/>
        <v>210.5463496305747</v>
      </c>
    </row>
    <row r="245" spans="2:4" x14ac:dyDescent="0.25">
      <c r="B245">
        <f t="shared" ca="1" si="11"/>
        <v>46504.419689807786</v>
      </c>
      <c r="C245">
        <f t="shared" ca="1" si="9"/>
        <v>0</v>
      </c>
      <c r="D245">
        <f t="shared" ca="1" si="10"/>
        <v>6504.4196898077862</v>
      </c>
    </row>
    <row r="246" spans="2:4" x14ac:dyDescent="0.25">
      <c r="B246">
        <f t="shared" ca="1" si="11"/>
        <v>43079.089433480796</v>
      </c>
      <c r="C246">
        <f t="shared" ca="1" si="9"/>
        <v>0</v>
      </c>
      <c r="D246">
        <f t="shared" ca="1" si="10"/>
        <v>3079.0894334807963</v>
      </c>
    </row>
    <row r="247" spans="2:4" x14ac:dyDescent="0.25">
      <c r="B247">
        <f t="shared" ca="1" si="11"/>
        <v>47710.295982340482</v>
      </c>
      <c r="C247">
        <f t="shared" ca="1" si="9"/>
        <v>0</v>
      </c>
      <c r="D247">
        <f t="shared" ca="1" si="10"/>
        <v>7710.2959823404817</v>
      </c>
    </row>
    <row r="248" spans="2:4" x14ac:dyDescent="0.25">
      <c r="B248">
        <f t="shared" ca="1" si="11"/>
        <v>41671.11582979338</v>
      </c>
      <c r="C248">
        <f t="shared" ca="1" si="9"/>
        <v>0</v>
      </c>
      <c r="D248">
        <f t="shared" ca="1" si="10"/>
        <v>1671.1158297933798</v>
      </c>
    </row>
    <row r="249" spans="2:4" x14ac:dyDescent="0.25">
      <c r="B249">
        <f t="shared" ca="1" si="11"/>
        <v>42768.233919240789</v>
      </c>
      <c r="C249">
        <f t="shared" ca="1" si="9"/>
        <v>0</v>
      </c>
      <c r="D249">
        <f t="shared" ca="1" si="10"/>
        <v>2768.233919240789</v>
      </c>
    </row>
    <row r="250" spans="2:4" x14ac:dyDescent="0.25">
      <c r="B250">
        <f t="shared" ca="1" si="11"/>
        <v>50198.556439574117</v>
      </c>
      <c r="C250">
        <f t="shared" ca="1" si="9"/>
        <v>0</v>
      </c>
      <c r="D250">
        <f t="shared" ca="1" si="10"/>
        <v>10198.556439574117</v>
      </c>
    </row>
    <row r="251" spans="2:4" x14ac:dyDescent="0.25">
      <c r="B251">
        <f t="shared" ca="1" si="11"/>
        <v>45477.167048074356</v>
      </c>
      <c r="C251">
        <f t="shared" ca="1" si="9"/>
        <v>0</v>
      </c>
      <c r="D251">
        <f t="shared" ca="1" si="10"/>
        <v>5477.167048074356</v>
      </c>
    </row>
    <row r="252" spans="2:4" x14ac:dyDescent="0.25">
      <c r="B252">
        <f t="shared" ca="1" si="11"/>
        <v>48510.222425968081</v>
      </c>
      <c r="C252">
        <f t="shared" ca="1" si="9"/>
        <v>0</v>
      </c>
      <c r="D252">
        <f t="shared" ca="1" si="10"/>
        <v>8510.2224259680806</v>
      </c>
    </row>
    <row r="253" spans="2:4" x14ac:dyDescent="0.25">
      <c r="B253">
        <f t="shared" ca="1" si="11"/>
        <v>41859.164157930369</v>
      </c>
      <c r="C253">
        <f t="shared" ca="1" si="9"/>
        <v>0</v>
      </c>
      <c r="D253">
        <f t="shared" ca="1" si="10"/>
        <v>1859.1641579303687</v>
      </c>
    </row>
    <row r="254" spans="2:4" x14ac:dyDescent="0.25">
      <c r="B254">
        <f t="shared" ca="1" si="11"/>
        <v>46470.951776684007</v>
      </c>
      <c r="C254">
        <f t="shared" ca="1" si="9"/>
        <v>0</v>
      </c>
      <c r="D254">
        <f t="shared" ca="1" si="10"/>
        <v>6470.9517766840072</v>
      </c>
    </row>
    <row r="255" spans="2:4" x14ac:dyDescent="0.25">
      <c r="B255">
        <f t="shared" ca="1" si="11"/>
        <v>51978.029060081972</v>
      </c>
      <c r="C255">
        <f t="shared" ca="1" si="9"/>
        <v>0</v>
      </c>
      <c r="D255">
        <f t="shared" ca="1" si="10"/>
        <v>11978.029060081972</v>
      </c>
    </row>
    <row r="256" spans="2:4" x14ac:dyDescent="0.25">
      <c r="B256">
        <f t="shared" ca="1" si="11"/>
        <v>45927.778378842711</v>
      </c>
      <c r="C256">
        <f t="shared" ca="1" si="9"/>
        <v>0</v>
      </c>
      <c r="D256">
        <f t="shared" ca="1" si="10"/>
        <v>5927.7783788427114</v>
      </c>
    </row>
    <row r="257" spans="2:4" x14ac:dyDescent="0.25">
      <c r="B257">
        <f t="shared" ca="1" si="11"/>
        <v>37546.90725159306</v>
      </c>
      <c r="C257">
        <f t="shared" ca="1" si="9"/>
        <v>2453.0927484069398</v>
      </c>
      <c r="D257">
        <f t="shared" ca="1" si="10"/>
        <v>0</v>
      </c>
    </row>
    <row r="258" spans="2:4" x14ac:dyDescent="0.25">
      <c r="B258">
        <f t="shared" ca="1" si="11"/>
        <v>46479.115725144031</v>
      </c>
      <c r="C258">
        <f t="shared" ca="1" si="9"/>
        <v>0</v>
      </c>
      <c r="D258">
        <f t="shared" ca="1" si="10"/>
        <v>6479.1157251440309</v>
      </c>
    </row>
    <row r="259" spans="2:4" x14ac:dyDescent="0.25">
      <c r="B259">
        <f t="shared" ca="1" si="11"/>
        <v>37111.999107659321</v>
      </c>
      <c r="C259">
        <f t="shared" ca="1" si="9"/>
        <v>2888.0008923406785</v>
      </c>
      <c r="D259">
        <f t="shared" ca="1" si="10"/>
        <v>0</v>
      </c>
    </row>
    <row r="260" spans="2:4" x14ac:dyDescent="0.25">
      <c r="B260">
        <f t="shared" ca="1" si="11"/>
        <v>49174.321276430652</v>
      </c>
      <c r="C260">
        <f t="shared" ca="1" si="9"/>
        <v>0</v>
      </c>
      <c r="D260">
        <f t="shared" ca="1" si="10"/>
        <v>9174.3212764306518</v>
      </c>
    </row>
    <row r="261" spans="2:4" x14ac:dyDescent="0.25">
      <c r="B261">
        <f t="shared" ca="1" si="11"/>
        <v>43272.913730200773</v>
      </c>
      <c r="C261">
        <f t="shared" ca="1" si="9"/>
        <v>0</v>
      </c>
      <c r="D261">
        <f t="shared" ca="1" si="10"/>
        <v>3272.913730200773</v>
      </c>
    </row>
    <row r="262" spans="2:4" x14ac:dyDescent="0.25">
      <c r="B262">
        <f t="shared" ca="1" si="11"/>
        <v>42881.068316541539</v>
      </c>
      <c r="C262">
        <f t="shared" ca="1" si="9"/>
        <v>0</v>
      </c>
      <c r="D262">
        <f t="shared" ca="1" si="10"/>
        <v>2881.0683165415394</v>
      </c>
    </row>
    <row r="263" spans="2:4" x14ac:dyDescent="0.25">
      <c r="B263">
        <f t="shared" ca="1" si="11"/>
        <v>44617.377235234206</v>
      </c>
      <c r="C263">
        <f t="shared" ca="1" si="9"/>
        <v>0</v>
      </c>
      <c r="D263">
        <f t="shared" ca="1" si="10"/>
        <v>4617.3772352342057</v>
      </c>
    </row>
    <row r="264" spans="2:4" x14ac:dyDescent="0.25">
      <c r="B264">
        <f t="shared" ca="1" si="11"/>
        <v>43642.634052775575</v>
      </c>
      <c r="C264">
        <f t="shared" ca="1" si="9"/>
        <v>0</v>
      </c>
      <c r="D264">
        <f t="shared" ca="1" si="10"/>
        <v>3642.6340527755747</v>
      </c>
    </row>
    <row r="265" spans="2:4" x14ac:dyDescent="0.25">
      <c r="B265">
        <f t="shared" ca="1" si="11"/>
        <v>44141.250210003862</v>
      </c>
      <c r="C265">
        <f t="shared" ca="1" si="9"/>
        <v>0</v>
      </c>
      <c r="D265">
        <f t="shared" ca="1" si="10"/>
        <v>4141.2502100038619</v>
      </c>
    </row>
    <row r="266" spans="2:4" x14ac:dyDescent="0.25">
      <c r="B266">
        <f t="shared" ca="1" si="11"/>
        <v>44329.302962029797</v>
      </c>
      <c r="C266">
        <f t="shared" ca="1" si="9"/>
        <v>0</v>
      </c>
      <c r="D266">
        <f t="shared" ca="1" si="10"/>
        <v>4329.3029620297966</v>
      </c>
    </row>
    <row r="267" spans="2:4" x14ac:dyDescent="0.25">
      <c r="B267">
        <f t="shared" ca="1" si="11"/>
        <v>44278.044229746396</v>
      </c>
      <c r="C267">
        <f t="shared" ca="1" si="9"/>
        <v>0</v>
      </c>
      <c r="D267">
        <f t="shared" ca="1" si="10"/>
        <v>4278.044229746396</v>
      </c>
    </row>
    <row r="268" spans="2:4" x14ac:dyDescent="0.25">
      <c r="B268">
        <f t="shared" ca="1" si="11"/>
        <v>50317.283863652454</v>
      </c>
      <c r="C268">
        <f t="shared" ref="C268:C331" ca="1" si="12">IF(MAX($B$2-B268)&lt;0,0,$B$2-B268)</f>
        <v>0</v>
      </c>
      <c r="D268">
        <f t="shared" ref="D268:D331" ca="1" si="13">IF(MAX(B268-$B$2)&lt;0,0,B268-$B$2)</f>
        <v>10317.283863652454</v>
      </c>
    </row>
    <row r="269" spans="2:4" x14ac:dyDescent="0.25">
      <c r="B269">
        <f t="shared" ref="B269:B332" ca="1" si="14">$B$1*EXP((($B$4-($B$3^2)/2)*$B$5+$B$3*SQRT($B$5)*NORMSINV(RAND())))</f>
        <v>49938.35077356494</v>
      </c>
      <c r="C269">
        <f t="shared" ca="1" si="12"/>
        <v>0</v>
      </c>
      <c r="D269">
        <f t="shared" ca="1" si="13"/>
        <v>9938.35077356494</v>
      </c>
    </row>
    <row r="270" spans="2:4" x14ac:dyDescent="0.25">
      <c r="B270">
        <f t="shared" ca="1" si="14"/>
        <v>45863.166180796317</v>
      </c>
      <c r="C270">
        <f t="shared" ca="1" si="12"/>
        <v>0</v>
      </c>
      <c r="D270">
        <f t="shared" ca="1" si="13"/>
        <v>5863.1661807963173</v>
      </c>
    </row>
    <row r="271" spans="2:4" x14ac:dyDescent="0.25">
      <c r="B271">
        <f t="shared" ca="1" si="14"/>
        <v>46189.8647277255</v>
      </c>
      <c r="C271">
        <f t="shared" ca="1" si="12"/>
        <v>0</v>
      </c>
      <c r="D271">
        <f t="shared" ca="1" si="13"/>
        <v>6189.8647277255004</v>
      </c>
    </row>
    <row r="272" spans="2:4" x14ac:dyDescent="0.25">
      <c r="B272">
        <f t="shared" ca="1" si="14"/>
        <v>44404.258261483628</v>
      </c>
      <c r="C272">
        <f t="shared" ca="1" si="12"/>
        <v>0</v>
      </c>
      <c r="D272">
        <f t="shared" ca="1" si="13"/>
        <v>4404.2582614836283</v>
      </c>
    </row>
    <row r="273" spans="2:4" x14ac:dyDescent="0.25">
      <c r="B273">
        <f t="shared" ca="1" si="14"/>
        <v>50000.020610586216</v>
      </c>
      <c r="C273">
        <f t="shared" ca="1" si="12"/>
        <v>0</v>
      </c>
      <c r="D273">
        <f t="shared" ca="1" si="13"/>
        <v>10000.020610586216</v>
      </c>
    </row>
    <row r="274" spans="2:4" x14ac:dyDescent="0.25">
      <c r="B274">
        <f t="shared" ca="1" si="14"/>
        <v>46108.007822970081</v>
      </c>
      <c r="C274">
        <f t="shared" ca="1" si="12"/>
        <v>0</v>
      </c>
      <c r="D274">
        <f t="shared" ca="1" si="13"/>
        <v>6108.0078229700812</v>
      </c>
    </row>
    <row r="275" spans="2:4" x14ac:dyDescent="0.25">
      <c r="B275">
        <f t="shared" ca="1" si="14"/>
        <v>39350.071020521114</v>
      </c>
      <c r="C275">
        <f t="shared" ca="1" si="12"/>
        <v>649.92897947888559</v>
      </c>
      <c r="D275">
        <f t="shared" ca="1" si="13"/>
        <v>0</v>
      </c>
    </row>
    <row r="276" spans="2:4" x14ac:dyDescent="0.25">
      <c r="B276">
        <f t="shared" ca="1" si="14"/>
        <v>40106.743407859278</v>
      </c>
      <c r="C276">
        <f t="shared" ca="1" si="12"/>
        <v>0</v>
      </c>
      <c r="D276">
        <f t="shared" ca="1" si="13"/>
        <v>106.7434078592778</v>
      </c>
    </row>
    <row r="277" spans="2:4" x14ac:dyDescent="0.25">
      <c r="B277">
        <f t="shared" ca="1" si="14"/>
        <v>47743.405330599206</v>
      </c>
      <c r="C277">
        <f t="shared" ca="1" si="12"/>
        <v>0</v>
      </c>
      <c r="D277">
        <f t="shared" ca="1" si="13"/>
        <v>7743.4053305992056</v>
      </c>
    </row>
    <row r="278" spans="2:4" x14ac:dyDescent="0.25">
      <c r="B278">
        <f t="shared" ca="1" si="14"/>
        <v>49253.537922725729</v>
      </c>
      <c r="C278">
        <f t="shared" ca="1" si="12"/>
        <v>0</v>
      </c>
      <c r="D278">
        <f t="shared" ca="1" si="13"/>
        <v>9253.537922725729</v>
      </c>
    </row>
    <row r="279" spans="2:4" x14ac:dyDescent="0.25">
      <c r="B279">
        <f t="shared" ca="1" si="14"/>
        <v>49076.526780353423</v>
      </c>
      <c r="C279">
        <f t="shared" ca="1" si="12"/>
        <v>0</v>
      </c>
      <c r="D279">
        <f t="shared" ca="1" si="13"/>
        <v>9076.5267803534225</v>
      </c>
    </row>
    <row r="280" spans="2:4" x14ac:dyDescent="0.25">
      <c r="B280">
        <f t="shared" ca="1" si="14"/>
        <v>44514.184999288023</v>
      </c>
      <c r="C280">
        <f t="shared" ca="1" si="12"/>
        <v>0</v>
      </c>
      <c r="D280">
        <f t="shared" ca="1" si="13"/>
        <v>4514.1849992880234</v>
      </c>
    </row>
    <row r="281" spans="2:4" x14ac:dyDescent="0.25">
      <c r="B281">
        <f t="shared" ca="1" si="14"/>
        <v>51888.294103159009</v>
      </c>
      <c r="C281">
        <f t="shared" ca="1" si="12"/>
        <v>0</v>
      </c>
      <c r="D281">
        <f t="shared" ca="1" si="13"/>
        <v>11888.294103159009</v>
      </c>
    </row>
    <row r="282" spans="2:4" x14ac:dyDescent="0.25">
      <c r="B282">
        <f t="shared" ca="1" si="14"/>
        <v>48084.175288625367</v>
      </c>
      <c r="C282">
        <f t="shared" ca="1" si="12"/>
        <v>0</v>
      </c>
      <c r="D282">
        <f t="shared" ca="1" si="13"/>
        <v>8084.1752886253671</v>
      </c>
    </row>
    <row r="283" spans="2:4" x14ac:dyDescent="0.25">
      <c r="B283">
        <f t="shared" ca="1" si="14"/>
        <v>42919.869521861336</v>
      </c>
      <c r="C283">
        <f t="shared" ca="1" si="12"/>
        <v>0</v>
      </c>
      <c r="D283">
        <f t="shared" ca="1" si="13"/>
        <v>2919.8695218613357</v>
      </c>
    </row>
    <row r="284" spans="2:4" x14ac:dyDescent="0.25">
      <c r="B284">
        <f t="shared" ca="1" si="14"/>
        <v>46144.800619877351</v>
      </c>
      <c r="C284">
        <f t="shared" ca="1" si="12"/>
        <v>0</v>
      </c>
      <c r="D284">
        <f t="shared" ca="1" si="13"/>
        <v>6144.800619877351</v>
      </c>
    </row>
    <row r="285" spans="2:4" x14ac:dyDescent="0.25">
      <c r="B285">
        <f t="shared" ca="1" si="14"/>
        <v>45458.878287301843</v>
      </c>
      <c r="C285">
        <f t="shared" ca="1" si="12"/>
        <v>0</v>
      </c>
      <c r="D285">
        <f t="shared" ca="1" si="13"/>
        <v>5458.8782873018426</v>
      </c>
    </row>
    <row r="286" spans="2:4" x14ac:dyDescent="0.25">
      <c r="B286">
        <f t="shared" ca="1" si="14"/>
        <v>40347.974875517575</v>
      </c>
      <c r="C286">
        <f t="shared" ca="1" si="12"/>
        <v>0</v>
      </c>
      <c r="D286">
        <f t="shared" ca="1" si="13"/>
        <v>347.97487551757513</v>
      </c>
    </row>
    <row r="287" spans="2:4" x14ac:dyDescent="0.25">
      <c r="B287">
        <f t="shared" ca="1" si="14"/>
        <v>48833.721351195112</v>
      </c>
      <c r="C287">
        <f t="shared" ca="1" si="12"/>
        <v>0</v>
      </c>
      <c r="D287">
        <f t="shared" ca="1" si="13"/>
        <v>8833.7213511951122</v>
      </c>
    </row>
    <row r="288" spans="2:4" x14ac:dyDescent="0.25">
      <c r="B288">
        <f t="shared" ca="1" si="14"/>
        <v>41937.807612519828</v>
      </c>
      <c r="C288">
        <f t="shared" ca="1" si="12"/>
        <v>0</v>
      </c>
      <c r="D288">
        <f t="shared" ca="1" si="13"/>
        <v>1937.8076125198277</v>
      </c>
    </row>
    <row r="289" spans="2:4" x14ac:dyDescent="0.25">
      <c r="B289">
        <f t="shared" ca="1" si="14"/>
        <v>53697.943879043582</v>
      </c>
      <c r="C289">
        <f t="shared" ca="1" si="12"/>
        <v>0</v>
      </c>
      <c r="D289">
        <f t="shared" ca="1" si="13"/>
        <v>13697.943879043582</v>
      </c>
    </row>
    <row r="290" spans="2:4" x14ac:dyDescent="0.25">
      <c r="B290">
        <f t="shared" ca="1" si="14"/>
        <v>47508.477678151961</v>
      </c>
      <c r="C290">
        <f t="shared" ca="1" si="12"/>
        <v>0</v>
      </c>
      <c r="D290">
        <f t="shared" ca="1" si="13"/>
        <v>7508.4776781519613</v>
      </c>
    </row>
    <row r="291" spans="2:4" x14ac:dyDescent="0.25">
      <c r="B291">
        <f t="shared" ca="1" si="14"/>
        <v>40468.996603800602</v>
      </c>
      <c r="C291">
        <f t="shared" ca="1" si="12"/>
        <v>0</v>
      </c>
      <c r="D291">
        <f t="shared" ca="1" si="13"/>
        <v>468.99660380060232</v>
      </c>
    </row>
    <row r="292" spans="2:4" x14ac:dyDescent="0.25">
      <c r="B292">
        <f t="shared" ca="1" si="14"/>
        <v>41095.209200118974</v>
      </c>
      <c r="C292">
        <f t="shared" ca="1" si="12"/>
        <v>0</v>
      </c>
      <c r="D292">
        <f t="shared" ca="1" si="13"/>
        <v>1095.209200118974</v>
      </c>
    </row>
    <row r="293" spans="2:4" x14ac:dyDescent="0.25">
      <c r="B293">
        <f t="shared" ca="1" si="14"/>
        <v>41272.328901519933</v>
      </c>
      <c r="C293">
        <f t="shared" ca="1" si="12"/>
        <v>0</v>
      </c>
      <c r="D293">
        <f t="shared" ca="1" si="13"/>
        <v>1272.3289015199334</v>
      </c>
    </row>
    <row r="294" spans="2:4" x14ac:dyDescent="0.25">
      <c r="B294">
        <f t="shared" ca="1" si="14"/>
        <v>39370.755398663801</v>
      </c>
      <c r="C294">
        <f t="shared" ca="1" si="12"/>
        <v>629.24460133619868</v>
      </c>
      <c r="D294">
        <f t="shared" ca="1" si="13"/>
        <v>0</v>
      </c>
    </row>
    <row r="295" spans="2:4" x14ac:dyDescent="0.25">
      <c r="B295">
        <f t="shared" ca="1" si="14"/>
        <v>49259.030206934571</v>
      </c>
      <c r="C295">
        <f t="shared" ca="1" si="12"/>
        <v>0</v>
      </c>
      <c r="D295">
        <f t="shared" ca="1" si="13"/>
        <v>9259.0302069345707</v>
      </c>
    </row>
    <row r="296" spans="2:4" x14ac:dyDescent="0.25">
      <c r="B296">
        <f t="shared" ca="1" si="14"/>
        <v>43460.596154902021</v>
      </c>
      <c r="C296">
        <f t="shared" ca="1" si="12"/>
        <v>0</v>
      </c>
      <c r="D296">
        <f t="shared" ca="1" si="13"/>
        <v>3460.5961549020212</v>
      </c>
    </row>
    <row r="297" spans="2:4" x14ac:dyDescent="0.25">
      <c r="B297">
        <f t="shared" ca="1" si="14"/>
        <v>42504.447748461309</v>
      </c>
      <c r="C297">
        <f t="shared" ca="1" si="12"/>
        <v>0</v>
      </c>
      <c r="D297">
        <f t="shared" ca="1" si="13"/>
        <v>2504.4477484613089</v>
      </c>
    </row>
    <row r="298" spans="2:4" x14ac:dyDescent="0.25">
      <c r="B298">
        <f t="shared" ca="1" si="14"/>
        <v>45757.168571088019</v>
      </c>
      <c r="C298">
        <f t="shared" ca="1" si="12"/>
        <v>0</v>
      </c>
      <c r="D298">
        <f t="shared" ca="1" si="13"/>
        <v>5757.1685710880192</v>
      </c>
    </row>
    <row r="299" spans="2:4" x14ac:dyDescent="0.25">
      <c r="B299">
        <f t="shared" ca="1" si="14"/>
        <v>52997.997413016303</v>
      </c>
      <c r="C299">
        <f t="shared" ca="1" si="12"/>
        <v>0</v>
      </c>
      <c r="D299">
        <f t="shared" ca="1" si="13"/>
        <v>12997.997413016303</v>
      </c>
    </row>
    <row r="300" spans="2:4" x14ac:dyDescent="0.25">
      <c r="B300">
        <f t="shared" ca="1" si="14"/>
        <v>46868.739707649809</v>
      </c>
      <c r="C300">
        <f t="shared" ca="1" si="12"/>
        <v>0</v>
      </c>
      <c r="D300">
        <f t="shared" ca="1" si="13"/>
        <v>6868.7397076498091</v>
      </c>
    </row>
    <row r="301" spans="2:4" x14ac:dyDescent="0.25">
      <c r="B301">
        <f t="shared" ca="1" si="14"/>
        <v>48564.184150236943</v>
      </c>
      <c r="C301">
        <f t="shared" ca="1" si="12"/>
        <v>0</v>
      </c>
      <c r="D301">
        <f t="shared" ca="1" si="13"/>
        <v>8564.1841502369425</v>
      </c>
    </row>
    <row r="302" spans="2:4" x14ac:dyDescent="0.25">
      <c r="B302">
        <f t="shared" ca="1" si="14"/>
        <v>44164.025348663265</v>
      </c>
      <c r="C302">
        <f t="shared" ca="1" si="12"/>
        <v>0</v>
      </c>
      <c r="D302">
        <f t="shared" ca="1" si="13"/>
        <v>4164.0253486632646</v>
      </c>
    </row>
    <row r="303" spans="2:4" x14ac:dyDescent="0.25">
      <c r="B303">
        <f t="shared" ca="1" si="14"/>
        <v>42691.220552512554</v>
      </c>
      <c r="C303">
        <f t="shared" ca="1" si="12"/>
        <v>0</v>
      </c>
      <c r="D303">
        <f t="shared" ca="1" si="13"/>
        <v>2691.2205525125537</v>
      </c>
    </row>
    <row r="304" spans="2:4" x14ac:dyDescent="0.25">
      <c r="B304">
        <f t="shared" ca="1" si="14"/>
        <v>48367.560474916179</v>
      </c>
      <c r="C304">
        <f t="shared" ca="1" si="12"/>
        <v>0</v>
      </c>
      <c r="D304">
        <f t="shared" ca="1" si="13"/>
        <v>8367.5604749161794</v>
      </c>
    </row>
    <row r="305" spans="2:4" x14ac:dyDescent="0.25">
      <c r="B305">
        <f t="shared" ca="1" si="14"/>
        <v>41496.950597329334</v>
      </c>
      <c r="C305">
        <f t="shared" ca="1" si="12"/>
        <v>0</v>
      </c>
      <c r="D305">
        <f t="shared" ca="1" si="13"/>
        <v>1496.9505973293344</v>
      </c>
    </row>
    <row r="306" spans="2:4" x14ac:dyDescent="0.25">
      <c r="B306">
        <f t="shared" ca="1" si="14"/>
        <v>34264.450778482926</v>
      </c>
      <c r="C306">
        <f t="shared" ca="1" si="12"/>
        <v>5735.5492215170743</v>
      </c>
      <c r="D306">
        <f t="shared" ca="1" si="13"/>
        <v>0</v>
      </c>
    </row>
    <row r="307" spans="2:4" x14ac:dyDescent="0.25">
      <c r="B307">
        <f t="shared" ca="1" si="14"/>
        <v>44437.811421133243</v>
      </c>
      <c r="C307">
        <f t="shared" ca="1" si="12"/>
        <v>0</v>
      </c>
      <c r="D307">
        <f t="shared" ca="1" si="13"/>
        <v>4437.8114211332431</v>
      </c>
    </row>
    <row r="308" spans="2:4" x14ac:dyDescent="0.25">
      <c r="B308">
        <f t="shared" ca="1" si="14"/>
        <v>41593.979259241038</v>
      </c>
      <c r="C308">
        <f t="shared" ca="1" si="12"/>
        <v>0</v>
      </c>
      <c r="D308">
        <f t="shared" ca="1" si="13"/>
        <v>1593.9792592410377</v>
      </c>
    </row>
    <row r="309" spans="2:4" x14ac:dyDescent="0.25">
      <c r="B309">
        <f t="shared" ca="1" si="14"/>
        <v>36514.616825417179</v>
      </c>
      <c r="C309">
        <f t="shared" ca="1" si="12"/>
        <v>3485.3831745828211</v>
      </c>
      <c r="D309">
        <f t="shared" ca="1" si="13"/>
        <v>0</v>
      </c>
    </row>
    <row r="310" spans="2:4" x14ac:dyDescent="0.25">
      <c r="B310">
        <f t="shared" ca="1" si="14"/>
        <v>46394.444259800752</v>
      </c>
      <c r="C310">
        <f t="shared" ca="1" si="12"/>
        <v>0</v>
      </c>
      <c r="D310">
        <f t="shared" ca="1" si="13"/>
        <v>6394.4442598007518</v>
      </c>
    </row>
    <row r="311" spans="2:4" x14ac:dyDescent="0.25">
      <c r="B311">
        <f t="shared" ca="1" si="14"/>
        <v>39167.76798821563</v>
      </c>
      <c r="C311">
        <f t="shared" ca="1" si="12"/>
        <v>832.23201178437012</v>
      </c>
      <c r="D311">
        <f t="shared" ca="1" si="13"/>
        <v>0</v>
      </c>
    </row>
    <row r="312" spans="2:4" x14ac:dyDescent="0.25">
      <c r="B312">
        <f t="shared" ca="1" si="14"/>
        <v>52675.72315631825</v>
      </c>
      <c r="C312">
        <f t="shared" ca="1" si="12"/>
        <v>0</v>
      </c>
      <c r="D312">
        <f t="shared" ca="1" si="13"/>
        <v>12675.72315631825</v>
      </c>
    </row>
    <row r="313" spans="2:4" x14ac:dyDescent="0.25">
      <c r="B313">
        <f t="shared" ca="1" si="14"/>
        <v>50230.871679651187</v>
      </c>
      <c r="C313">
        <f t="shared" ca="1" si="12"/>
        <v>0</v>
      </c>
      <c r="D313">
        <f t="shared" ca="1" si="13"/>
        <v>10230.871679651187</v>
      </c>
    </row>
    <row r="314" spans="2:4" x14ac:dyDescent="0.25">
      <c r="B314">
        <f t="shared" ca="1" si="14"/>
        <v>48643.132788498653</v>
      </c>
      <c r="C314">
        <f t="shared" ca="1" si="12"/>
        <v>0</v>
      </c>
      <c r="D314">
        <f t="shared" ca="1" si="13"/>
        <v>8643.1327884986531</v>
      </c>
    </row>
    <row r="315" spans="2:4" x14ac:dyDescent="0.25">
      <c r="B315">
        <f t="shared" ca="1" si="14"/>
        <v>42169.156000897718</v>
      </c>
      <c r="C315">
        <f t="shared" ca="1" si="12"/>
        <v>0</v>
      </c>
      <c r="D315">
        <f t="shared" ca="1" si="13"/>
        <v>2169.1560008977176</v>
      </c>
    </row>
    <row r="316" spans="2:4" x14ac:dyDescent="0.25">
      <c r="B316">
        <f t="shared" ca="1" si="14"/>
        <v>36717.186697059267</v>
      </c>
      <c r="C316">
        <f t="shared" ca="1" si="12"/>
        <v>3282.8133029407327</v>
      </c>
      <c r="D316">
        <f t="shared" ca="1" si="13"/>
        <v>0</v>
      </c>
    </row>
    <row r="317" spans="2:4" x14ac:dyDescent="0.25">
      <c r="B317">
        <f t="shared" ca="1" si="14"/>
        <v>42124.392056594421</v>
      </c>
      <c r="C317">
        <f t="shared" ca="1" si="12"/>
        <v>0</v>
      </c>
      <c r="D317">
        <f t="shared" ca="1" si="13"/>
        <v>2124.3920565944209</v>
      </c>
    </row>
    <row r="318" spans="2:4" x14ac:dyDescent="0.25">
      <c r="B318">
        <f t="shared" ca="1" si="14"/>
        <v>33271.87954004918</v>
      </c>
      <c r="C318">
        <f t="shared" ca="1" si="12"/>
        <v>6728.1204599508201</v>
      </c>
      <c r="D318">
        <f t="shared" ca="1" si="13"/>
        <v>0</v>
      </c>
    </row>
    <row r="319" spans="2:4" x14ac:dyDescent="0.25">
      <c r="B319">
        <f t="shared" ca="1" si="14"/>
        <v>42160.976337193766</v>
      </c>
      <c r="C319">
        <f t="shared" ca="1" si="12"/>
        <v>0</v>
      </c>
      <c r="D319">
        <f t="shared" ca="1" si="13"/>
        <v>2160.9763371937661</v>
      </c>
    </row>
    <row r="320" spans="2:4" x14ac:dyDescent="0.25">
      <c r="B320">
        <f t="shared" ca="1" si="14"/>
        <v>38556.787300498348</v>
      </c>
      <c r="C320">
        <f t="shared" ca="1" si="12"/>
        <v>1443.2126995016515</v>
      </c>
      <c r="D320">
        <f t="shared" ca="1" si="13"/>
        <v>0</v>
      </c>
    </row>
    <row r="321" spans="2:4" x14ac:dyDescent="0.25">
      <c r="B321">
        <f t="shared" ca="1" si="14"/>
        <v>36403.69927778226</v>
      </c>
      <c r="C321">
        <f t="shared" ca="1" si="12"/>
        <v>3596.3007222177403</v>
      </c>
      <c r="D321">
        <f t="shared" ca="1" si="13"/>
        <v>0</v>
      </c>
    </row>
    <row r="322" spans="2:4" x14ac:dyDescent="0.25">
      <c r="B322">
        <f t="shared" ca="1" si="14"/>
        <v>51929.284884177949</v>
      </c>
      <c r="C322">
        <f t="shared" ca="1" si="12"/>
        <v>0</v>
      </c>
      <c r="D322">
        <f t="shared" ca="1" si="13"/>
        <v>11929.284884177949</v>
      </c>
    </row>
    <row r="323" spans="2:4" x14ac:dyDescent="0.25">
      <c r="B323">
        <f t="shared" ca="1" si="14"/>
        <v>42934.466641320607</v>
      </c>
      <c r="C323">
        <f t="shared" ca="1" si="12"/>
        <v>0</v>
      </c>
      <c r="D323">
        <f t="shared" ca="1" si="13"/>
        <v>2934.4666413206069</v>
      </c>
    </row>
    <row r="324" spans="2:4" x14ac:dyDescent="0.25">
      <c r="B324">
        <f t="shared" ca="1" si="14"/>
        <v>44345.36475163974</v>
      </c>
      <c r="C324">
        <f t="shared" ca="1" si="12"/>
        <v>0</v>
      </c>
      <c r="D324">
        <f t="shared" ca="1" si="13"/>
        <v>4345.3647516397396</v>
      </c>
    </row>
    <row r="325" spans="2:4" x14ac:dyDescent="0.25">
      <c r="B325">
        <f t="shared" ca="1" si="14"/>
        <v>42772.707172241207</v>
      </c>
      <c r="C325">
        <f t="shared" ca="1" si="12"/>
        <v>0</v>
      </c>
      <c r="D325">
        <f t="shared" ca="1" si="13"/>
        <v>2772.7071722412074</v>
      </c>
    </row>
    <row r="326" spans="2:4" x14ac:dyDescent="0.25">
      <c r="B326">
        <f t="shared" ca="1" si="14"/>
        <v>42078.075470722586</v>
      </c>
      <c r="C326">
        <f t="shared" ca="1" si="12"/>
        <v>0</v>
      </c>
      <c r="D326">
        <f t="shared" ca="1" si="13"/>
        <v>2078.075470722586</v>
      </c>
    </row>
    <row r="327" spans="2:4" x14ac:dyDescent="0.25">
      <c r="B327">
        <f t="shared" ca="1" si="14"/>
        <v>45480.477351967907</v>
      </c>
      <c r="C327">
        <f t="shared" ca="1" si="12"/>
        <v>0</v>
      </c>
      <c r="D327">
        <f t="shared" ca="1" si="13"/>
        <v>5480.4773519679075</v>
      </c>
    </row>
    <row r="328" spans="2:4" x14ac:dyDescent="0.25">
      <c r="B328">
        <f t="shared" ca="1" si="14"/>
        <v>46851.200061698371</v>
      </c>
      <c r="C328">
        <f t="shared" ca="1" si="12"/>
        <v>0</v>
      </c>
      <c r="D328">
        <f t="shared" ca="1" si="13"/>
        <v>6851.2000616983714</v>
      </c>
    </row>
    <row r="329" spans="2:4" x14ac:dyDescent="0.25">
      <c r="B329">
        <f t="shared" ca="1" si="14"/>
        <v>48123.327946393867</v>
      </c>
      <c r="C329">
        <f t="shared" ca="1" si="12"/>
        <v>0</v>
      </c>
      <c r="D329">
        <f t="shared" ca="1" si="13"/>
        <v>8123.327946393867</v>
      </c>
    </row>
    <row r="330" spans="2:4" x14ac:dyDescent="0.25">
      <c r="B330">
        <f t="shared" ca="1" si="14"/>
        <v>47303.47197689837</v>
      </c>
      <c r="C330">
        <f t="shared" ca="1" si="12"/>
        <v>0</v>
      </c>
      <c r="D330">
        <f t="shared" ca="1" si="13"/>
        <v>7303.4719768983705</v>
      </c>
    </row>
    <row r="331" spans="2:4" x14ac:dyDescent="0.25">
      <c r="B331">
        <f t="shared" ca="1" si="14"/>
        <v>46528.974220892662</v>
      </c>
      <c r="C331">
        <f t="shared" ca="1" si="12"/>
        <v>0</v>
      </c>
      <c r="D331">
        <f t="shared" ca="1" si="13"/>
        <v>6528.9742208926618</v>
      </c>
    </row>
    <row r="332" spans="2:4" x14ac:dyDescent="0.25">
      <c r="B332">
        <f t="shared" ca="1" si="14"/>
        <v>45108.531684539303</v>
      </c>
      <c r="C332">
        <f t="shared" ref="C332:C395" ca="1" si="15">IF(MAX($B$2-B332)&lt;0,0,$B$2-B332)</f>
        <v>0</v>
      </c>
      <c r="D332">
        <f t="shared" ref="D332:D395" ca="1" si="16">IF(MAX(B332-$B$2)&lt;0,0,B332-$B$2)</f>
        <v>5108.5316845393027</v>
      </c>
    </row>
    <row r="333" spans="2:4" x14ac:dyDescent="0.25">
      <c r="B333">
        <f t="shared" ref="B333:B396" ca="1" si="17">$B$1*EXP((($B$4-($B$3^2)/2)*$B$5+$B$3*SQRT($B$5)*NORMSINV(RAND())))</f>
        <v>35546.688529538682</v>
      </c>
      <c r="C333">
        <f t="shared" ca="1" si="15"/>
        <v>4453.3114704613181</v>
      </c>
      <c r="D333">
        <f t="shared" ca="1" si="16"/>
        <v>0</v>
      </c>
    </row>
    <row r="334" spans="2:4" x14ac:dyDescent="0.25">
      <c r="B334">
        <f t="shared" ca="1" si="17"/>
        <v>40269.750176958791</v>
      </c>
      <c r="C334">
        <f t="shared" ca="1" si="15"/>
        <v>0</v>
      </c>
      <c r="D334">
        <f t="shared" ca="1" si="16"/>
        <v>269.75017695879069</v>
      </c>
    </row>
    <row r="335" spans="2:4" x14ac:dyDescent="0.25">
      <c r="B335">
        <f t="shared" ca="1" si="17"/>
        <v>42625.554147450901</v>
      </c>
      <c r="C335">
        <f t="shared" ca="1" si="15"/>
        <v>0</v>
      </c>
      <c r="D335">
        <f t="shared" ca="1" si="16"/>
        <v>2625.5541474509009</v>
      </c>
    </row>
    <row r="336" spans="2:4" x14ac:dyDescent="0.25">
      <c r="B336">
        <f t="shared" ca="1" si="17"/>
        <v>54799.417905421731</v>
      </c>
      <c r="C336">
        <f t="shared" ca="1" si="15"/>
        <v>0</v>
      </c>
      <c r="D336">
        <f t="shared" ca="1" si="16"/>
        <v>14799.417905421731</v>
      </c>
    </row>
    <row r="337" spans="2:4" x14ac:dyDescent="0.25">
      <c r="B337">
        <f t="shared" ca="1" si="17"/>
        <v>44162.753810316739</v>
      </c>
      <c r="C337">
        <f t="shared" ca="1" si="15"/>
        <v>0</v>
      </c>
      <c r="D337">
        <f t="shared" ca="1" si="16"/>
        <v>4162.753810316739</v>
      </c>
    </row>
    <row r="338" spans="2:4" x14ac:dyDescent="0.25">
      <c r="B338">
        <f t="shared" ca="1" si="17"/>
        <v>42287.201916089456</v>
      </c>
      <c r="C338">
        <f t="shared" ca="1" si="15"/>
        <v>0</v>
      </c>
      <c r="D338">
        <f t="shared" ca="1" si="16"/>
        <v>2287.2019160894561</v>
      </c>
    </row>
    <row r="339" spans="2:4" x14ac:dyDescent="0.25">
      <c r="B339">
        <f t="shared" ca="1" si="17"/>
        <v>51606.20419357143</v>
      </c>
      <c r="C339">
        <f t="shared" ca="1" si="15"/>
        <v>0</v>
      </c>
      <c r="D339">
        <f t="shared" ca="1" si="16"/>
        <v>11606.20419357143</v>
      </c>
    </row>
    <row r="340" spans="2:4" x14ac:dyDescent="0.25">
      <c r="B340">
        <f t="shared" ca="1" si="17"/>
        <v>44459.547240485037</v>
      </c>
      <c r="C340">
        <f t="shared" ca="1" si="15"/>
        <v>0</v>
      </c>
      <c r="D340">
        <f t="shared" ca="1" si="16"/>
        <v>4459.547240485037</v>
      </c>
    </row>
    <row r="341" spans="2:4" x14ac:dyDescent="0.25">
      <c r="B341">
        <f t="shared" ca="1" si="17"/>
        <v>45009.989116761324</v>
      </c>
      <c r="C341">
        <f t="shared" ca="1" si="15"/>
        <v>0</v>
      </c>
      <c r="D341">
        <f t="shared" ca="1" si="16"/>
        <v>5009.9891167613241</v>
      </c>
    </row>
    <row r="342" spans="2:4" x14ac:dyDescent="0.25">
      <c r="B342">
        <f t="shared" ca="1" si="17"/>
        <v>57444.995343995142</v>
      </c>
      <c r="C342">
        <f t="shared" ca="1" si="15"/>
        <v>0</v>
      </c>
      <c r="D342">
        <f t="shared" ca="1" si="16"/>
        <v>17444.995343995142</v>
      </c>
    </row>
    <row r="343" spans="2:4" x14ac:dyDescent="0.25">
      <c r="B343">
        <f t="shared" ca="1" si="17"/>
        <v>38352.782096601615</v>
      </c>
      <c r="C343">
        <f t="shared" ca="1" si="15"/>
        <v>1647.2179033983848</v>
      </c>
      <c r="D343">
        <f t="shared" ca="1" si="16"/>
        <v>0</v>
      </c>
    </row>
    <row r="344" spans="2:4" x14ac:dyDescent="0.25">
      <c r="B344">
        <f t="shared" ca="1" si="17"/>
        <v>42300.905641536265</v>
      </c>
      <c r="C344">
        <f t="shared" ca="1" si="15"/>
        <v>0</v>
      </c>
      <c r="D344">
        <f t="shared" ca="1" si="16"/>
        <v>2300.9056415362647</v>
      </c>
    </row>
    <row r="345" spans="2:4" x14ac:dyDescent="0.25">
      <c r="B345">
        <f t="shared" ca="1" si="17"/>
        <v>45381.792582153867</v>
      </c>
      <c r="C345">
        <f t="shared" ca="1" si="15"/>
        <v>0</v>
      </c>
      <c r="D345">
        <f t="shared" ca="1" si="16"/>
        <v>5381.7925821538665</v>
      </c>
    </row>
    <row r="346" spans="2:4" x14ac:dyDescent="0.25">
      <c r="B346">
        <f t="shared" ca="1" si="17"/>
        <v>47044.204311117552</v>
      </c>
      <c r="C346">
        <f t="shared" ca="1" si="15"/>
        <v>0</v>
      </c>
      <c r="D346">
        <f t="shared" ca="1" si="16"/>
        <v>7044.2043111175517</v>
      </c>
    </row>
    <row r="347" spans="2:4" x14ac:dyDescent="0.25">
      <c r="B347">
        <f t="shared" ca="1" si="17"/>
        <v>54158.38871152568</v>
      </c>
      <c r="C347">
        <f t="shared" ca="1" si="15"/>
        <v>0</v>
      </c>
      <c r="D347">
        <f t="shared" ca="1" si="16"/>
        <v>14158.38871152568</v>
      </c>
    </row>
    <row r="348" spans="2:4" x14ac:dyDescent="0.25">
      <c r="B348">
        <f t="shared" ca="1" si="17"/>
        <v>46730.260261011455</v>
      </c>
      <c r="C348">
        <f t="shared" ca="1" si="15"/>
        <v>0</v>
      </c>
      <c r="D348">
        <f t="shared" ca="1" si="16"/>
        <v>6730.2602610114554</v>
      </c>
    </row>
    <row r="349" spans="2:4" x14ac:dyDescent="0.25">
      <c r="B349">
        <f t="shared" ca="1" si="17"/>
        <v>43266.362000268404</v>
      </c>
      <c r="C349">
        <f t="shared" ca="1" si="15"/>
        <v>0</v>
      </c>
      <c r="D349">
        <f t="shared" ca="1" si="16"/>
        <v>3266.3620002684038</v>
      </c>
    </row>
    <row r="350" spans="2:4" x14ac:dyDescent="0.25">
      <c r="B350">
        <f t="shared" ca="1" si="17"/>
        <v>43556.871233517923</v>
      </c>
      <c r="C350">
        <f t="shared" ca="1" si="15"/>
        <v>0</v>
      </c>
      <c r="D350">
        <f t="shared" ca="1" si="16"/>
        <v>3556.8712335179225</v>
      </c>
    </row>
    <row r="351" spans="2:4" x14ac:dyDescent="0.25">
      <c r="B351">
        <f t="shared" ca="1" si="17"/>
        <v>49832.470071278825</v>
      </c>
      <c r="C351">
        <f t="shared" ca="1" si="15"/>
        <v>0</v>
      </c>
      <c r="D351">
        <f t="shared" ca="1" si="16"/>
        <v>9832.4700712788253</v>
      </c>
    </row>
    <row r="352" spans="2:4" x14ac:dyDescent="0.25">
      <c r="B352">
        <f t="shared" ca="1" si="17"/>
        <v>40348.733658181831</v>
      </c>
      <c r="C352">
        <f t="shared" ca="1" si="15"/>
        <v>0</v>
      </c>
      <c r="D352">
        <f t="shared" ca="1" si="16"/>
        <v>348.73365818183083</v>
      </c>
    </row>
    <row r="353" spans="2:4" x14ac:dyDescent="0.25">
      <c r="B353">
        <f t="shared" ca="1" si="17"/>
        <v>48705.78722737544</v>
      </c>
      <c r="C353">
        <f t="shared" ca="1" si="15"/>
        <v>0</v>
      </c>
      <c r="D353">
        <f t="shared" ca="1" si="16"/>
        <v>8705.7872273754401</v>
      </c>
    </row>
    <row r="354" spans="2:4" x14ac:dyDescent="0.25">
      <c r="B354">
        <f t="shared" ca="1" si="17"/>
        <v>43535.884584638865</v>
      </c>
      <c r="C354">
        <f t="shared" ca="1" si="15"/>
        <v>0</v>
      </c>
      <c r="D354">
        <f t="shared" ca="1" si="16"/>
        <v>3535.8845846388649</v>
      </c>
    </row>
    <row r="355" spans="2:4" x14ac:dyDescent="0.25">
      <c r="B355">
        <f t="shared" ca="1" si="17"/>
        <v>49456.867528416878</v>
      </c>
      <c r="C355">
        <f t="shared" ca="1" si="15"/>
        <v>0</v>
      </c>
      <c r="D355">
        <f t="shared" ca="1" si="16"/>
        <v>9456.8675284168785</v>
      </c>
    </row>
    <row r="356" spans="2:4" x14ac:dyDescent="0.25">
      <c r="B356">
        <f t="shared" ca="1" si="17"/>
        <v>47198.778728988218</v>
      </c>
      <c r="C356">
        <f t="shared" ca="1" si="15"/>
        <v>0</v>
      </c>
      <c r="D356">
        <f t="shared" ca="1" si="16"/>
        <v>7198.7787289882181</v>
      </c>
    </row>
    <row r="357" spans="2:4" x14ac:dyDescent="0.25">
      <c r="B357">
        <f t="shared" ca="1" si="17"/>
        <v>45602.791439549081</v>
      </c>
      <c r="C357">
        <f t="shared" ca="1" si="15"/>
        <v>0</v>
      </c>
      <c r="D357">
        <f t="shared" ca="1" si="16"/>
        <v>5602.7914395490807</v>
      </c>
    </row>
    <row r="358" spans="2:4" x14ac:dyDescent="0.25">
      <c r="B358">
        <f t="shared" ca="1" si="17"/>
        <v>49562.970877373562</v>
      </c>
      <c r="C358">
        <f t="shared" ca="1" si="15"/>
        <v>0</v>
      </c>
      <c r="D358">
        <f t="shared" ca="1" si="16"/>
        <v>9562.970877373562</v>
      </c>
    </row>
    <row r="359" spans="2:4" x14ac:dyDescent="0.25">
      <c r="B359">
        <f t="shared" ca="1" si="17"/>
        <v>44640.868719869584</v>
      </c>
      <c r="C359">
        <f t="shared" ca="1" si="15"/>
        <v>0</v>
      </c>
      <c r="D359">
        <f t="shared" ca="1" si="16"/>
        <v>4640.8687198695843</v>
      </c>
    </row>
    <row r="360" spans="2:4" x14ac:dyDescent="0.25">
      <c r="B360">
        <f t="shared" ca="1" si="17"/>
        <v>47210.153881426071</v>
      </c>
      <c r="C360">
        <f t="shared" ca="1" si="15"/>
        <v>0</v>
      </c>
      <c r="D360">
        <f t="shared" ca="1" si="16"/>
        <v>7210.1538814260712</v>
      </c>
    </row>
    <row r="361" spans="2:4" x14ac:dyDescent="0.25">
      <c r="B361">
        <f t="shared" ca="1" si="17"/>
        <v>52526.451177350282</v>
      </c>
      <c r="C361">
        <f t="shared" ca="1" si="15"/>
        <v>0</v>
      </c>
      <c r="D361">
        <f t="shared" ca="1" si="16"/>
        <v>12526.451177350282</v>
      </c>
    </row>
    <row r="362" spans="2:4" x14ac:dyDescent="0.25">
      <c r="B362">
        <f t="shared" ca="1" si="17"/>
        <v>44327.987374768978</v>
      </c>
      <c r="C362">
        <f t="shared" ca="1" si="15"/>
        <v>0</v>
      </c>
      <c r="D362">
        <f t="shared" ca="1" si="16"/>
        <v>4327.987374768978</v>
      </c>
    </row>
    <row r="363" spans="2:4" x14ac:dyDescent="0.25">
      <c r="B363">
        <f t="shared" ca="1" si="17"/>
        <v>43945.737939794642</v>
      </c>
      <c r="C363">
        <f t="shared" ca="1" si="15"/>
        <v>0</v>
      </c>
      <c r="D363">
        <f t="shared" ca="1" si="16"/>
        <v>3945.7379397946424</v>
      </c>
    </row>
    <row r="364" spans="2:4" x14ac:dyDescent="0.25">
      <c r="B364">
        <f t="shared" ca="1" si="17"/>
        <v>53314.799489084398</v>
      </c>
      <c r="C364">
        <f t="shared" ca="1" si="15"/>
        <v>0</v>
      </c>
      <c r="D364">
        <f t="shared" ca="1" si="16"/>
        <v>13314.799489084398</v>
      </c>
    </row>
    <row r="365" spans="2:4" x14ac:dyDescent="0.25">
      <c r="B365">
        <f t="shared" ca="1" si="17"/>
        <v>39385.315512409608</v>
      </c>
      <c r="C365">
        <f t="shared" ca="1" si="15"/>
        <v>614.68448759039165</v>
      </c>
      <c r="D365">
        <f t="shared" ca="1" si="16"/>
        <v>0</v>
      </c>
    </row>
    <row r="366" spans="2:4" x14ac:dyDescent="0.25">
      <c r="B366">
        <f t="shared" ca="1" si="17"/>
        <v>47431.735140334749</v>
      </c>
      <c r="C366">
        <f t="shared" ca="1" si="15"/>
        <v>0</v>
      </c>
      <c r="D366">
        <f t="shared" ca="1" si="16"/>
        <v>7431.7351403347493</v>
      </c>
    </row>
    <row r="367" spans="2:4" x14ac:dyDescent="0.25">
      <c r="B367">
        <f t="shared" ca="1" si="17"/>
        <v>52095.649517905695</v>
      </c>
      <c r="C367">
        <f t="shared" ca="1" si="15"/>
        <v>0</v>
      </c>
      <c r="D367">
        <f t="shared" ca="1" si="16"/>
        <v>12095.649517905695</v>
      </c>
    </row>
    <row r="368" spans="2:4" x14ac:dyDescent="0.25">
      <c r="B368">
        <f t="shared" ca="1" si="17"/>
        <v>49609.577336419192</v>
      </c>
      <c r="C368">
        <f t="shared" ca="1" si="15"/>
        <v>0</v>
      </c>
      <c r="D368">
        <f t="shared" ca="1" si="16"/>
        <v>9609.5773364191919</v>
      </c>
    </row>
    <row r="369" spans="2:4" x14ac:dyDescent="0.25">
      <c r="B369">
        <f t="shared" ca="1" si="17"/>
        <v>40929.259051390291</v>
      </c>
      <c r="C369">
        <f t="shared" ca="1" si="15"/>
        <v>0</v>
      </c>
      <c r="D369">
        <f t="shared" ca="1" si="16"/>
        <v>929.25905139029055</v>
      </c>
    </row>
    <row r="370" spans="2:4" x14ac:dyDescent="0.25">
      <c r="B370">
        <f t="shared" ca="1" si="17"/>
        <v>54373.775096958627</v>
      </c>
      <c r="C370">
        <f t="shared" ca="1" si="15"/>
        <v>0</v>
      </c>
      <c r="D370">
        <f t="shared" ca="1" si="16"/>
        <v>14373.775096958627</v>
      </c>
    </row>
    <row r="371" spans="2:4" x14ac:dyDescent="0.25">
      <c r="B371">
        <f t="shared" ca="1" si="17"/>
        <v>46031.917060555046</v>
      </c>
      <c r="C371">
        <f t="shared" ca="1" si="15"/>
        <v>0</v>
      </c>
      <c r="D371">
        <f t="shared" ca="1" si="16"/>
        <v>6031.9170605550462</v>
      </c>
    </row>
    <row r="372" spans="2:4" x14ac:dyDescent="0.25">
      <c r="B372">
        <f t="shared" ca="1" si="17"/>
        <v>39307.796044101393</v>
      </c>
      <c r="C372">
        <f t="shared" ca="1" si="15"/>
        <v>692.20395589860709</v>
      </c>
      <c r="D372">
        <f t="shared" ca="1" si="16"/>
        <v>0</v>
      </c>
    </row>
    <row r="373" spans="2:4" x14ac:dyDescent="0.25">
      <c r="B373">
        <f t="shared" ca="1" si="17"/>
        <v>51065.338129469485</v>
      </c>
      <c r="C373">
        <f t="shared" ca="1" si="15"/>
        <v>0</v>
      </c>
      <c r="D373">
        <f t="shared" ca="1" si="16"/>
        <v>11065.338129469485</v>
      </c>
    </row>
    <row r="374" spans="2:4" x14ac:dyDescent="0.25">
      <c r="B374">
        <f t="shared" ca="1" si="17"/>
        <v>40406.664835633608</v>
      </c>
      <c r="C374">
        <f t="shared" ca="1" si="15"/>
        <v>0</v>
      </c>
      <c r="D374">
        <f t="shared" ca="1" si="16"/>
        <v>406.66483563360816</v>
      </c>
    </row>
    <row r="375" spans="2:4" x14ac:dyDescent="0.25">
      <c r="B375">
        <f t="shared" ca="1" si="17"/>
        <v>44921.432683243824</v>
      </c>
      <c r="C375">
        <f t="shared" ca="1" si="15"/>
        <v>0</v>
      </c>
      <c r="D375">
        <f t="shared" ca="1" si="16"/>
        <v>4921.4326832438237</v>
      </c>
    </row>
    <row r="376" spans="2:4" x14ac:dyDescent="0.25">
      <c r="B376">
        <f t="shared" ca="1" si="17"/>
        <v>45343.924914211195</v>
      </c>
      <c r="C376">
        <f t="shared" ca="1" si="15"/>
        <v>0</v>
      </c>
      <c r="D376">
        <f t="shared" ca="1" si="16"/>
        <v>5343.9249142111948</v>
      </c>
    </row>
    <row r="377" spans="2:4" x14ac:dyDescent="0.25">
      <c r="B377">
        <f t="shared" ca="1" si="17"/>
        <v>41176.797314282012</v>
      </c>
      <c r="C377">
        <f t="shared" ca="1" si="15"/>
        <v>0</v>
      </c>
      <c r="D377">
        <f t="shared" ca="1" si="16"/>
        <v>1176.7973142820119</v>
      </c>
    </row>
    <row r="378" spans="2:4" x14ac:dyDescent="0.25">
      <c r="B378">
        <f t="shared" ca="1" si="17"/>
        <v>38724.57996505659</v>
      </c>
      <c r="C378">
        <f t="shared" ca="1" si="15"/>
        <v>1275.4200349434104</v>
      </c>
      <c r="D378">
        <f t="shared" ca="1" si="16"/>
        <v>0</v>
      </c>
    </row>
    <row r="379" spans="2:4" x14ac:dyDescent="0.25">
      <c r="B379">
        <f t="shared" ca="1" si="17"/>
        <v>37912.212377315962</v>
      </c>
      <c r="C379">
        <f t="shared" ca="1" si="15"/>
        <v>2087.7876226840381</v>
      </c>
      <c r="D379">
        <f t="shared" ca="1" si="16"/>
        <v>0</v>
      </c>
    </row>
    <row r="380" spans="2:4" x14ac:dyDescent="0.25">
      <c r="B380">
        <f t="shared" ca="1" si="17"/>
        <v>39936.880636564427</v>
      </c>
      <c r="C380">
        <f t="shared" ca="1" si="15"/>
        <v>63.119363435573177</v>
      </c>
      <c r="D380">
        <f t="shared" ca="1" si="16"/>
        <v>0</v>
      </c>
    </row>
    <row r="381" spans="2:4" x14ac:dyDescent="0.25">
      <c r="B381">
        <f t="shared" ca="1" si="17"/>
        <v>44743.248548714924</v>
      </c>
      <c r="C381">
        <f t="shared" ca="1" si="15"/>
        <v>0</v>
      </c>
      <c r="D381">
        <f t="shared" ca="1" si="16"/>
        <v>4743.2485487149243</v>
      </c>
    </row>
    <row r="382" spans="2:4" x14ac:dyDescent="0.25">
      <c r="B382">
        <f t="shared" ca="1" si="17"/>
        <v>39512.844660997449</v>
      </c>
      <c r="C382">
        <f t="shared" ca="1" si="15"/>
        <v>487.15533900255105</v>
      </c>
      <c r="D382">
        <f t="shared" ca="1" si="16"/>
        <v>0</v>
      </c>
    </row>
    <row r="383" spans="2:4" x14ac:dyDescent="0.25">
      <c r="B383">
        <f t="shared" ca="1" si="17"/>
        <v>45132.221468809461</v>
      </c>
      <c r="C383">
        <f t="shared" ca="1" si="15"/>
        <v>0</v>
      </c>
      <c r="D383">
        <f t="shared" ca="1" si="16"/>
        <v>5132.2214688094609</v>
      </c>
    </row>
    <row r="384" spans="2:4" x14ac:dyDescent="0.25">
      <c r="B384">
        <f t="shared" ca="1" si="17"/>
        <v>46075.354375626121</v>
      </c>
      <c r="C384">
        <f t="shared" ca="1" si="15"/>
        <v>0</v>
      </c>
      <c r="D384">
        <f t="shared" ca="1" si="16"/>
        <v>6075.3543756261206</v>
      </c>
    </row>
    <row r="385" spans="2:4" x14ac:dyDescent="0.25">
      <c r="B385">
        <f t="shared" ca="1" si="17"/>
        <v>45836.819215483571</v>
      </c>
      <c r="C385">
        <f t="shared" ca="1" si="15"/>
        <v>0</v>
      </c>
      <c r="D385">
        <f t="shared" ca="1" si="16"/>
        <v>5836.8192154835706</v>
      </c>
    </row>
    <row r="386" spans="2:4" x14ac:dyDescent="0.25">
      <c r="B386">
        <f t="shared" ca="1" si="17"/>
        <v>46233.893630507933</v>
      </c>
      <c r="C386">
        <f t="shared" ca="1" si="15"/>
        <v>0</v>
      </c>
      <c r="D386">
        <f t="shared" ca="1" si="16"/>
        <v>6233.8936305079333</v>
      </c>
    </row>
    <row r="387" spans="2:4" x14ac:dyDescent="0.25">
      <c r="B387">
        <f t="shared" ca="1" si="17"/>
        <v>40136.024671062005</v>
      </c>
      <c r="C387">
        <f t="shared" ca="1" si="15"/>
        <v>0</v>
      </c>
      <c r="D387">
        <f t="shared" ca="1" si="16"/>
        <v>136.02467106200493</v>
      </c>
    </row>
    <row r="388" spans="2:4" x14ac:dyDescent="0.25">
      <c r="B388">
        <f t="shared" ca="1" si="17"/>
        <v>46447.962097946765</v>
      </c>
      <c r="C388">
        <f t="shared" ca="1" si="15"/>
        <v>0</v>
      </c>
      <c r="D388">
        <f t="shared" ca="1" si="16"/>
        <v>6447.9620979467654</v>
      </c>
    </row>
    <row r="389" spans="2:4" x14ac:dyDescent="0.25">
      <c r="B389">
        <f t="shared" ca="1" si="17"/>
        <v>46449.726635874016</v>
      </c>
      <c r="C389">
        <f t="shared" ca="1" si="15"/>
        <v>0</v>
      </c>
      <c r="D389">
        <f t="shared" ca="1" si="16"/>
        <v>6449.7266358740162</v>
      </c>
    </row>
    <row r="390" spans="2:4" x14ac:dyDescent="0.25">
      <c r="B390">
        <f t="shared" ca="1" si="17"/>
        <v>50593.103181664032</v>
      </c>
      <c r="C390">
        <f t="shared" ca="1" si="15"/>
        <v>0</v>
      </c>
      <c r="D390">
        <f t="shared" ca="1" si="16"/>
        <v>10593.103181664032</v>
      </c>
    </row>
    <row r="391" spans="2:4" x14ac:dyDescent="0.25">
      <c r="B391">
        <f t="shared" ca="1" si="17"/>
        <v>51158.906649419405</v>
      </c>
      <c r="C391">
        <f t="shared" ca="1" si="15"/>
        <v>0</v>
      </c>
      <c r="D391">
        <f t="shared" ca="1" si="16"/>
        <v>11158.906649419405</v>
      </c>
    </row>
    <row r="392" spans="2:4" x14ac:dyDescent="0.25">
      <c r="B392">
        <f t="shared" ca="1" si="17"/>
        <v>38436.740650938882</v>
      </c>
      <c r="C392">
        <f t="shared" ca="1" si="15"/>
        <v>1563.259349061118</v>
      </c>
      <c r="D392">
        <f t="shared" ca="1" si="16"/>
        <v>0</v>
      </c>
    </row>
    <row r="393" spans="2:4" x14ac:dyDescent="0.25">
      <c r="B393">
        <f t="shared" ca="1" si="17"/>
        <v>49987.817603814525</v>
      </c>
      <c r="C393">
        <f t="shared" ca="1" si="15"/>
        <v>0</v>
      </c>
      <c r="D393">
        <f t="shared" ca="1" si="16"/>
        <v>9987.8176038145248</v>
      </c>
    </row>
    <row r="394" spans="2:4" x14ac:dyDescent="0.25">
      <c r="B394">
        <f t="shared" ca="1" si="17"/>
        <v>49804.763663972233</v>
      </c>
      <c r="C394">
        <f t="shared" ca="1" si="15"/>
        <v>0</v>
      </c>
      <c r="D394">
        <f t="shared" ca="1" si="16"/>
        <v>9804.7636639722332</v>
      </c>
    </row>
    <row r="395" spans="2:4" x14ac:dyDescent="0.25">
      <c r="B395">
        <f t="shared" ca="1" si="17"/>
        <v>47027.719124780473</v>
      </c>
      <c r="C395">
        <f t="shared" ca="1" si="15"/>
        <v>0</v>
      </c>
      <c r="D395">
        <f t="shared" ca="1" si="16"/>
        <v>7027.7191247804731</v>
      </c>
    </row>
    <row r="396" spans="2:4" x14ac:dyDescent="0.25">
      <c r="B396">
        <f t="shared" ca="1" si="17"/>
        <v>46679.396500942385</v>
      </c>
      <c r="C396">
        <f t="shared" ref="C396:C459" ca="1" si="18">IF(MAX($B$2-B396)&lt;0,0,$B$2-B396)</f>
        <v>0</v>
      </c>
      <c r="D396">
        <f t="shared" ref="D396:D459" ca="1" si="19">IF(MAX(B396-$B$2)&lt;0,0,B396-$B$2)</f>
        <v>6679.3965009423846</v>
      </c>
    </row>
    <row r="397" spans="2:4" x14ac:dyDescent="0.25">
      <c r="B397">
        <f t="shared" ref="B397:B460" ca="1" si="20">$B$1*EXP((($B$4-($B$3^2)/2)*$B$5+$B$3*SQRT($B$5)*NORMSINV(RAND())))</f>
        <v>51171.965038778631</v>
      </c>
      <c r="C397">
        <f t="shared" ca="1" si="18"/>
        <v>0</v>
      </c>
      <c r="D397">
        <f t="shared" ca="1" si="19"/>
        <v>11171.965038778631</v>
      </c>
    </row>
    <row r="398" spans="2:4" x14ac:dyDescent="0.25">
      <c r="B398">
        <f t="shared" ca="1" si="20"/>
        <v>42181.802756398305</v>
      </c>
      <c r="C398">
        <f t="shared" ca="1" si="18"/>
        <v>0</v>
      </c>
      <c r="D398">
        <f t="shared" ca="1" si="19"/>
        <v>2181.8027563983051</v>
      </c>
    </row>
    <row r="399" spans="2:4" x14ac:dyDescent="0.25">
      <c r="B399">
        <f t="shared" ca="1" si="20"/>
        <v>53455.907250318087</v>
      </c>
      <c r="C399">
        <f t="shared" ca="1" si="18"/>
        <v>0</v>
      </c>
      <c r="D399">
        <f t="shared" ca="1" si="19"/>
        <v>13455.907250318087</v>
      </c>
    </row>
    <row r="400" spans="2:4" x14ac:dyDescent="0.25">
      <c r="B400">
        <f t="shared" ca="1" si="20"/>
        <v>47924.583785324176</v>
      </c>
      <c r="C400">
        <f t="shared" ca="1" si="18"/>
        <v>0</v>
      </c>
      <c r="D400">
        <f t="shared" ca="1" si="19"/>
        <v>7924.5837853241756</v>
      </c>
    </row>
    <row r="401" spans="2:4" x14ac:dyDescent="0.25">
      <c r="B401">
        <f t="shared" ca="1" si="20"/>
        <v>39290.550643358969</v>
      </c>
      <c r="C401">
        <f t="shared" ca="1" si="18"/>
        <v>709.44935664103105</v>
      </c>
      <c r="D401">
        <f t="shared" ca="1" si="19"/>
        <v>0</v>
      </c>
    </row>
    <row r="402" spans="2:4" x14ac:dyDescent="0.25">
      <c r="B402">
        <f t="shared" ca="1" si="20"/>
        <v>40019.784889816736</v>
      </c>
      <c r="C402">
        <f t="shared" ca="1" si="18"/>
        <v>0</v>
      </c>
      <c r="D402">
        <f t="shared" ca="1" si="19"/>
        <v>19.784889816735813</v>
      </c>
    </row>
    <row r="403" spans="2:4" x14ac:dyDescent="0.25">
      <c r="B403">
        <f t="shared" ca="1" si="20"/>
        <v>63087.824954303112</v>
      </c>
      <c r="C403">
        <f t="shared" ca="1" si="18"/>
        <v>0</v>
      </c>
      <c r="D403">
        <f t="shared" ca="1" si="19"/>
        <v>23087.824954303112</v>
      </c>
    </row>
    <row r="404" spans="2:4" x14ac:dyDescent="0.25">
      <c r="B404">
        <f t="shared" ca="1" si="20"/>
        <v>41740.84193281045</v>
      </c>
      <c r="C404">
        <f t="shared" ca="1" si="18"/>
        <v>0</v>
      </c>
      <c r="D404">
        <f t="shared" ca="1" si="19"/>
        <v>1740.8419328104501</v>
      </c>
    </row>
    <row r="405" spans="2:4" x14ac:dyDescent="0.25">
      <c r="B405">
        <f t="shared" ca="1" si="20"/>
        <v>42069.60036099008</v>
      </c>
      <c r="C405">
        <f t="shared" ca="1" si="18"/>
        <v>0</v>
      </c>
      <c r="D405">
        <f t="shared" ca="1" si="19"/>
        <v>2069.6003609900799</v>
      </c>
    </row>
    <row r="406" spans="2:4" x14ac:dyDescent="0.25">
      <c r="B406">
        <f t="shared" ca="1" si="20"/>
        <v>45210.326765336766</v>
      </c>
      <c r="C406">
        <f t="shared" ca="1" si="18"/>
        <v>0</v>
      </c>
      <c r="D406">
        <f t="shared" ca="1" si="19"/>
        <v>5210.3267653367657</v>
      </c>
    </row>
    <row r="407" spans="2:4" x14ac:dyDescent="0.25">
      <c r="B407">
        <f t="shared" ca="1" si="20"/>
        <v>46887.409277806531</v>
      </c>
      <c r="C407">
        <f t="shared" ca="1" si="18"/>
        <v>0</v>
      </c>
      <c r="D407">
        <f t="shared" ca="1" si="19"/>
        <v>6887.4092778065315</v>
      </c>
    </row>
    <row r="408" spans="2:4" x14ac:dyDescent="0.25">
      <c r="B408">
        <f t="shared" ca="1" si="20"/>
        <v>36838.943991382628</v>
      </c>
      <c r="C408">
        <f t="shared" ca="1" si="18"/>
        <v>3161.0560086173718</v>
      </c>
      <c r="D408">
        <f t="shared" ca="1" si="19"/>
        <v>0</v>
      </c>
    </row>
    <row r="409" spans="2:4" x14ac:dyDescent="0.25">
      <c r="B409">
        <f t="shared" ca="1" si="20"/>
        <v>49381.322269262586</v>
      </c>
      <c r="C409">
        <f t="shared" ca="1" si="18"/>
        <v>0</v>
      </c>
      <c r="D409">
        <f t="shared" ca="1" si="19"/>
        <v>9381.3222692625859</v>
      </c>
    </row>
    <row r="410" spans="2:4" x14ac:dyDescent="0.25">
      <c r="B410">
        <f t="shared" ca="1" si="20"/>
        <v>43999.827074175242</v>
      </c>
      <c r="C410">
        <f t="shared" ca="1" si="18"/>
        <v>0</v>
      </c>
      <c r="D410">
        <f t="shared" ca="1" si="19"/>
        <v>3999.8270741752422</v>
      </c>
    </row>
    <row r="411" spans="2:4" x14ac:dyDescent="0.25">
      <c r="B411">
        <f t="shared" ca="1" si="20"/>
        <v>46519.527376157399</v>
      </c>
      <c r="C411">
        <f t="shared" ca="1" si="18"/>
        <v>0</v>
      </c>
      <c r="D411">
        <f t="shared" ca="1" si="19"/>
        <v>6519.527376157399</v>
      </c>
    </row>
    <row r="412" spans="2:4" x14ac:dyDescent="0.25">
      <c r="B412">
        <f t="shared" ca="1" si="20"/>
        <v>42105.781583474374</v>
      </c>
      <c r="C412">
        <f t="shared" ca="1" si="18"/>
        <v>0</v>
      </c>
      <c r="D412">
        <f t="shared" ca="1" si="19"/>
        <v>2105.7815834743742</v>
      </c>
    </row>
    <row r="413" spans="2:4" x14ac:dyDescent="0.25">
      <c r="B413">
        <f t="shared" ca="1" si="20"/>
        <v>39403.382376032045</v>
      </c>
      <c r="C413">
        <f t="shared" ca="1" si="18"/>
        <v>596.6176239679553</v>
      </c>
      <c r="D413">
        <f t="shared" ca="1" si="19"/>
        <v>0</v>
      </c>
    </row>
    <row r="414" spans="2:4" x14ac:dyDescent="0.25">
      <c r="B414">
        <f t="shared" ca="1" si="20"/>
        <v>48767.163703020233</v>
      </c>
      <c r="C414">
        <f t="shared" ca="1" si="18"/>
        <v>0</v>
      </c>
      <c r="D414">
        <f t="shared" ca="1" si="19"/>
        <v>8767.1637030202328</v>
      </c>
    </row>
    <row r="415" spans="2:4" x14ac:dyDescent="0.25">
      <c r="B415">
        <f t="shared" ca="1" si="20"/>
        <v>48281.150627767944</v>
      </c>
      <c r="C415">
        <f t="shared" ca="1" si="18"/>
        <v>0</v>
      </c>
      <c r="D415">
        <f t="shared" ca="1" si="19"/>
        <v>8281.1506277679437</v>
      </c>
    </row>
    <row r="416" spans="2:4" x14ac:dyDescent="0.25">
      <c r="B416">
        <f t="shared" ca="1" si="20"/>
        <v>47629.20667409907</v>
      </c>
      <c r="C416">
        <f t="shared" ca="1" si="18"/>
        <v>0</v>
      </c>
      <c r="D416">
        <f t="shared" ca="1" si="19"/>
        <v>7629.2066740990704</v>
      </c>
    </row>
    <row r="417" spans="2:4" x14ac:dyDescent="0.25">
      <c r="B417">
        <f t="shared" ca="1" si="20"/>
        <v>41897.197755675763</v>
      </c>
      <c r="C417">
        <f t="shared" ca="1" si="18"/>
        <v>0</v>
      </c>
      <c r="D417">
        <f t="shared" ca="1" si="19"/>
        <v>1897.1977556757629</v>
      </c>
    </row>
    <row r="418" spans="2:4" x14ac:dyDescent="0.25">
      <c r="B418">
        <f t="shared" ca="1" si="20"/>
        <v>48550.621229367978</v>
      </c>
      <c r="C418">
        <f t="shared" ca="1" si="18"/>
        <v>0</v>
      </c>
      <c r="D418">
        <f t="shared" ca="1" si="19"/>
        <v>8550.6212293679782</v>
      </c>
    </row>
    <row r="419" spans="2:4" x14ac:dyDescent="0.25">
      <c r="B419">
        <f t="shared" ca="1" si="20"/>
        <v>44110.800231413137</v>
      </c>
      <c r="C419">
        <f t="shared" ca="1" si="18"/>
        <v>0</v>
      </c>
      <c r="D419">
        <f t="shared" ca="1" si="19"/>
        <v>4110.8002314131372</v>
      </c>
    </row>
    <row r="420" spans="2:4" x14ac:dyDescent="0.25">
      <c r="B420">
        <f t="shared" ca="1" si="20"/>
        <v>41485.924909385009</v>
      </c>
      <c r="C420">
        <f t="shared" ca="1" si="18"/>
        <v>0</v>
      </c>
      <c r="D420">
        <f t="shared" ca="1" si="19"/>
        <v>1485.9249093850085</v>
      </c>
    </row>
    <row r="421" spans="2:4" x14ac:dyDescent="0.25">
      <c r="B421">
        <f t="shared" ca="1" si="20"/>
        <v>49951.734664672134</v>
      </c>
      <c r="C421">
        <f t="shared" ca="1" si="18"/>
        <v>0</v>
      </c>
      <c r="D421">
        <f t="shared" ca="1" si="19"/>
        <v>9951.7346646721344</v>
      </c>
    </row>
    <row r="422" spans="2:4" x14ac:dyDescent="0.25">
      <c r="B422">
        <f t="shared" ca="1" si="20"/>
        <v>51295.51382003184</v>
      </c>
      <c r="C422">
        <f t="shared" ca="1" si="18"/>
        <v>0</v>
      </c>
      <c r="D422">
        <f t="shared" ca="1" si="19"/>
        <v>11295.51382003184</v>
      </c>
    </row>
    <row r="423" spans="2:4" x14ac:dyDescent="0.25">
      <c r="B423">
        <f t="shared" ca="1" si="20"/>
        <v>44300.830838002592</v>
      </c>
      <c r="C423">
        <f t="shared" ca="1" si="18"/>
        <v>0</v>
      </c>
      <c r="D423">
        <f t="shared" ca="1" si="19"/>
        <v>4300.8308380025919</v>
      </c>
    </row>
    <row r="424" spans="2:4" x14ac:dyDescent="0.25">
      <c r="B424">
        <f t="shared" ca="1" si="20"/>
        <v>44086.048443839572</v>
      </c>
      <c r="C424">
        <f t="shared" ca="1" si="18"/>
        <v>0</v>
      </c>
      <c r="D424">
        <f t="shared" ca="1" si="19"/>
        <v>4086.0484438395724</v>
      </c>
    </row>
    <row r="425" spans="2:4" x14ac:dyDescent="0.25">
      <c r="B425">
        <f t="shared" ca="1" si="20"/>
        <v>47925.724957305472</v>
      </c>
      <c r="C425">
        <f t="shared" ca="1" si="18"/>
        <v>0</v>
      </c>
      <c r="D425">
        <f t="shared" ca="1" si="19"/>
        <v>7925.7249573054723</v>
      </c>
    </row>
    <row r="426" spans="2:4" x14ac:dyDescent="0.25">
      <c r="B426">
        <f t="shared" ca="1" si="20"/>
        <v>38581.047522665918</v>
      </c>
      <c r="C426">
        <f t="shared" ca="1" si="18"/>
        <v>1418.9524773340818</v>
      </c>
      <c r="D426">
        <f t="shared" ca="1" si="19"/>
        <v>0</v>
      </c>
    </row>
    <row r="427" spans="2:4" x14ac:dyDescent="0.25">
      <c r="B427">
        <f t="shared" ca="1" si="20"/>
        <v>39840.959669366872</v>
      </c>
      <c r="C427">
        <f t="shared" ca="1" si="18"/>
        <v>159.04033063312818</v>
      </c>
      <c r="D427">
        <f t="shared" ca="1" si="19"/>
        <v>0</v>
      </c>
    </row>
    <row r="428" spans="2:4" x14ac:dyDescent="0.25">
      <c r="B428">
        <f t="shared" ca="1" si="20"/>
        <v>47447.593375468416</v>
      </c>
      <c r="C428">
        <f t="shared" ca="1" si="18"/>
        <v>0</v>
      </c>
      <c r="D428">
        <f t="shared" ca="1" si="19"/>
        <v>7447.5933754684156</v>
      </c>
    </row>
    <row r="429" spans="2:4" x14ac:dyDescent="0.25">
      <c r="B429">
        <f t="shared" ca="1" si="20"/>
        <v>37766.942162791405</v>
      </c>
      <c r="C429">
        <f t="shared" ca="1" si="18"/>
        <v>2233.0578372085947</v>
      </c>
      <c r="D429">
        <f t="shared" ca="1" si="19"/>
        <v>0</v>
      </c>
    </row>
    <row r="430" spans="2:4" x14ac:dyDescent="0.25">
      <c r="B430">
        <f t="shared" ca="1" si="20"/>
        <v>45522.559257705754</v>
      </c>
      <c r="C430">
        <f t="shared" ca="1" si="18"/>
        <v>0</v>
      </c>
      <c r="D430">
        <f t="shared" ca="1" si="19"/>
        <v>5522.5592577057541</v>
      </c>
    </row>
    <row r="431" spans="2:4" x14ac:dyDescent="0.25">
      <c r="B431">
        <f t="shared" ca="1" si="20"/>
        <v>44792.642213666593</v>
      </c>
      <c r="C431">
        <f t="shared" ca="1" si="18"/>
        <v>0</v>
      </c>
      <c r="D431">
        <f t="shared" ca="1" si="19"/>
        <v>4792.6422136665933</v>
      </c>
    </row>
    <row r="432" spans="2:4" x14ac:dyDescent="0.25">
      <c r="B432">
        <f t="shared" ca="1" si="20"/>
        <v>43109.399419923888</v>
      </c>
      <c r="C432">
        <f t="shared" ca="1" si="18"/>
        <v>0</v>
      </c>
      <c r="D432">
        <f t="shared" ca="1" si="19"/>
        <v>3109.3994199238878</v>
      </c>
    </row>
    <row r="433" spans="2:4" x14ac:dyDescent="0.25">
      <c r="B433">
        <f t="shared" ca="1" si="20"/>
        <v>38890.142038625767</v>
      </c>
      <c r="C433">
        <f t="shared" ca="1" si="18"/>
        <v>1109.8579613742331</v>
      </c>
      <c r="D433">
        <f t="shared" ca="1" si="19"/>
        <v>0</v>
      </c>
    </row>
    <row r="434" spans="2:4" x14ac:dyDescent="0.25">
      <c r="B434">
        <f t="shared" ca="1" si="20"/>
        <v>46905.566320044716</v>
      </c>
      <c r="C434">
        <f t="shared" ca="1" si="18"/>
        <v>0</v>
      </c>
      <c r="D434">
        <f t="shared" ca="1" si="19"/>
        <v>6905.5663200447161</v>
      </c>
    </row>
    <row r="435" spans="2:4" x14ac:dyDescent="0.25">
      <c r="B435">
        <f t="shared" ca="1" si="20"/>
        <v>40428.595996520853</v>
      </c>
      <c r="C435">
        <f t="shared" ca="1" si="18"/>
        <v>0</v>
      </c>
      <c r="D435">
        <f t="shared" ca="1" si="19"/>
        <v>428.59599652085308</v>
      </c>
    </row>
    <row r="436" spans="2:4" x14ac:dyDescent="0.25">
      <c r="B436">
        <f t="shared" ca="1" si="20"/>
        <v>48543.566324002284</v>
      </c>
      <c r="C436">
        <f t="shared" ca="1" si="18"/>
        <v>0</v>
      </c>
      <c r="D436">
        <f t="shared" ca="1" si="19"/>
        <v>8543.5663240022841</v>
      </c>
    </row>
    <row r="437" spans="2:4" x14ac:dyDescent="0.25">
      <c r="B437">
        <f t="shared" ca="1" si="20"/>
        <v>40769.677027374477</v>
      </c>
      <c r="C437">
        <f t="shared" ca="1" si="18"/>
        <v>0</v>
      </c>
      <c r="D437">
        <f t="shared" ca="1" si="19"/>
        <v>769.67702737447689</v>
      </c>
    </row>
    <row r="438" spans="2:4" x14ac:dyDescent="0.25">
      <c r="B438">
        <f t="shared" ca="1" si="20"/>
        <v>40280.616579037094</v>
      </c>
      <c r="C438">
        <f t="shared" ca="1" si="18"/>
        <v>0</v>
      </c>
      <c r="D438">
        <f t="shared" ca="1" si="19"/>
        <v>280.6165790370942</v>
      </c>
    </row>
    <row r="439" spans="2:4" x14ac:dyDescent="0.25">
      <c r="B439">
        <f t="shared" ca="1" si="20"/>
        <v>46897.65119632506</v>
      </c>
      <c r="C439">
        <f t="shared" ca="1" si="18"/>
        <v>0</v>
      </c>
      <c r="D439">
        <f t="shared" ca="1" si="19"/>
        <v>6897.6511963250596</v>
      </c>
    </row>
    <row r="440" spans="2:4" x14ac:dyDescent="0.25">
      <c r="B440">
        <f t="shared" ca="1" si="20"/>
        <v>50581.462632688999</v>
      </c>
      <c r="C440">
        <f t="shared" ca="1" si="18"/>
        <v>0</v>
      </c>
      <c r="D440">
        <f t="shared" ca="1" si="19"/>
        <v>10581.462632688999</v>
      </c>
    </row>
    <row r="441" spans="2:4" x14ac:dyDescent="0.25">
      <c r="B441">
        <f t="shared" ca="1" si="20"/>
        <v>44584.459998501225</v>
      </c>
      <c r="C441">
        <f t="shared" ca="1" si="18"/>
        <v>0</v>
      </c>
      <c r="D441">
        <f t="shared" ca="1" si="19"/>
        <v>4584.4599985012246</v>
      </c>
    </row>
    <row r="442" spans="2:4" x14ac:dyDescent="0.25">
      <c r="B442">
        <f t="shared" ca="1" si="20"/>
        <v>37232.916072861539</v>
      </c>
      <c r="C442">
        <f t="shared" ca="1" si="18"/>
        <v>2767.0839271384611</v>
      </c>
      <c r="D442">
        <f t="shared" ca="1" si="19"/>
        <v>0</v>
      </c>
    </row>
    <row r="443" spans="2:4" x14ac:dyDescent="0.25">
      <c r="B443">
        <f t="shared" ca="1" si="20"/>
        <v>51334.122499636745</v>
      </c>
      <c r="C443">
        <f t="shared" ca="1" si="18"/>
        <v>0</v>
      </c>
      <c r="D443">
        <f t="shared" ca="1" si="19"/>
        <v>11334.122499636745</v>
      </c>
    </row>
    <row r="444" spans="2:4" x14ac:dyDescent="0.25">
      <c r="B444">
        <f t="shared" ca="1" si="20"/>
        <v>43837.669457915588</v>
      </c>
      <c r="C444">
        <f t="shared" ca="1" si="18"/>
        <v>0</v>
      </c>
      <c r="D444">
        <f t="shared" ca="1" si="19"/>
        <v>3837.6694579155883</v>
      </c>
    </row>
    <row r="445" spans="2:4" x14ac:dyDescent="0.25">
      <c r="B445">
        <f t="shared" ca="1" si="20"/>
        <v>47438.686089303541</v>
      </c>
      <c r="C445">
        <f t="shared" ca="1" si="18"/>
        <v>0</v>
      </c>
      <c r="D445">
        <f t="shared" ca="1" si="19"/>
        <v>7438.6860893035409</v>
      </c>
    </row>
    <row r="446" spans="2:4" x14ac:dyDescent="0.25">
      <c r="B446">
        <f t="shared" ca="1" si="20"/>
        <v>49648.718972647162</v>
      </c>
      <c r="C446">
        <f t="shared" ca="1" si="18"/>
        <v>0</v>
      </c>
      <c r="D446">
        <f t="shared" ca="1" si="19"/>
        <v>9648.7189726471624</v>
      </c>
    </row>
    <row r="447" spans="2:4" x14ac:dyDescent="0.25">
      <c r="B447">
        <f t="shared" ca="1" si="20"/>
        <v>36891.470372751479</v>
      </c>
      <c r="C447">
        <f t="shared" ca="1" si="18"/>
        <v>3108.5296272485211</v>
      </c>
      <c r="D447">
        <f t="shared" ca="1" si="19"/>
        <v>0</v>
      </c>
    </row>
    <row r="448" spans="2:4" x14ac:dyDescent="0.25">
      <c r="B448">
        <f t="shared" ca="1" si="20"/>
        <v>43498.428613575721</v>
      </c>
      <c r="C448">
        <f t="shared" ca="1" si="18"/>
        <v>0</v>
      </c>
      <c r="D448">
        <f t="shared" ca="1" si="19"/>
        <v>3498.4286135757211</v>
      </c>
    </row>
    <row r="449" spans="2:4" x14ac:dyDescent="0.25">
      <c r="B449">
        <f t="shared" ca="1" si="20"/>
        <v>36293.099353944694</v>
      </c>
      <c r="C449">
        <f t="shared" ca="1" si="18"/>
        <v>3706.9006460553064</v>
      </c>
      <c r="D449">
        <f t="shared" ca="1" si="19"/>
        <v>0</v>
      </c>
    </row>
    <row r="450" spans="2:4" x14ac:dyDescent="0.25">
      <c r="B450">
        <f t="shared" ca="1" si="20"/>
        <v>39777.716155331029</v>
      </c>
      <c r="C450">
        <f t="shared" ca="1" si="18"/>
        <v>222.28384466897114</v>
      </c>
      <c r="D450">
        <f t="shared" ca="1" si="19"/>
        <v>0</v>
      </c>
    </row>
    <row r="451" spans="2:4" x14ac:dyDescent="0.25">
      <c r="B451">
        <f t="shared" ca="1" si="20"/>
        <v>42072.433794539982</v>
      </c>
      <c r="C451">
        <f t="shared" ca="1" si="18"/>
        <v>0</v>
      </c>
      <c r="D451">
        <f t="shared" ca="1" si="19"/>
        <v>2072.433794539982</v>
      </c>
    </row>
    <row r="452" spans="2:4" x14ac:dyDescent="0.25">
      <c r="B452">
        <f t="shared" ca="1" si="20"/>
        <v>45623.849958376952</v>
      </c>
      <c r="C452">
        <f t="shared" ca="1" si="18"/>
        <v>0</v>
      </c>
      <c r="D452">
        <f t="shared" ca="1" si="19"/>
        <v>5623.8499583769517</v>
      </c>
    </row>
    <row r="453" spans="2:4" x14ac:dyDescent="0.25">
      <c r="B453">
        <f t="shared" ca="1" si="20"/>
        <v>55666.899318895681</v>
      </c>
      <c r="C453">
        <f t="shared" ca="1" si="18"/>
        <v>0</v>
      </c>
      <c r="D453">
        <f t="shared" ca="1" si="19"/>
        <v>15666.899318895681</v>
      </c>
    </row>
    <row r="454" spans="2:4" x14ac:dyDescent="0.25">
      <c r="B454">
        <f t="shared" ca="1" si="20"/>
        <v>42724.979519722394</v>
      </c>
      <c r="C454">
        <f t="shared" ca="1" si="18"/>
        <v>0</v>
      </c>
      <c r="D454">
        <f t="shared" ca="1" si="19"/>
        <v>2724.9795197223939</v>
      </c>
    </row>
    <row r="455" spans="2:4" x14ac:dyDescent="0.25">
      <c r="B455">
        <f t="shared" ca="1" si="20"/>
        <v>41944.503272460963</v>
      </c>
      <c r="C455">
        <f t="shared" ca="1" si="18"/>
        <v>0</v>
      </c>
      <c r="D455">
        <f t="shared" ca="1" si="19"/>
        <v>1944.5032724609628</v>
      </c>
    </row>
    <row r="456" spans="2:4" x14ac:dyDescent="0.25">
      <c r="B456">
        <f t="shared" ca="1" si="20"/>
        <v>41207.134667431361</v>
      </c>
      <c r="C456">
        <f t="shared" ca="1" si="18"/>
        <v>0</v>
      </c>
      <c r="D456">
        <f t="shared" ca="1" si="19"/>
        <v>1207.1346674313609</v>
      </c>
    </row>
    <row r="457" spans="2:4" x14ac:dyDescent="0.25">
      <c r="B457">
        <f t="shared" ca="1" si="20"/>
        <v>47098.668394422864</v>
      </c>
      <c r="C457">
        <f t="shared" ca="1" si="18"/>
        <v>0</v>
      </c>
      <c r="D457">
        <f t="shared" ca="1" si="19"/>
        <v>7098.6683944228644</v>
      </c>
    </row>
    <row r="458" spans="2:4" x14ac:dyDescent="0.25">
      <c r="B458">
        <f t="shared" ca="1" si="20"/>
        <v>44376.625207831159</v>
      </c>
      <c r="C458">
        <f t="shared" ca="1" si="18"/>
        <v>0</v>
      </c>
      <c r="D458">
        <f t="shared" ca="1" si="19"/>
        <v>4376.6252078311591</v>
      </c>
    </row>
    <row r="459" spans="2:4" x14ac:dyDescent="0.25">
      <c r="B459">
        <f t="shared" ca="1" si="20"/>
        <v>42018.481113503069</v>
      </c>
      <c r="C459">
        <f t="shared" ca="1" si="18"/>
        <v>0</v>
      </c>
      <c r="D459">
        <f t="shared" ca="1" si="19"/>
        <v>2018.4811135030686</v>
      </c>
    </row>
    <row r="460" spans="2:4" x14ac:dyDescent="0.25">
      <c r="B460">
        <f t="shared" ca="1" si="20"/>
        <v>47757.400648345545</v>
      </c>
      <c r="C460">
        <f t="shared" ref="C460:C523" ca="1" si="21">IF(MAX($B$2-B460)&lt;0,0,$B$2-B460)</f>
        <v>0</v>
      </c>
      <c r="D460">
        <f t="shared" ref="D460:D523" ca="1" si="22">IF(MAX(B460-$B$2)&lt;0,0,B460-$B$2)</f>
        <v>7757.4006483455451</v>
      </c>
    </row>
    <row r="461" spans="2:4" x14ac:dyDescent="0.25">
      <c r="B461">
        <f t="shared" ref="B461:B524" ca="1" si="23">$B$1*EXP((($B$4-($B$3^2)/2)*$B$5+$B$3*SQRT($B$5)*NORMSINV(RAND())))</f>
        <v>42713.816498719643</v>
      </c>
      <c r="C461">
        <f t="shared" ca="1" si="21"/>
        <v>0</v>
      </c>
      <c r="D461">
        <f t="shared" ca="1" si="22"/>
        <v>2713.8164987196433</v>
      </c>
    </row>
    <row r="462" spans="2:4" x14ac:dyDescent="0.25">
      <c r="B462">
        <f t="shared" ca="1" si="23"/>
        <v>52123.467619167292</v>
      </c>
      <c r="C462">
        <f t="shared" ca="1" si="21"/>
        <v>0</v>
      </c>
      <c r="D462">
        <f t="shared" ca="1" si="22"/>
        <v>12123.467619167292</v>
      </c>
    </row>
    <row r="463" spans="2:4" x14ac:dyDescent="0.25">
      <c r="B463">
        <f t="shared" ca="1" si="23"/>
        <v>41979.201474528716</v>
      </c>
      <c r="C463">
        <f t="shared" ca="1" si="21"/>
        <v>0</v>
      </c>
      <c r="D463">
        <f t="shared" ca="1" si="22"/>
        <v>1979.2014745287161</v>
      </c>
    </row>
    <row r="464" spans="2:4" x14ac:dyDescent="0.25">
      <c r="B464">
        <f t="shared" ca="1" si="23"/>
        <v>35229.528779122804</v>
      </c>
      <c r="C464">
        <f t="shared" ca="1" si="21"/>
        <v>4770.4712208771962</v>
      </c>
      <c r="D464">
        <f t="shared" ca="1" si="22"/>
        <v>0</v>
      </c>
    </row>
    <row r="465" spans="2:4" x14ac:dyDescent="0.25">
      <c r="B465">
        <f t="shared" ca="1" si="23"/>
        <v>38257.869693390916</v>
      </c>
      <c r="C465">
        <f t="shared" ca="1" si="21"/>
        <v>1742.1303066090841</v>
      </c>
      <c r="D465">
        <f t="shared" ca="1" si="22"/>
        <v>0</v>
      </c>
    </row>
    <row r="466" spans="2:4" x14ac:dyDescent="0.25">
      <c r="B466">
        <f t="shared" ca="1" si="23"/>
        <v>43338.561536555775</v>
      </c>
      <c r="C466">
        <f t="shared" ca="1" si="21"/>
        <v>0</v>
      </c>
      <c r="D466">
        <f t="shared" ca="1" si="22"/>
        <v>3338.5615365557751</v>
      </c>
    </row>
    <row r="467" spans="2:4" x14ac:dyDescent="0.25">
      <c r="B467">
        <f t="shared" ca="1" si="23"/>
        <v>45443.401485943585</v>
      </c>
      <c r="C467">
        <f t="shared" ca="1" si="21"/>
        <v>0</v>
      </c>
      <c r="D467">
        <f t="shared" ca="1" si="22"/>
        <v>5443.4014859435847</v>
      </c>
    </row>
    <row r="468" spans="2:4" x14ac:dyDescent="0.25">
      <c r="B468">
        <f t="shared" ca="1" si="23"/>
        <v>51746.618017433684</v>
      </c>
      <c r="C468">
        <f t="shared" ca="1" si="21"/>
        <v>0</v>
      </c>
      <c r="D468">
        <f t="shared" ca="1" si="22"/>
        <v>11746.618017433684</v>
      </c>
    </row>
    <row r="469" spans="2:4" x14ac:dyDescent="0.25">
      <c r="B469">
        <f t="shared" ca="1" si="23"/>
        <v>41332.851508997199</v>
      </c>
      <c r="C469">
        <f t="shared" ca="1" si="21"/>
        <v>0</v>
      </c>
      <c r="D469">
        <f t="shared" ca="1" si="22"/>
        <v>1332.8515089971988</v>
      </c>
    </row>
    <row r="470" spans="2:4" x14ac:dyDescent="0.25">
      <c r="B470">
        <f t="shared" ca="1" si="23"/>
        <v>42960.168127702047</v>
      </c>
      <c r="C470">
        <f t="shared" ca="1" si="21"/>
        <v>0</v>
      </c>
      <c r="D470">
        <f t="shared" ca="1" si="22"/>
        <v>2960.1681277020471</v>
      </c>
    </row>
    <row r="471" spans="2:4" x14ac:dyDescent="0.25">
      <c r="B471">
        <f t="shared" ca="1" si="23"/>
        <v>47326.996828041716</v>
      </c>
      <c r="C471">
        <f t="shared" ca="1" si="21"/>
        <v>0</v>
      </c>
      <c r="D471">
        <f t="shared" ca="1" si="22"/>
        <v>7326.9968280417161</v>
      </c>
    </row>
    <row r="472" spans="2:4" x14ac:dyDescent="0.25">
      <c r="B472">
        <f t="shared" ca="1" si="23"/>
        <v>42586.78916783462</v>
      </c>
      <c r="C472">
        <f t="shared" ca="1" si="21"/>
        <v>0</v>
      </c>
      <c r="D472">
        <f t="shared" ca="1" si="22"/>
        <v>2586.7891678346205</v>
      </c>
    </row>
    <row r="473" spans="2:4" x14ac:dyDescent="0.25">
      <c r="B473">
        <f t="shared" ca="1" si="23"/>
        <v>42521.261261748354</v>
      </c>
      <c r="C473">
        <f t="shared" ca="1" si="21"/>
        <v>0</v>
      </c>
      <c r="D473">
        <f t="shared" ca="1" si="22"/>
        <v>2521.2612617483537</v>
      </c>
    </row>
    <row r="474" spans="2:4" x14ac:dyDescent="0.25">
      <c r="B474">
        <f t="shared" ca="1" si="23"/>
        <v>43696.256877631655</v>
      </c>
      <c r="C474">
        <f t="shared" ca="1" si="21"/>
        <v>0</v>
      </c>
      <c r="D474">
        <f t="shared" ca="1" si="22"/>
        <v>3696.2568776316548</v>
      </c>
    </row>
    <row r="475" spans="2:4" x14ac:dyDescent="0.25">
      <c r="B475">
        <f t="shared" ca="1" si="23"/>
        <v>40443.958715064655</v>
      </c>
      <c r="C475">
        <f t="shared" ca="1" si="21"/>
        <v>0</v>
      </c>
      <c r="D475">
        <f t="shared" ca="1" si="22"/>
        <v>443.95871506465483</v>
      </c>
    </row>
    <row r="476" spans="2:4" x14ac:dyDescent="0.25">
      <c r="B476">
        <f t="shared" ca="1" si="23"/>
        <v>48163.646169671512</v>
      </c>
      <c r="C476">
        <f t="shared" ca="1" si="21"/>
        <v>0</v>
      </c>
      <c r="D476">
        <f t="shared" ca="1" si="22"/>
        <v>8163.6461696715123</v>
      </c>
    </row>
    <row r="477" spans="2:4" x14ac:dyDescent="0.25">
      <c r="B477">
        <f t="shared" ca="1" si="23"/>
        <v>47979.175804712591</v>
      </c>
      <c r="C477">
        <f t="shared" ca="1" si="21"/>
        <v>0</v>
      </c>
      <c r="D477">
        <f t="shared" ca="1" si="22"/>
        <v>7979.1758047125913</v>
      </c>
    </row>
    <row r="478" spans="2:4" x14ac:dyDescent="0.25">
      <c r="B478">
        <f t="shared" ca="1" si="23"/>
        <v>44615.984234333686</v>
      </c>
      <c r="C478">
        <f t="shared" ca="1" si="21"/>
        <v>0</v>
      </c>
      <c r="D478">
        <f t="shared" ca="1" si="22"/>
        <v>4615.9842343336859</v>
      </c>
    </row>
    <row r="479" spans="2:4" x14ac:dyDescent="0.25">
      <c r="B479">
        <f t="shared" ca="1" si="23"/>
        <v>43155.64049609346</v>
      </c>
      <c r="C479">
        <f t="shared" ca="1" si="21"/>
        <v>0</v>
      </c>
      <c r="D479">
        <f t="shared" ca="1" si="22"/>
        <v>3155.6404960934597</v>
      </c>
    </row>
    <row r="480" spans="2:4" x14ac:dyDescent="0.25">
      <c r="B480">
        <f t="shared" ca="1" si="23"/>
        <v>40173.532966091101</v>
      </c>
      <c r="C480">
        <f t="shared" ca="1" si="21"/>
        <v>0</v>
      </c>
      <c r="D480">
        <f t="shared" ca="1" si="22"/>
        <v>173.53296609110112</v>
      </c>
    </row>
    <row r="481" spans="2:4" x14ac:dyDescent="0.25">
      <c r="B481">
        <f t="shared" ca="1" si="23"/>
        <v>51643.101494791925</v>
      </c>
      <c r="C481">
        <f t="shared" ca="1" si="21"/>
        <v>0</v>
      </c>
      <c r="D481">
        <f t="shared" ca="1" si="22"/>
        <v>11643.101494791925</v>
      </c>
    </row>
    <row r="482" spans="2:4" x14ac:dyDescent="0.25">
      <c r="B482">
        <f t="shared" ca="1" si="23"/>
        <v>54859.568777563843</v>
      </c>
      <c r="C482">
        <f t="shared" ca="1" si="21"/>
        <v>0</v>
      </c>
      <c r="D482">
        <f t="shared" ca="1" si="22"/>
        <v>14859.568777563843</v>
      </c>
    </row>
    <row r="483" spans="2:4" x14ac:dyDescent="0.25">
      <c r="B483">
        <f t="shared" ca="1" si="23"/>
        <v>39621.166490034848</v>
      </c>
      <c r="C483">
        <f t="shared" ca="1" si="21"/>
        <v>378.83350996515219</v>
      </c>
      <c r="D483">
        <f t="shared" ca="1" si="22"/>
        <v>0</v>
      </c>
    </row>
    <row r="484" spans="2:4" x14ac:dyDescent="0.25">
      <c r="B484">
        <f t="shared" ca="1" si="23"/>
        <v>51656.164584265578</v>
      </c>
      <c r="C484">
        <f t="shared" ca="1" si="21"/>
        <v>0</v>
      </c>
      <c r="D484">
        <f t="shared" ca="1" si="22"/>
        <v>11656.164584265578</v>
      </c>
    </row>
    <row r="485" spans="2:4" x14ac:dyDescent="0.25">
      <c r="B485">
        <f t="shared" ca="1" si="23"/>
        <v>43142.09725504728</v>
      </c>
      <c r="C485">
        <f t="shared" ca="1" si="21"/>
        <v>0</v>
      </c>
      <c r="D485">
        <f t="shared" ca="1" si="22"/>
        <v>3142.0972550472798</v>
      </c>
    </row>
    <row r="486" spans="2:4" x14ac:dyDescent="0.25">
      <c r="B486">
        <f t="shared" ca="1" si="23"/>
        <v>48151.382645349142</v>
      </c>
      <c r="C486">
        <f t="shared" ca="1" si="21"/>
        <v>0</v>
      </c>
      <c r="D486">
        <f t="shared" ca="1" si="22"/>
        <v>8151.382645349142</v>
      </c>
    </row>
    <row r="487" spans="2:4" x14ac:dyDescent="0.25">
      <c r="B487">
        <f t="shared" ca="1" si="23"/>
        <v>48735.318274064608</v>
      </c>
      <c r="C487">
        <f t="shared" ca="1" si="21"/>
        <v>0</v>
      </c>
      <c r="D487">
        <f t="shared" ca="1" si="22"/>
        <v>8735.318274064608</v>
      </c>
    </row>
    <row r="488" spans="2:4" x14ac:dyDescent="0.25">
      <c r="B488">
        <f t="shared" ca="1" si="23"/>
        <v>45358.626177525774</v>
      </c>
      <c r="C488">
        <f t="shared" ca="1" si="21"/>
        <v>0</v>
      </c>
      <c r="D488">
        <f t="shared" ca="1" si="22"/>
        <v>5358.6261775257735</v>
      </c>
    </row>
    <row r="489" spans="2:4" x14ac:dyDescent="0.25">
      <c r="B489">
        <f t="shared" ca="1" si="23"/>
        <v>37441.457264965793</v>
      </c>
      <c r="C489">
        <f t="shared" ca="1" si="21"/>
        <v>2558.542735034207</v>
      </c>
      <c r="D489">
        <f t="shared" ca="1" si="22"/>
        <v>0</v>
      </c>
    </row>
    <row r="490" spans="2:4" x14ac:dyDescent="0.25">
      <c r="B490">
        <f t="shared" ca="1" si="23"/>
        <v>44450.200371876716</v>
      </c>
      <c r="C490">
        <f t="shared" ca="1" si="21"/>
        <v>0</v>
      </c>
      <c r="D490">
        <f t="shared" ca="1" si="22"/>
        <v>4450.2003718767155</v>
      </c>
    </row>
    <row r="491" spans="2:4" x14ac:dyDescent="0.25">
      <c r="B491">
        <f t="shared" ca="1" si="23"/>
        <v>47925.652894003477</v>
      </c>
      <c r="C491">
        <f t="shared" ca="1" si="21"/>
        <v>0</v>
      </c>
      <c r="D491">
        <f t="shared" ca="1" si="22"/>
        <v>7925.6528940034768</v>
      </c>
    </row>
    <row r="492" spans="2:4" x14ac:dyDescent="0.25">
      <c r="B492">
        <f t="shared" ca="1" si="23"/>
        <v>43170.457526144812</v>
      </c>
      <c r="C492">
        <f t="shared" ca="1" si="21"/>
        <v>0</v>
      </c>
      <c r="D492">
        <f t="shared" ca="1" si="22"/>
        <v>3170.4575261448117</v>
      </c>
    </row>
    <row r="493" spans="2:4" x14ac:dyDescent="0.25">
      <c r="B493">
        <f t="shared" ca="1" si="23"/>
        <v>50549.759629083164</v>
      </c>
      <c r="C493">
        <f t="shared" ca="1" si="21"/>
        <v>0</v>
      </c>
      <c r="D493">
        <f t="shared" ca="1" si="22"/>
        <v>10549.759629083164</v>
      </c>
    </row>
    <row r="494" spans="2:4" x14ac:dyDescent="0.25">
      <c r="B494">
        <f t="shared" ca="1" si="23"/>
        <v>46904.425229771776</v>
      </c>
      <c r="C494">
        <f t="shared" ca="1" si="21"/>
        <v>0</v>
      </c>
      <c r="D494">
        <f t="shared" ca="1" si="22"/>
        <v>6904.4252297717758</v>
      </c>
    </row>
    <row r="495" spans="2:4" x14ac:dyDescent="0.25">
      <c r="B495">
        <f t="shared" ca="1" si="23"/>
        <v>59301.450035052192</v>
      </c>
      <c r="C495">
        <f t="shared" ca="1" si="21"/>
        <v>0</v>
      </c>
      <c r="D495">
        <f t="shared" ca="1" si="22"/>
        <v>19301.450035052192</v>
      </c>
    </row>
    <row r="496" spans="2:4" x14ac:dyDescent="0.25">
      <c r="B496">
        <f t="shared" ca="1" si="23"/>
        <v>47579.367630567554</v>
      </c>
      <c r="C496">
        <f t="shared" ca="1" si="21"/>
        <v>0</v>
      </c>
      <c r="D496">
        <f t="shared" ca="1" si="22"/>
        <v>7579.3676305675544</v>
      </c>
    </row>
    <row r="497" spans="2:4" x14ac:dyDescent="0.25">
      <c r="B497">
        <f t="shared" ca="1" si="23"/>
        <v>46828.411367960158</v>
      </c>
      <c r="C497">
        <f t="shared" ca="1" si="21"/>
        <v>0</v>
      </c>
      <c r="D497">
        <f t="shared" ca="1" si="22"/>
        <v>6828.4113679601578</v>
      </c>
    </row>
    <row r="498" spans="2:4" x14ac:dyDescent="0.25">
      <c r="B498">
        <f t="shared" ca="1" si="23"/>
        <v>45089.104253724843</v>
      </c>
      <c r="C498">
        <f t="shared" ca="1" si="21"/>
        <v>0</v>
      </c>
      <c r="D498">
        <f t="shared" ca="1" si="22"/>
        <v>5089.1042537248431</v>
      </c>
    </row>
    <row r="499" spans="2:4" x14ac:dyDescent="0.25">
      <c r="B499">
        <f t="shared" ca="1" si="23"/>
        <v>46664.125661212078</v>
      </c>
      <c r="C499">
        <f t="shared" ca="1" si="21"/>
        <v>0</v>
      </c>
      <c r="D499">
        <f t="shared" ca="1" si="22"/>
        <v>6664.1256612120778</v>
      </c>
    </row>
    <row r="500" spans="2:4" x14ac:dyDescent="0.25">
      <c r="B500">
        <f t="shared" ca="1" si="23"/>
        <v>51728.288260521338</v>
      </c>
      <c r="C500">
        <f t="shared" ca="1" si="21"/>
        <v>0</v>
      </c>
      <c r="D500">
        <f t="shared" ca="1" si="22"/>
        <v>11728.288260521338</v>
      </c>
    </row>
    <row r="501" spans="2:4" x14ac:dyDescent="0.25">
      <c r="B501">
        <f t="shared" ca="1" si="23"/>
        <v>41544.557171087086</v>
      </c>
      <c r="C501">
        <f t="shared" ca="1" si="21"/>
        <v>0</v>
      </c>
      <c r="D501">
        <f t="shared" ca="1" si="22"/>
        <v>1544.5571710870863</v>
      </c>
    </row>
    <row r="502" spans="2:4" x14ac:dyDescent="0.25">
      <c r="B502">
        <f t="shared" ca="1" si="23"/>
        <v>45744.510990458693</v>
      </c>
      <c r="C502">
        <f t="shared" ca="1" si="21"/>
        <v>0</v>
      </c>
      <c r="D502">
        <f t="shared" ca="1" si="22"/>
        <v>5744.5109904586934</v>
      </c>
    </row>
    <row r="503" spans="2:4" x14ac:dyDescent="0.25">
      <c r="B503">
        <f t="shared" ca="1" si="23"/>
        <v>51620.751116494779</v>
      </c>
      <c r="C503">
        <f t="shared" ca="1" si="21"/>
        <v>0</v>
      </c>
      <c r="D503">
        <f t="shared" ca="1" si="22"/>
        <v>11620.751116494779</v>
      </c>
    </row>
    <row r="504" spans="2:4" x14ac:dyDescent="0.25">
      <c r="B504">
        <f t="shared" ca="1" si="23"/>
        <v>45825.519646380431</v>
      </c>
      <c r="C504">
        <f t="shared" ca="1" si="21"/>
        <v>0</v>
      </c>
      <c r="D504">
        <f t="shared" ca="1" si="22"/>
        <v>5825.5196463804314</v>
      </c>
    </row>
    <row r="505" spans="2:4" x14ac:dyDescent="0.25">
      <c r="B505">
        <f t="shared" ca="1" si="23"/>
        <v>38956.34014319531</v>
      </c>
      <c r="C505">
        <f t="shared" ca="1" si="21"/>
        <v>1043.6598568046902</v>
      </c>
      <c r="D505">
        <f t="shared" ca="1" si="22"/>
        <v>0</v>
      </c>
    </row>
    <row r="506" spans="2:4" x14ac:dyDescent="0.25">
      <c r="B506">
        <f t="shared" ca="1" si="23"/>
        <v>46085.169349991527</v>
      </c>
      <c r="C506">
        <f t="shared" ca="1" si="21"/>
        <v>0</v>
      </c>
      <c r="D506">
        <f t="shared" ca="1" si="22"/>
        <v>6085.1693499915273</v>
      </c>
    </row>
    <row r="507" spans="2:4" x14ac:dyDescent="0.25">
      <c r="B507">
        <f t="shared" ca="1" si="23"/>
        <v>39344.106274595622</v>
      </c>
      <c r="C507">
        <f t="shared" ca="1" si="21"/>
        <v>655.89372540437762</v>
      </c>
      <c r="D507">
        <f t="shared" ca="1" si="22"/>
        <v>0</v>
      </c>
    </row>
    <row r="508" spans="2:4" x14ac:dyDescent="0.25">
      <c r="B508">
        <f t="shared" ca="1" si="23"/>
        <v>55836.831895810959</v>
      </c>
      <c r="C508">
        <f t="shared" ca="1" si="21"/>
        <v>0</v>
      </c>
      <c r="D508">
        <f t="shared" ca="1" si="22"/>
        <v>15836.831895810959</v>
      </c>
    </row>
    <row r="509" spans="2:4" x14ac:dyDescent="0.25">
      <c r="B509">
        <f t="shared" ca="1" si="23"/>
        <v>49859.025392277486</v>
      </c>
      <c r="C509">
        <f t="shared" ca="1" si="21"/>
        <v>0</v>
      </c>
      <c r="D509">
        <f t="shared" ca="1" si="22"/>
        <v>9859.0253922774864</v>
      </c>
    </row>
    <row r="510" spans="2:4" x14ac:dyDescent="0.25">
      <c r="B510">
        <f t="shared" ca="1" si="23"/>
        <v>53760.689554622608</v>
      </c>
      <c r="C510">
        <f t="shared" ca="1" si="21"/>
        <v>0</v>
      </c>
      <c r="D510">
        <f t="shared" ca="1" si="22"/>
        <v>13760.689554622608</v>
      </c>
    </row>
    <row r="511" spans="2:4" x14ac:dyDescent="0.25">
      <c r="B511">
        <f t="shared" ca="1" si="23"/>
        <v>44361.402257440226</v>
      </c>
      <c r="C511">
        <f t="shared" ca="1" si="21"/>
        <v>0</v>
      </c>
      <c r="D511">
        <f t="shared" ca="1" si="22"/>
        <v>4361.4022574402261</v>
      </c>
    </row>
    <row r="512" spans="2:4" x14ac:dyDescent="0.25">
      <c r="B512">
        <f t="shared" ca="1" si="23"/>
        <v>55557.724359653694</v>
      </c>
      <c r="C512">
        <f t="shared" ca="1" si="21"/>
        <v>0</v>
      </c>
      <c r="D512">
        <f t="shared" ca="1" si="22"/>
        <v>15557.724359653694</v>
      </c>
    </row>
    <row r="513" spans="2:4" x14ac:dyDescent="0.25">
      <c r="B513">
        <f t="shared" ca="1" si="23"/>
        <v>46186.570379651304</v>
      </c>
      <c r="C513">
        <f t="shared" ca="1" si="21"/>
        <v>0</v>
      </c>
      <c r="D513">
        <f t="shared" ca="1" si="22"/>
        <v>6186.5703796513044</v>
      </c>
    </row>
    <row r="514" spans="2:4" x14ac:dyDescent="0.25">
      <c r="B514">
        <f t="shared" ca="1" si="23"/>
        <v>39691.872760564729</v>
      </c>
      <c r="C514">
        <f t="shared" ca="1" si="21"/>
        <v>308.12723943527089</v>
      </c>
      <c r="D514">
        <f t="shared" ca="1" si="22"/>
        <v>0</v>
      </c>
    </row>
    <row r="515" spans="2:4" x14ac:dyDescent="0.25">
      <c r="B515">
        <f t="shared" ca="1" si="23"/>
        <v>44326.545979894574</v>
      </c>
      <c r="C515">
        <f t="shared" ca="1" si="21"/>
        <v>0</v>
      </c>
      <c r="D515">
        <f t="shared" ca="1" si="22"/>
        <v>4326.545979894574</v>
      </c>
    </row>
    <row r="516" spans="2:4" x14ac:dyDescent="0.25">
      <c r="B516">
        <f t="shared" ca="1" si="23"/>
        <v>42370.807448930536</v>
      </c>
      <c r="C516">
        <f t="shared" ca="1" si="21"/>
        <v>0</v>
      </c>
      <c r="D516">
        <f t="shared" ca="1" si="22"/>
        <v>2370.8074489305363</v>
      </c>
    </row>
    <row r="517" spans="2:4" x14ac:dyDescent="0.25">
      <c r="B517">
        <f t="shared" ca="1" si="23"/>
        <v>39178.104343051491</v>
      </c>
      <c r="C517">
        <f t="shared" ca="1" si="21"/>
        <v>821.89565694850899</v>
      </c>
      <c r="D517">
        <f t="shared" ca="1" si="22"/>
        <v>0</v>
      </c>
    </row>
    <row r="518" spans="2:4" x14ac:dyDescent="0.25">
      <c r="B518">
        <f t="shared" ca="1" si="23"/>
        <v>41952.068123174751</v>
      </c>
      <c r="C518">
        <f t="shared" ca="1" si="21"/>
        <v>0</v>
      </c>
      <c r="D518">
        <f t="shared" ca="1" si="22"/>
        <v>1952.0681231747512</v>
      </c>
    </row>
    <row r="519" spans="2:4" x14ac:dyDescent="0.25">
      <c r="B519">
        <f t="shared" ca="1" si="23"/>
        <v>44592.732248855478</v>
      </c>
      <c r="C519">
        <f t="shared" ca="1" si="21"/>
        <v>0</v>
      </c>
      <c r="D519">
        <f t="shared" ca="1" si="22"/>
        <v>4592.7322488554782</v>
      </c>
    </row>
    <row r="520" spans="2:4" x14ac:dyDescent="0.25">
      <c r="B520">
        <f t="shared" ca="1" si="23"/>
        <v>46521.338080886017</v>
      </c>
      <c r="C520">
        <f t="shared" ca="1" si="21"/>
        <v>0</v>
      </c>
      <c r="D520">
        <f t="shared" ca="1" si="22"/>
        <v>6521.3380808860165</v>
      </c>
    </row>
    <row r="521" spans="2:4" x14ac:dyDescent="0.25">
      <c r="B521">
        <f t="shared" ca="1" si="23"/>
        <v>39376.642261880726</v>
      </c>
      <c r="C521">
        <f t="shared" ca="1" si="21"/>
        <v>623.35773811927356</v>
      </c>
      <c r="D521">
        <f t="shared" ca="1" si="22"/>
        <v>0</v>
      </c>
    </row>
    <row r="522" spans="2:4" x14ac:dyDescent="0.25">
      <c r="B522">
        <f t="shared" ca="1" si="23"/>
        <v>48192.311001975999</v>
      </c>
      <c r="C522">
        <f t="shared" ca="1" si="21"/>
        <v>0</v>
      </c>
      <c r="D522">
        <f t="shared" ca="1" si="22"/>
        <v>8192.3110019759988</v>
      </c>
    </row>
    <row r="523" spans="2:4" x14ac:dyDescent="0.25">
      <c r="B523">
        <f t="shared" ca="1" si="23"/>
        <v>41388.592432498823</v>
      </c>
      <c r="C523">
        <f t="shared" ca="1" si="21"/>
        <v>0</v>
      </c>
      <c r="D523">
        <f t="shared" ca="1" si="22"/>
        <v>1388.5924324988227</v>
      </c>
    </row>
    <row r="524" spans="2:4" x14ac:dyDescent="0.25">
      <c r="B524">
        <f t="shared" ca="1" si="23"/>
        <v>36583.203445512889</v>
      </c>
      <c r="C524">
        <f t="shared" ref="C524:C587" ca="1" si="24">IF(MAX($B$2-B524)&lt;0,0,$B$2-B524)</f>
        <v>3416.7965544871113</v>
      </c>
      <c r="D524">
        <f t="shared" ref="D524:D587" ca="1" si="25">IF(MAX(B524-$B$2)&lt;0,0,B524-$B$2)</f>
        <v>0</v>
      </c>
    </row>
    <row r="525" spans="2:4" x14ac:dyDescent="0.25">
      <c r="B525">
        <f t="shared" ref="B525:B588" ca="1" si="26">$B$1*EXP((($B$4-($B$3^2)/2)*$B$5+$B$3*SQRT($B$5)*NORMSINV(RAND())))</f>
        <v>46425.009788738986</v>
      </c>
      <c r="C525">
        <f t="shared" ca="1" si="24"/>
        <v>0</v>
      </c>
      <c r="D525">
        <f t="shared" ca="1" si="25"/>
        <v>6425.0097887389857</v>
      </c>
    </row>
    <row r="526" spans="2:4" x14ac:dyDescent="0.25">
      <c r="B526">
        <f t="shared" ca="1" si="26"/>
        <v>40084.397793521057</v>
      </c>
      <c r="C526">
        <f t="shared" ca="1" si="24"/>
        <v>0</v>
      </c>
      <c r="D526">
        <f t="shared" ca="1" si="25"/>
        <v>84.397793521056883</v>
      </c>
    </row>
    <row r="527" spans="2:4" x14ac:dyDescent="0.25">
      <c r="B527">
        <f t="shared" ca="1" si="26"/>
        <v>49637.863418236331</v>
      </c>
      <c r="C527">
        <f t="shared" ca="1" si="24"/>
        <v>0</v>
      </c>
      <c r="D527">
        <f t="shared" ca="1" si="25"/>
        <v>9637.8634182363312</v>
      </c>
    </row>
    <row r="528" spans="2:4" x14ac:dyDescent="0.25">
      <c r="B528">
        <f t="shared" ca="1" si="26"/>
        <v>45349.346677478374</v>
      </c>
      <c r="C528">
        <f t="shared" ca="1" si="24"/>
        <v>0</v>
      </c>
      <c r="D528">
        <f t="shared" ca="1" si="25"/>
        <v>5349.3466774783737</v>
      </c>
    </row>
    <row r="529" spans="2:4" x14ac:dyDescent="0.25">
      <c r="B529">
        <f t="shared" ca="1" si="26"/>
        <v>41717.992250251722</v>
      </c>
      <c r="C529">
        <f t="shared" ca="1" si="24"/>
        <v>0</v>
      </c>
      <c r="D529">
        <f t="shared" ca="1" si="25"/>
        <v>1717.992250251722</v>
      </c>
    </row>
    <row r="530" spans="2:4" x14ac:dyDescent="0.25">
      <c r="B530">
        <f t="shared" ca="1" si="26"/>
        <v>43312.967859784629</v>
      </c>
      <c r="C530">
        <f t="shared" ca="1" si="24"/>
        <v>0</v>
      </c>
      <c r="D530">
        <f t="shared" ca="1" si="25"/>
        <v>3312.9678597846287</v>
      </c>
    </row>
    <row r="531" spans="2:4" x14ac:dyDescent="0.25">
      <c r="B531">
        <f t="shared" ca="1" si="26"/>
        <v>45447.656558603441</v>
      </c>
      <c r="C531">
        <f t="shared" ca="1" si="24"/>
        <v>0</v>
      </c>
      <c r="D531">
        <f t="shared" ca="1" si="25"/>
        <v>5447.6565586034412</v>
      </c>
    </row>
    <row r="532" spans="2:4" x14ac:dyDescent="0.25">
      <c r="B532">
        <f t="shared" ca="1" si="26"/>
        <v>43745.378108945544</v>
      </c>
      <c r="C532">
        <f t="shared" ca="1" si="24"/>
        <v>0</v>
      </c>
      <c r="D532">
        <f t="shared" ca="1" si="25"/>
        <v>3745.3781089455442</v>
      </c>
    </row>
    <row r="533" spans="2:4" x14ac:dyDescent="0.25">
      <c r="B533">
        <f t="shared" ca="1" si="26"/>
        <v>41628.303482999778</v>
      </c>
      <c r="C533">
        <f t="shared" ca="1" si="24"/>
        <v>0</v>
      </c>
      <c r="D533">
        <f t="shared" ca="1" si="25"/>
        <v>1628.3034829997778</v>
      </c>
    </row>
    <row r="534" spans="2:4" x14ac:dyDescent="0.25">
      <c r="B534">
        <f t="shared" ca="1" si="26"/>
        <v>44677.46834146414</v>
      </c>
      <c r="C534">
        <f t="shared" ca="1" si="24"/>
        <v>0</v>
      </c>
      <c r="D534">
        <f t="shared" ca="1" si="25"/>
        <v>4677.4683414641404</v>
      </c>
    </row>
    <row r="535" spans="2:4" x14ac:dyDescent="0.25">
      <c r="B535">
        <f t="shared" ca="1" si="26"/>
        <v>55252.511112721193</v>
      </c>
      <c r="C535">
        <f t="shared" ca="1" si="24"/>
        <v>0</v>
      </c>
      <c r="D535">
        <f t="shared" ca="1" si="25"/>
        <v>15252.511112721193</v>
      </c>
    </row>
    <row r="536" spans="2:4" x14ac:dyDescent="0.25">
      <c r="B536">
        <f t="shared" ca="1" si="26"/>
        <v>41795.045563204461</v>
      </c>
      <c r="C536">
        <f t="shared" ca="1" si="24"/>
        <v>0</v>
      </c>
      <c r="D536">
        <f t="shared" ca="1" si="25"/>
        <v>1795.0455632044614</v>
      </c>
    </row>
    <row r="537" spans="2:4" x14ac:dyDescent="0.25">
      <c r="B537">
        <f t="shared" ca="1" si="26"/>
        <v>46270.031292636653</v>
      </c>
      <c r="C537">
        <f t="shared" ca="1" si="24"/>
        <v>0</v>
      </c>
      <c r="D537">
        <f t="shared" ca="1" si="25"/>
        <v>6270.0312926366532</v>
      </c>
    </row>
    <row r="538" spans="2:4" x14ac:dyDescent="0.25">
      <c r="B538">
        <f t="shared" ca="1" si="26"/>
        <v>46516.26193621393</v>
      </c>
      <c r="C538">
        <f t="shared" ca="1" si="24"/>
        <v>0</v>
      </c>
      <c r="D538">
        <f t="shared" ca="1" si="25"/>
        <v>6516.2619362139303</v>
      </c>
    </row>
    <row r="539" spans="2:4" x14ac:dyDescent="0.25">
      <c r="B539">
        <f t="shared" ca="1" si="26"/>
        <v>43301.668894918541</v>
      </c>
      <c r="C539">
        <f t="shared" ca="1" si="24"/>
        <v>0</v>
      </c>
      <c r="D539">
        <f t="shared" ca="1" si="25"/>
        <v>3301.6688949185409</v>
      </c>
    </row>
    <row r="540" spans="2:4" x14ac:dyDescent="0.25">
      <c r="B540">
        <f t="shared" ca="1" si="26"/>
        <v>39829.797277636411</v>
      </c>
      <c r="C540">
        <f t="shared" ca="1" si="24"/>
        <v>170.20272236358869</v>
      </c>
      <c r="D540">
        <f t="shared" ca="1" si="25"/>
        <v>0</v>
      </c>
    </row>
    <row r="541" spans="2:4" x14ac:dyDescent="0.25">
      <c r="B541">
        <f t="shared" ca="1" si="26"/>
        <v>36779.357520516925</v>
      </c>
      <c r="C541">
        <f t="shared" ca="1" si="24"/>
        <v>3220.6424794830746</v>
      </c>
      <c r="D541">
        <f t="shared" ca="1" si="25"/>
        <v>0</v>
      </c>
    </row>
    <row r="542" spans="2:4" x14ac:dyDescent="0.25">
      <c r="B542">
        <f t="shared" ca="1" si="26"/>
        <v>45161.252272180682</v>
      </c>
      <c r="C542">
        <f t="shared" ca="1" si="24"/>
        <v>0</v>
      </c>
      <c r="D542">
        <f t="shared" ca="1" si="25"/>
        <v>5161.2522721806818</v>
      </c>
    </row>
    <row r="543" spans="2:4" x14ac:dyDescent="0.25">
      <c r="B543">
        <f t="shared" ca="1" si="26"/>
        <v>36913.809434874835</v>
      </c>
      <c r="C543">
        <f t="shared" ca="1" si="24"/>
        <v>3086.1905651251654</v>
      </c>
      <c r="D543">
        <f t="shared" ca="1" si="25"/>
        <v>0</v>
      </c>
    </row>
    <row r="544" spans="2:4" x14ac:dyDescent="0.25">
      <c r="B544">
        <f t="shared" ca="1" si="26"/>
        <v>53631.899204774163</v>
      </c>
      <c r="C544">
        <f t="shared" ca="1" si="24"/>
        <v>0</v>
      </c>
      <c r="D544">
        <f t="shared" ca="1" si="25"/>
        <v>13631.899204774163</v>
      </c>
    </row>
    <row r="545" spans="2:4" x14ac:dyDescent="0.25">
      <c r="B545">
        <f t="shared" ca="1" si="26"/>
        <v>40135.724601076538</v>
      </c>
      <c r="C545">
        <f t="shared" ca="1" si="24"/>
        <v>0</v>
      </c>
      <c r="D545">
        <f t="shared" ca="1" si="25"/>
        <v>135.72460107653751</v>
      </c>
    </row>
    <row r="546" spans="2:4" x14ac:dyDescent="0.25">
      <c r="B546">
        <f t="shared" ca="1" si="26"/>
        <v>49641.367229220516</v>
      </c>
      <c r="C546">
        <f t="shared" ca="1" si="24"/>
        <v>0</v>
      </c>
      <c r="D546">
        <f t="shared" ca="1" si="25"/>
        <v>9641.3672292205156</v>
      </c>
    </row>
    <row r="547" spans="2:4" x14ac:dyDescent="0.25">
      <c r="B547">
        <f t="shared" ca="1" si="26"/>
        <v>52097.227925844141</v>
      </c>
      <c r="C547">
        <f t="shared" ca="1" si="24"/>
        <v>0</v>
      </c>
      <c r="D547">
        <f t="shared" ca="1" si="25"/>
        <v>12097.227925844141</v>
      </c>
    </row>
    <row r="548" spans="2:4" x14ac:dyDescent="0.25">
      <c r="B548">
        <f t="shared" ca="1" si="26"/>
        <v>46581.899102309566</v>
      </c>
      <c r="C548">
        <f t="shared" ca="1" si="24"/>
        <v>0</v>
      </c>
      <c r="D548">
        <f t="shared" ca="1" si="25"/>
        <v>6581.8991023095659</v>
      </c>
    </row>
    <row r="549" spans="2:4" x14ac:dyDescent="0.25">
      <c r="B549">
        <f t="shared" ca="1" si="26"/>
        <v>33400.133972212207</v>
      </c>
      <c r="C549">
        <f t="shared" ca="1" si="24"/>
        <v>6599.8660277877934</v>
      </c>
      <c r="D549">
        <f t="shared" ca="1" si="25"/>
        <v>0</v>
      </c>
    </row>
    <row r="550" spans="2:4" x14ac:dyDescent="0.25">
      <c r="B550">
        <f t="shared" ca="1" si="26"/>
        <v>49755.995694246834</v>
      </c>
      <c r="C550">
        <f t="shared" ca="1" si="24"/>
        <v>0</v>
      </c>
      <c r="D550">
        <f t="shared" ca="1" si="25"/>
        <v>9755.9956942468343</v>
      </c>
    </row>
    <row r="551" spans="2:4" x14ac:dyDescent="0.25">
      <c r="B551">
        <f t="shared" ca="1" si="26"/>
        <v>45994.660885302197</v>
      </c>
      <c r="C551">
        <f t="shared" ca="1" si="24"/>
        <v>0</v>
      </c>
      <c r="D551">
        <f t="shared" ca="1" si="25"/>
        <v>5994.6608853021971</v>
      </c>
    </row>
    <row r="552" spans="2:4" x14ac:dyDescent="0.25">
      <c r="B552">
        <f t="shared" ca="1" si="26"/>
        <v>44020.262958032225</v>
      </c>
      <c r="C552">
        <f t="shared" ca="1" si="24"/>
        <v>0</v>
      </c>
      <c r="D552">
        <f t="shared" ca="1" si="25"/>
        <v>4020.2629580322246</v>
      </c>
    </row>
    <row r="553" spans="2:4" x14ac:dyDescent="0.25">
      <c r="B553">
        <f t="shared" ca="1" si="26"/>
        <v>44066.704215966245</v>
      </c>
      <c r="C553">
        <f t="shared" ca="1" si="24"/>
        <v>0</v>
      </c>
      <c r="D553">
        <f t="shared" ca="1" si="25"/>
        <v>4066.7042159662451</v>
      </c>
    </row>
    <row r="554" spans="2:4" x14ac:dyDescent="0.25">
      <c r="B554">
        <f t="shared" ca="1" si="26"/>
        <v>46220.115939864692</v>
      </c>
      <c r="C554">
        <f t="shared" ca="1" si="24"/>
        <v>0</v>
      </c>
      <c r="D554">
        <f t="shared" ca="1" si="25"/>
        <v>6220.1159398646923</v>
      </c>
    </row>
    <row r="555" spans="2:4" x14ac:dyDescent="0.25">
      <c r="B555">
        <f t="shared" ca="1" si="26"/>
        <v>42737.149050712382</v>
      </c>
      <c r="C555">
        <f t="shared" ca="1" si="24"/>
        <v>0</v>
      </c>
      <c r="D555">
        <f t="shared" ca="1" si="25"/>
        <v>2737.1490507123817</v>
      </c>
    </row>
    <row r="556" spans="2:4" x14ac:dyDescent="0.25">
      <c r="B556">
        <f t="shared" ca="1" si="26"/>
        <v>40847.4762872836</v>
      </c>
      <c r="C556">
        <f t="shared" ca="1" si="24"/>
        <v>0</v>
      </c>
      <c r="D556">
        <f t="shared" ca="1" si="25"/>
        <v>847.47628728359996</v>
      </c>
    </row>
    <row r="557" spans="2:4" x14ac:dyDescent="0.25">
      <c r="B557">
        <f t="shared" ca="1" si="26"/>
        <v>37074.806236138058</v>
      </c>
      <c r="C557">
        <f t="shared" ca="1" si="24"/>
        <v>2925.193763861942</v>
      </c>
      <c r="D557">
        <f t="shared" ca="1" si="25"/>
        <v>0</v>
      </c>
    </row>
    <row r="558" spans="2:4" x14ac:dyDescent="0.25">
      <c r="B558">
        <f t="shared" ca="1" si="26"/>
        <v>47219.965917800087</v>
      </c>
      <c r="C558">
        <f t="shared" ca="1" si="24"/>
        <v>0</v>
      </c>
      <c r="D558">
        <f t="shared" ca="1" si="25"/>
        <v>7219.9659178000875</v>
      </c>
    </row>
    <row r="559" spans="2:4" x14ac:dyDescent="0.25">
      <c r="B559">
        <f t="shared" ca="1" si="26"/>
        <v>50804.592229430178</v>
      </c>
      <c r="C559">
        <f t="shared" ca="1" si="24"/>
        <v>0</v>
      </c>
      <c r="D559">
        <f t="shared" ca="1" si="25"/>
        <v>10804.592229430178</v>
      </c>
    </row>
    <row r="560" spans="2:4" x14ac:dyDescent="0.25">
      <c r="B560">
        <f t="shared" ca="1" si="26"/>
        <v>46701.678617240068</v>
      </c>
      <c r="C560">
        <f t="shared" ca="1" si="24"/>
        <v>0</v>
      </c>
      <c r="D560">
        <f t="shared" ca="1" si="25"/>
        <v>6701.678617240068</v>
      </c>
    </row>
    <row r="561" spans="2:4" x14ac:dyDescent="0.25">
      <c r="B561">
        <f t="shared" ca="1" si="26"/>
        <v>41410.328027307791</v>
      </c>
      <c r="C561">
        <f t="shared" ca="1" si="24"/>
        <v>0</v>
      </c>
      <c r="D561">
        <f t="shared" ca="1" si="25"/>
        <v>1410.3280273077908</v>
      </c>
    </row>
    <row r="562" spans="2:4" x14ac:dyDescent="0.25">
      <c r="B562">
        <f t="shared" ca="1" si="26"/>
        <v>36898.148514071101</v>
      </c>
      <c r="C562">
        <f t="shared" ca="1" si="24"/>
        <v>3101.8514859288989</v>
      </c>
      <c r="D562">
        <f t="shared" ca="1" si="25"/>
        <v>0</v>
      </c>
    </row>
    <row r="563" spans="2:4" x14ac:dyDescent="0.25">
      <c r="B563">
        <f t="shared" ca="1" si="26"/>
        <v>41963.028453539613</v>
      </c>
      <c r="C563">
        <f t="shared" ca="1" si="24"/>
        <v>0</v>
      </c>
      <c r="D563">
        <f t="shared" ca="1" si="25"/>
        <v>1963.0284535396131</v>
      </c>
    </row>
    <row r="564" spans="2:4" x14ac:dyDescent="0.25">
      <c r="B564">
        <f t="shared" ca="1" si="26"/>
        <v>34014.893946592616</v>
      </c>
      <c r="C564">
        <f t="shared" ca="1" si="24"/>
        <v>5985.106053407384</v>
      </c>
      <c r="D564">
        <f t="shared" ca="1" si="25"/>
        <v>0</v>
      </c>
    </row>
    <row r="565" spans="2:4" x14ac:dyDescent="0.25">
      <c r="B565">
        <f t="shared" ca="1" si="26"/>
        <v>36587.630154928447</v>
      </c>
      <c r="C565">
        <f t="shared" ca="1" si="24"/>
        <v>3412.3698450715528</v>
      </c>
      <c r="D565">
        <f t="shared" ca="1" si="25"/>
        <v>0</v>
      </c>
    </row>
    <row r="566" spans="2:4" x14ac:dyDescent="0.25">
      <c r="B566">
        <f t="shared" ca="1" si="26"/>
        <v>46998.666309770255</v>
      </c>
      <c r="C566">
        <f t="shared" ca="1" si="24"/>
        <v>0</v>
      </c>
      <c r="D566">
        <f t="shared" ca="1" si="25"/>
        <v>6998.6663097702549</v>
      </c>
    </row>
    <row r="567" spans="2:4" x14ac:dyDescent="0.25">
      <c r="B567">
        <f t="shared" ca="1" si="26"/>
        <v>42309.994828575611</v>
      </c>
      <c r="C567">
        <f t="shared" ca="1" si="24"/>
        <v>0</v>
      </c>
      <c r="D567">
        <f t="shared" ca="1" si="25"/>
        <v>2309.9948285756109</v>
      </c>
    </row>
    <row r="568" spans="2:4" x14ac:dyDescent="0.25">
      <c r="B568">
        <f t="shared" ca="1" si="26"/>
        <v>42496.200652381202</v>
      </c>
      <c r="C568">
        <f t="shared" ca="1" si="24"/>
        <v>0</v>
      </c>
      <c r="D568">
        <f t="shared" ca="1" si="25"/>
        <v>2496.2006523812015</v>
      </c>
    </row>
    <row r="569" spans="2:4" x14ac:dyDescent="0.25">
      <c r="B569">
        <f t="shared" ca="1" si="26"/>
        <v>49015.38986113303</v>
      </c>
      <c r="C569">
        <f t="shared" ca="1" si="24"/>
        <v>0</v>
      </c>
      <c r="D569">
        <f t="shared" ca="1" si="25"/>
        <v>9015.3898611330296</v>
      </c>
    </row>
    <row r="570" spans="2:4" x14ac:dyDescent="0.25">
      <c r="B570">
        <f t="shared" ca="1" si="26"/>
        <v>45533.167246050449</v>
      </c>
      <c r="C570">
        <f t="shared" ca="1" si="24"/>
        <v>0</v>
      </c>
      <c r="D570">
        <f t="shared" ca="1" si="25"/>
        <v>5533.1672460504487</v>
      </c>
    </row>
    <row r="571" spans="2:4" x14ac:dyDescent="0.25">
      <c r="B571">
        <f t="shared" ca="1" si="26"/>
        <v>43346.204071892906</v>
      </c>
      <c r="C571">
        <f t="shared" ca="1" si="24"/>
        <v>0</v>
      </c>
      <c r="D571">
        <f t="shared" ca="1" si="25"/>
        <v>3346.2040718929056</v>
      </c>
    </row>
    <row r="572" spans="2:4" x14ac:dyDescent="0.25">
      <c r="B572">
        <f t="shared" ca="1" si="26"/>
        <v>41070.53300908114</v>
      </c>
      <c r="C572">
        <f t="shared" ca="1" si="24"/>
        <v>0</v>
      </c>
      <c r="D572">
        <f t="shared" ca="1" si="25"/>
        <v>1070.5330090811403</v>
      </c>
    </row>
    <row r="573" spans="2:4" x14ac:dyDescent="0.25">
      <c r="B573">
        <f t="shared" ca="1" si="26"/>
        <v>56431.31323143289</v>
      </c>
      <c r="C573">
        <f t="shared" ca="1" si="24"/>
        <v>0</v>
      </c>
      <c r="D573">
        <f t="shared" ca="1" si="25"/>
        <v>16431.31323143289</v>
      </c>
    </row>
    <row r="574" spans="2:4" x14ac:dyDescent="0.25">
      <c r="B574">
        <f t="shared" ca="1" si="26"/>
        <v>43573.435832191666</v>
      </c>
      <c r="C574">
        <f t="shared" ca="1" si="24"/>
        <v>0</v>
      </c>
      <c r="D574">
        <f t="shared" ca="1" si="25"/>
        <v>3573.4358321916661</v>
      </c>
    </row>
    <row r="575" spans="2:4" x14ac:dyDescent="0.25">
      <c r="B575">
        <f t="shared" ca="1" si="26"/>
        <v>42219.251058526002</v>
      </c>
      <c r="C575">
        <f t="shared" ca="1" si="24"/>
        <v>0</v>
      </c>
      <c r="D575">
        <f t="shared" ca="1" si="25"/>
        <v>2219.2510585260025</v>
      </c>
    </row>
    <row r="576" spans="2:4" x14ac:dyDescent="0.25">
      <c r="B576">
        <f t="shared" ca="1" si="26"/>
        <v>40427.959619618123</v>
      </c>
      <c r="C576">
        <f t="shared" ca="1" si="24"/>
        <v>0</v>
      </c>
      <c r="D576">
        <f t="shared" ca="1" si="25"/>
        <v>427.95961961812282</v>
      </c>
    </row>
    <row r="577" spans="2:4" x14ac:dyDescent="0.25">
      <c r="B577">
        <f t="shared" ca="1" si="26"/>
        <v>37807.589428435327</v>
      </c>
      <c r="C577">
        <f t="shared" ca="1" si="24"/>
        <v>2192.4105715646729</v>
      </c>
      <c r="D577">
        <f t="shared" ca="1" si="25"/>
        <v>0</v>
      </c>
    </row>
    <row r="578" spans="2:4" x14ac:dyDescent="0.25">
      <c r="B578">
        <f t="shared" ca="1" si="26"/>
        <v>47869.89409715918</v>
      </c>
      <c r="C578">
        <f t="shared" ca="1" si="24"/>
        <v>0</v>
      </c>
      <c r="D578">
        <f t="shared" ca="1" si="25"/>
        <v>7869.8940971591801</v>
      </c>
    </row>
    <row r="579" spans="2:4" x14ac:dyDescent="0.25">
      <c r="B579">
        <f t="shared" ca="1" si="26"/>
        <v>41883.379806729776</v>
      </c>
      <c r="C579">
        <f t="shared" ca="1" si="24"/>
        <v>0</v>
      </c>
      <c r="D579">
        <f t="shared" ca="1" si="25"/>
        <v>1883.3798067297757</v>
      </c>
    </row>
    <row r="580" spans="2:4" x14ac:dyDescent="0.25">
      <c r="B580">
        <f t="shared" ca="1" si="26"/>
        <v>45728.666767931914</v>
      </c>
      <c r="C580">
        <f t="shared" ca="1" si="24"/>
        <v>0</v>
      </c>
      <c r="D580">
        <f t="shared" ca="1" si="25"/>
        <v>5728.6667679319144</v>
      </c>
    </row>
    <row r="581" spans="2:4" x14ac:dyDescent="0.25">
      <c r="B581">
        <f t="shared" ca="1" si="26"/>
        <v>46071.526384080658</v>
      </c>
      <c r="C581">
        <f t="shared" ca="1" si="24"/>
        <v>0</v>
      </c>
      <c r="D581">
        <f t="shared" ca="1" si="25"/>
        <v>6071.5263840806583</v>
      </c>
    </row>
    <row r="582" spans="2:4" x14ac:dyDescent="0.25">
      <c r="B582">
        <f t="shared" ca="1" si="26"/>
        <v>40300.149115757064</v>
      </c>
      <c r="C582">
        <f t="shared" ca="1" si="24"/>
        <v>0</v>
      </c>
      <c r="D582">
        <f t="shared" ca="1" si="25"/>
        <v>300.14911575706356</v>
      </c>
    </row>
    <row r="583" spans="2:4" x14ac:dyDescent="0.25">
      <c r="B583">
        <f t="shared" ca="1" si="26"/>
        <v>52918.829526660149</v>
      </c>
      <c r="C583">
        <f t="shared" ca="1" si="24"/>
        <v>0</v>
      </c>
      <c r="D583">
        <f t="shared" ca="1" si="25"/>
        <v>12918.829526660149</v>
      </c>
    </row>
    <row r="584" spans="2:4" x14ac:dyDescent="0.25">
      <c r="B584">
        <f t="shared" ca="1" si="26"/>
        <v>53570.756972457566</v>
      </c>
      <c r="C584">
        <f t="shared" ca="1" si="24"/>
        <v>0</v>
      </c>
      <c r="D584">
        <f t="shared" ca="1" si="25"/>
        <v>13570.756972457566</v>
      </c>
    </row>
    <row r="585" spans="2:4" x14ac:dyDescent="0.25">
      <c r="B585">
        <f t="shared" ca="1" si="26"/>
        <v>43691.335332577102</v>
      </c>
      <c r="C585">
        <f t="shared" ca="1" si="24"/>
        <v>0</v>
      </c>
      <c r="D585">
        <f t="shared" ca="1" si="25"/>
        <v>3691.3353325771022</v>
      </c>
    </row>
    <row r="586" spans="2:4" x14ac:dyDescent="0.25">
      <c r="B586">
        <f t="shared" ca="1" si="26"/>
        <v>43152.360134646922</v>
      </c>
      <c r="C586">
        <f t="shared" ca="1" si="24"/>
        <v>0</v>
      </c>
      <c r="D586">
        <f t="shared" ca="1" si="25"/>
        <v>3152.3601346469222</v>
      </c>
    </row>
    <row r="587" spans="2:4" x14ac:dyDescent="0.25">
      <c r="B587">
        <f t="shared" ca="1" si="26"/>
        <v>46527.34683243715</v>
      </c>
      <c r="C587">
        <f t="shared" ca="1" si="24"/>
        <v>0</v>
      </c>
      <c r="D587">
        <f t="shared" ca="1" si="25"/>
        <v>6527.3468324371497</v>
      </c>
    </row>
    <row r="588" spans="2:4" x14ac:dyDescent="0.25">
      <c r="B588">
        <f t="shared" ca="1" si="26"/>
        <v>43332.009299941135</v>
      </c>
      <c r="C588">
        <f t="shared" ref="C588:C651" ca="1" si="27">IF(MAX($B$2-B588)&lt;0,0,$B$2-B588)</f>
        <v>0</v>
      </c>
      <c r="D588">
        <f t="shared" ref="D588:D651" ca="1" si="28">IF(MAX(B588-$B$2)&lt;0,0,B588-$B$2)</f>
        <v>3332.0092999411354</v>
      </c>
    </row>
    <row r="589" spans="2:4" x14ac:dyDescent="0.25">
      <c r="B589">
        <f t="shared" ref="B589:B652" ca="1" si="29">$B$1*EXP((($B$4-($B$3^2)/2)*$B$5+$B$3*SQRT($B$5)*NORMSINV(RAND())))</f>
        <v>40986.725190453144</v>
      </c>
      <c r="C589">
        <f t="shared" ca="1" si="27"/>
        <v>0</v>
      </c>
      <c r="D589">
        <f t="shared" ca="1" si="28"/>
        <v>986.72519045314402</v>
      </c>
    </row>
    <row r="590" spans="2:4" x14ac:dyDescent="0.25">
      <c r="B590">
        <f t="shared" ca="1" si="29"/>
        <v>49720.0859870563</v>
      </c>
      <c r="C590">
        <f t="shared" ca="1" si="27"/>
        <v>0</v>
      </c>
      <c r="D590">
        <f t="shared" ca="1" si="28"/>
        <v>9720.0859870562999</v>
      </c>
    </row>
    <row r="591" spans="2:4" x14ac:dyDescent="0.25">
      <c r="B591">
        <f t="shared" ca="1" si="29"/>
        <v>52445.281397429761</v>
      </c>
      <c r="C591">
        <f t="shared" ca="1" si="27"/>
        <v>0</v>
      </c>
      <c r="D591">
        <f t="shared" ca="1" si="28"/>
        <v>12445.281397429761</v>
      </c>
    </row>
    <row r="592" spans="2:4" x14ac:dyDescent="0.25">
      <c r="B592">
        <f t="shared" ca="1" si="29"/>
        <v>54542.893764516601</v>
      </c>
      <c r="C592">
        <f t="shared" ca="1" si="27"/>
        <v>0</v>
      </c>
      <c r="D592">
        <f t="shared" ca="1" si="28"/>
        <v>14542.893764516601</v>
      </c>
    </row>
    <row r="593" spans="2:4" x14ac:dyDescent="0.25">
      <c r="B593">
        <f t="shared" ca="1" si="29"/>
        <v>47675.097623148191</v>
      </c>
      <c r="C593">
        <f t="shared" ca="1" si="27"/>
        <v>0</v>
      </c>
      <c r="D593">
        <f t="shared" ca="1" si="28"/>
        <v>7675.0976231481909</v>
      </c>
    </row>
    <row r="594" spans="2:4" x14ac:dyDescent="0.25">
      <c r="B594">
        <f t="shared" ca="1" si="29"/>
        <v>46031.759177082648</v>
      </c>
      <c r="C594">
        <f t="shared" ca="1" si="27"/>
        <v>0</v>
      </c>
      <c r="D594">
        <f t="shared" ca="1" si="28"/>
        <v>6031.7591770826475</v>
      </c>
    </row>
    <row r="595" spans="2:4" x14ac:dyDescent="0.25">
      <c r="B595">
        <f t="shared" ca="1" si="29"/>
        <v>48871.761233399877</v>
      </c>
      <c r="C595">
        <f t="shared" ca="1" si="27"/>
        <v>0</v>
      </c>
      <c r="D595">
        <f t="shared" ca="1" si="28"/>
        <v>8871.7612333998768</v>
      </c>
    </row>
    <row r="596" spans="2:4" x14ac:dyDescent="0.25">
      <c r="B596">
        <f t="shared" ca="1" si="29"/>
        <v>35893.757404516036</v>
      </c>
      <c r="C596">
        <f t="shared" ca="1" si="27"/>
        <v>4106.2425954839637</v>
      </c>
      <c r="D596">
        <f t="shared" ca="1" si="28"/>
        <v>0</v>
      </c>
    </row>
    <row r="597" spans="2:4" x14ac:dyDescent="0.25">
      <c r="B597">
        <f t="shared" ca="1" si="29"/>
        <v>53528.92134241914</v>
      </c>
      <c r="C597">
        <f t="shared" ca="1" si="27"/>
        <v>0</v>
      </c>
      <c r="D597">
        <f t="shared" ca="1" si="28"/>
        <v>13528.92134241914</v>
      </c>
    </row>
    <row r="598" spans="2:4" x14ac:dyDescent="0.25">
      <c r="B598">
        <f t="shared" ca="1" si="29"/>
        <v>40838.670057091702</v>
      </c>
      <c r="C598">
        <f t="shared" ca="1" si="27"/>
        <v>0</v>
      </c>
      <c r="D598">
        <f t="shared" ca="1" si="28"/>
        <v>838.67005709170189</v>
      </c>
    </row>
    <row r="599" spans="2:4" x14ac:dyDescent="0.25">
      <c r="B599">
        <f t="shared" ca="1" si="29"/>
        <v>49756.132041494646</v>
      </c>
      <c r="C599">
        <f t="shared" ca="1" si="27"/>
        <v>0</v>
      </c>
      <c r="D599">
        <f t="shared" ca="1" si="28"/>
        <v>9756.1320414946458</v>
      </c>
    </row>
    <row r="600" spans="2:4" x14ac:dyDescent="0.25">
      <c r="B600">
        <f t="shared" ca="1" si="29"/>
        <v>45959.622608333593</v>
      </c>
      <c r="C600">
        <f t="shared" ca="1" si="27"/>
        <v>0</v>
      </c>
      <c r="D600">
        <f t="shared" ca="1" si="28"/>
        <v>5959.6226083335932</v>
      </c>
    </row>
    <row r="601" spans="2:4" x14ac:dyDescent="0.25">
      <c r="B601">
        <f t="shared" ca="1" si="29"/>
        <v>51375.147870013534</v>
      </c>
      <c r="C601">
        <f t="shared" ca="1" si="27"/>
        <v>0</v>
      </c>
      <c r="D601">
        <f t="shared" ca="1" si="28"/>
        <v>11375.147870013534</v>
      </c>
    </row>
    <row r="602" spans="2:4" x14ac:dyDescent="0.25">
      <c r="B602">
        <f t="shared" ca="1" si="29"/>
        <v>47399.217010943343</v>
      </c>
      <c r="C602">
        <f t="shared" ca="1" si="27"/>
        <v>0</v>
      </c>
      <c r="D602">
        <f t="shared" ca="1" si="28"/>
        <v>7399.2170109433428</v>
      </c>
    </row>
    <row r="603" spans="2:4" x14ac:dyDescent="0.25">
      <c r="B603">
        <f t="shared" ca="1" si="29"/>
        <v>52855.018834452574</v>
      </c>
      <c r="C603">
        <f t="shared" ca="1" si="27"/>
        <v>0</v>
      </c>
      <c r="D603">
        <f t="shared" ca="1" si="28"/>
        <v>12855.018834452574</v>
      </c>
    </row>
    <row r="604" spans="2:4" x14ac:dyDescent="0.25">
      <c r="B604">
        <f t="shared" ca="1" si="29"/>
        <v>46514.628927358557</v>
      </c>
      <c r="C604">
        <f t="shared" ca="1" si="27"/>
        <v>0</v>
      </c>
      <c r="D604">
        <f t="shared" ca="1" si="28"/>
        <v>6514.6289273585571</v>
      </c>
    </row>
    <row r="605" spans="2:4" x14ac:dyDescent="0.25">
      <c r="B605">
        <f t="shared" ca="1" si="29"/>
        <v>42615.166401329174</v>
      </c>
      <c r="C605">
        <f t="shared" ca="1" si="27"/>
        <v>0</v>
      </c>
      <c r="D605">
        <f t="shared" ca="1" si="28"/>
        <v>2615.1664013291738</v>
      </c>
    </row>
    <row r="606" spans="2:4" x14ac:dyDescent="0.25">
      <c r="B606">
        <f t="shared" ca="1" si="29"/>
        <v>41783.083143245924</v>
      </c>
      <c r="C606">
        <f t="shared" ca="1" si="27"/>
        <v>0</v>
      </c>
      <c r="D606">
        <f t="shared" ca="1" si="28"/>
        <v>1783.0831432459236</v>
      </c>
    </row>
    <row r="607" spans="2:4" x14ac:dyDescent="0.25">
      <c r="B607">
        <f t="shared" ca="1" si="29"/>
        <v>41523.02792215041</v>
      </c>
      <c r="C607">
        <f t="shared" ca="1" si="27"/>
        <v>0</v>
      </c>
      <c r="D607">
        <f t="shared" ca="1" si="28"/>
        <v>1523.0279221504097</v>
      </c>
    </row>
    <row r="608" spans="2:4" x14ac:dyDescent="0.25">
      <c r="B608">
        <f t="shared" ca="1" si="29"/>
        <v>45380.357436535807</v>
      </c>
      <c r="C608">
        <f t="shared" ca="1" si="27"/>
        <v>0</v>
      </c>
      <c r="D608">
        <f t="shared" ca="1" si="28"/>
        <v>5380.3574365358072</v>
      </c>
    </row>
    <row r="609" spans="2:4" x14ac:dyDescent="0.25">
      <c r="B609">
        <f t="shared" ca="1" si="29"/>
        <v>44750.549203997471</v>
      </c>
      <c r="C609">
        <f t="shared" ca="1" si="27"/>
        <v>0</v>
      </c>
      <c r="D609">
        <f t="shared" ca="1" si="28"/>
        <v>4750.5492039974706</v>
      </c>
    </row>
    <row r="610" spans="2:4" x14ac:dyDescent="0.25">
      <c r="B610">
        <f t="shared" ca="1" si="29"/>
        <v>41697.68846307951</v>
      </c>
      <c r="C610">
        <f t="shared" ca="1" si="27"/>
        <v>0</v>
      </c>
      <c r="D610">
        <f t="shared" ca="1" si="28"/>
        <v>1697.6884630795103</v>
      </c>
    </row>
    <row r="611" spans="2:4" x14ac:dyDescent="0.25">
      <c r="B611">
        <f t="shared" ca="1" si="29"/>
        <v>51278.245442806903</v>
      </c>
      <c r="C611">
        <f t="shared" ca="1" si="27"/>
        <v>0</v>
      </c>
      <c r="D611">
        <f t="shared" ca="1" si="28"/>
        <v>11278.245442806903</v>
      </c>
    </row>
    <row r="612" spans="2:4" x14ac:dyDescent="0.25">
      <c r="B612">
        <f t="shared" ca="1" si="29"/>
        <v>45340.160884713609</v>
      </c>
      <c r="C612">
        <f t="shared" ca="1" si="27"/>
        <v>0</v>
      </c>
      <c r="D612">
        <f t="shared" ca="1" si="28"/>
        <v>5340.1608847136085</v>
      </c>
    </row>
    <row r="613" spans="2:4" x14ac:dyDescent="0.25">
      <c r="B613">
        <f t="shared" ca="1" si="29"/>
        <v>46371.311224102508</v>
      </c>
      <c r="C613">
        <f t="shared" ca="1" si="27"/>
        <v>0</v>
      </c>
      <c r="D613">
        <f t="shared" ca="1" si="28"/>
        <v>6371.3112241025083</v>
      </c>
    </row>
    <row r="614" spans="2:4" x14ac:dyDescent="0.25">
      <c r="B614">
        <f t="shared" ca="1" si="29"/>
        <v>43057.226082321635</v>
      </c>
      <c r="C614">
        <f t="shared" ca="1" si="27"/>
        <v>0</v>
      </c>
      <c r="D614">
        <f t="shared" ca="1" si="28"/>
        <v>3057.2260823216347</v>
      </c>
    </row>
    <row r="615" spans="2:4" x14ac:dyDescent="0.25">
      <c r="B615">
        <f t="shared" ca="1" si="29"/>
        <v>38806.280573771124</v>
      </c>
      <c r="C615">
        <f t="shared" ca="1" si="27"/>
        <v>1193.7194262288758</v>
      </c>
      <c r="D615">
        <f t="shared" ca="1" si="28"/>
        <v>0</v>
      </c>
    </row>
    <row r="616" spans="2:4" x14ac:dyDescent="0.25">
      <c r="B616">
        <f t="shared" ca="1" si="29"/>
        <v>46140.796699689337</v>
      </c>
      <c r="C616">
        <f t="shared" ca="1" si="27"/>
        <v>0</v>
      </c>
      <c r="D616">
        <f t="shared" ca="1" si="28"/>
        <v>6140.7966996893374</v>
      </c>
    </row>
    <row r="617" spans="2:4" x14ac:dyDescent="0.25">
      <c r="B617">
        <f t="shared" ca="1" si="29"/>
        <v>56365.29710050112</v>
      </c>
      <c r="C617">
        <f t="shared" ca="1" si="27"/>
        <v>0</v>
      </c>
      <c r="D617">
        <f t="shared" ca="1" si="28"/>
        <v>16365.29710050112</v>
      </c>
    </row>
    <row r="618" spans="2:4" x14ac:dyDescent="0.25">
      <c r="B618">
        <f t="shared" ca="1" si="29"/>
        <v>52063.411533127888</v>
      </c>
      <c r="C618">
        <f t="shared" ca="1" si="27"/>
        <v>0</v>
      </c>
      <c r="D618">
        <f t="shared" ca="1" si="28"/>
        <v>12063.411533127888</v>
      </c>
    </row>
    <row r="619" spans="2:4" x14ac:dyDescent="0.25">
      <c r="B619">
        <f t="shared" ca="1" si="29"/>
        <v>50232.425511478214</v>
      </c>
      <c r="C619">
        <f t="shared" ca="1" si="27"/>
        <v>0</v>
      </c>
      <c r="D619">
        <f t="shared" ca="1" si="28"/>
        <v>10232.425511478214</v>
      </c>
    </row>
    <row r="620" spans="2:4" x14ac:dyDescent="0.25">
      <c r="B620">
        <f t="shared" ca="1" si="29"/>
        <v>39811.559736946991</v>
      </c>
      <c r="C620">
        <f t="shared" ca="1" si="27"/>
        <v>188.4402630530094</v>
      </c>
      <c r="D620">
        <f t="shared" ca="1" si="28"/>
        <v>0</v>
      </c>
    </row>
    <row r="621" spans="2:4" x14ac:dyDescent="0.25">
      <c r="B621">
        <f t="shared" ca="1" si="29"/>
        <v>41777.944710337193</v>
      </c>
      <c r="C621">
        <f t="shared" ca="1" si="27"/>
        <v>0</v>
      </c>
      <c r="D621">
        <f t="shared" ca="1" si="28"/>
        <v>1777.9447103371931</v>
      </c>
    </row>
    <row r="622" spans="2:4" x14ac:dyDescent="0.25">
      <c r="B622">
        <f t="shared" ca="1" si="29"/>
        <v>42215.773289547476</v>
      </c>
      <c r="C622">
        <f t="shared" ca="1" si="27"/>
        <v>0</v>
      </c>
      <c r="D622">
        <f t="shared" ca="1" si="28"/>
        <v>2215.7732895474765</v>
      </c>
    </row>
    <row r="623" spans="2:4" x14ac:dyDescent="0.25">
      <c r="B623">
        <f t="shared" ca="1" si="29"/>
        <v>44411.45557260896</v>
      </c>
      <c r="C623">
        <f t="shared" ca="1" si="27"/>
        <v>0</v>
      </c>
      <c r="D623">
        <f t="shared" ca="1" si="28"/>
        <v>4411.4555726089602</v>
      </c>
    </row>
    <row r="624" spans="2:4" x14ac:dyDescent="0.25">
      <c r="B624">
        <f t="shared" ca="1" si="29"/>
        <v>52325.395692795719</v>
      </c>
      <c r="C624">
        <f t="shared" ca="1" si="27"/>
        <v>0</v>
      </c>
      <c r="D624">
        <f t="shared" ca="1" si="28"/>
        <v>12325.395692795719</v>
      </c>
    </row>
    <row r="625" spans="2:4" x14ac:dyDescent="0.25">
      <c r="B625">
        <f t="shared" ca="1" si="29"/>
        <v>46303.85853467392</v>
      </c>
      <c r="C625">
        <f t="shared" ca="1" si="27"/>
        <v>0</v>
      </c>
      <c r="D625">
        <f t="shared" ca="1" si="28"/>
        <v>6303.8585346739201</v>
      </c>
    </row>
    <row r="626" spans="2:4" x14ac:dyDescent="0.25">
      <c r="B626">
        <f t="shared" ca="1" si="29"/>
        <v>38463.158744088905</v>
      </c>
      <c r="C626">
        <f t="shared" ca="1" si="27"/>
        <v>1536.8412559110948</v>
      </c>
      <c r="D626">
        <f t="shared" ca="1" si="28"/>
        <v>0</v>
      </c>
    </row>
    <row r="627" spans="2:4" x14ac:dyDescent="0.25">
      <c r="B627">
        <f t="shared" ca="1" si="29"/>
        <v>46695.240832884811</v>
      </c>
      <c r="C627">
        <f t="shared" ca="1" si="27"/>
        <v>0</v>
      </c>
      <c r="D627">
        <f t="shared" ca="1" si="28"/>
        <v>6695.2408328848105</v>
      </c>
    </row>
    <row r="628" spans="2:4" x14ac:dyDescent="0.25">
      <c r="B628">
        <f t="shared" ca="1" si="29"/>
        <v>40309.798036966684</v>
      </c>
      <c r="C628">
        <f t="shared" ca="1" si="27"/>
        <v>0</v>
      </c>
      <c r="D628">
        <f t="shared" ca="1" si="28"/>
        <v>309.79803696668387</v>
      </c>
    </row>
    <row r="629" spans="2:4" x14ac:dyDescent="0.25">
      <c r="B629">
        <f t="shared" ca="1" si="29"/>
        <v>44614.86424409609</v>
      </c>
      <c r="C629">
        <f t="shared" ca="1" si="27"/>
        <v>0</v>
      </c>
      <c r="D629">
        <f t="shared" ca="1" si="28"/>
        <v>4614.8642440960903</v>
      </c>
    </row>
    <row r="630" spans="2:4" x14ac:dyDescent="0.25">
      <c r="B630">
        <f t="shared" ca="1" si="29"/>
        <v>57382.099606701071</v>
      </c>
      <c r="C630">
        <f t="shared" ca="1" si="27"/>
        <v>0</v>
      </c>
      <c r="D630">
        <f t="shared" ca="1" si="28"/>
        <v>17382.099606701071</v>
      </c>
    </row>
    <row r="631" spans="2:4" x14ac:dyDescent="0.25">
      <c r="B631">
        <f t="shared" ca="1" si="29"/>
        <v>46406.189720826638</v>
      </c>
      <c r="C631">
        <f t="shared" ca="1" si="27"/>
        <v>0</v>
      </c>
      <c r="D631">
        <f t="shared" ca="1" si="28"/>
        <v>6406.1897208266382</v>
      </c>
    </row>
    <row r="632" spans="2:4" x14ac:dyDescent="0.25">
      <c r="B632">
        <f t="shared" ca="1" si="29"/>
        <v>50382.585383165286</v>
      </c>
      <c r="C632">
        <f t="shared" ca="1" si="27"/>
        <v>0</v>
      </c>
      <c r="D632">
        <f t="shared" ca="1" si="28"/>
        <v>10382.585383165286</v>
      </c>
    </row>
    <row r="633" spans="2:4" x14ac:dyDescent="0.25">
      <c r="B633">
        <f t="shared" ca="1" si="29"/>
        <v>49962.3567326427</v>
      </c>
      <c r="C633">
        <f t="shared" ca="1" si="27"/>
        <v>0</v>
      </c>
      <c r="D633">
        <f t="shared" ca="1" si="28"/>
        <v>9962.3567326427001</v>
      </c>
    </row>
    <row r="634" spans="2:4" x14ac:dyDescent="0.25">
      <c r="B634">
        <f t="shared" ca="1" si="29"/>
        <v>42856.211242938189</v>
      </c>
      <c r="C634">
        <f t="shared" ca="1" si="27"/>
        <v>0</v>
      </c>
      <c r="D634">
        <f t="shared" ca="1" si="28"/>
        <v>2856.2112429381887</v>
      </c>
    </row>
    <row r="635" spans="2:4" x14ac:dyDescent="0.25">
      <c r="B635">
        <f t="shared" ca="1" si="29"/>
        <v>42380.973916358038</v>
      </c>
      <c r="C635">
        <f t="shared" ca="1" si="27"/>
        <v>0</v>
      </c>
      <c r="D635">
        <f t="shared" ca="1" si="28"/>
        <v>2380.973916358038</v>
      </c>
    </row>
    <row r="636" spans="2:4" x14ac:dyDescent="0.25">
      <c r="B636">
        <f t="shared" ca="1" si="29"/>
        <v>43511.265262269852</v>
      </c>
      <c r="C636">
        <f t="shared" ca="1" si="27"/>
        <v>0</v>
      </c>
      <c r="D636">
        <f t="shared" ca="1" si="28"/>
        <v>3511.2652622698515</v>
      </c>
    </row>
    <row r="637" spans="2:4" x14ac:dyDescent="0.25">
      <c r="B637">
        <f t="shared" ca="1" si="29"/>
        <v>39790.500422168159</v>
      </c>
      <c r="C637">
        <f t="shared" ca="1" si="27"/>
        <v>209.49957783184072</v>
      </c>
      <c r="D637">
        <f t="shared" ca="1" si="28"/>
        <v>0</v>
      </c>
    </row>
    <row r="638" spans="2:4" x14ac:dyDescent="0.25">
      <c r="B638">
        <f t="shared" ca="1" si="29"/>
        <v>47786.880543026367</v>
      </c>
      <c r="C638">
        <f t="shared" ca="1" si="27"/>
        <v>0</v>
      </c>
      <c r="D638">
        <f t="shared" ca="1" si="28"/>
        <v>7786.8805430263674</v>
      </c>
    </row>
    <row r="639" spans="2:4" x14ac:dyDescent="0.25">
      <c r="B639">
        <f t="shared" ca="1" si="29"/>
        <v>41223.761693656852</v>
      </c>
      <c r="C639">
        <f t="shared" ca="1" si="27"/>
        <v>0</v>
      </c>
      <c r="D639">
        <f t="shared" ca="1" si="28"/>
        <v>1223.761693656852</v>
      </c>
    </row>
    <row r="640" spans="2:4" x14ac:dyDescent="0.25">
      <c r="B640">
        <f t="shared" ca="1" si="29"/>
        <v>47946.080971089475</v>
      </c>
      <c r="C640">
        <f t="shared" ca="1" si="27"/>
        <v>0</v>
      </c>
      <c r="D640">
        <f t="shared" ca="1" si="28"/>
        <v>7946.0809710894755</v>
      </c>
    </row>
    <row r="641" spans="2:4" x14ac:dyDescent="0.25">
      <c r="B641">
        <f t="shared" ca="1" si="29"/>
        <v>44410.190566444202</v>
      </c>
      <c r="C641">
        <f t="shared" ca="1" si="27"/>
        <v>0</v>
      </c>
      <c r="D641">
        <f t="shared" ca="1" si="28"/>
        <v>4410.190566444202</v>
      </c>
    </row>
    <row r="642" spans="2:4" x14ac:dyDescent="0.25">
      <c r="B642">
        <f t="shared" ca="1" si="29"/>
        <v>40344.768012256027</v>
      </c>
      <c r="C642">
        <f t="shared" ca="1" si="27"/>
        <v>0</v>
      </c>
      <c r="D642">
        <f t="shared" ca="1" si="28"/>
        <v>344.76801225602685</v>
      </c>
    </row>
    <row r="643" spans="2:4" x14ac:dyDescent="0.25">
      <c r="B643">
        <f t="shared" ca="1" si="29"/>
        <v>47907.954402569376</v>
      </c>
      <c r="C643">
        <f t="shared" ca="1" si="27"/>
        <v>0</v>
      </c>
      <c r="D643">
        <f t="shared" ca="1" si="28"/>
        <v>7907.9544025693758</v>
      </c>
    </row>
    <row r="644" spans="2:4" x14ac:dyDescent="0.25">
      <c r="B644">
        <f t="shared" ca="1" si="29"/>
        <v>50212.772804030516</v>
      </c>
      <c r="C644">
        <f t="shared" ca="1" si="27"/>
        <v>0</v>
      </c>
      <c r="D644">
        <f t="shared" ca="1" si="28"/>
        <v>10212.772804030516</v>
      </c>
    </row>
    <row r="645" spans="2:4" x14ac:dyDescent="0.25">
      <c r="B645">
        <f t="shared" ca="1" si="29"/>
        <v>39133.170762312024</v>
      </c>
      <c r="C645">
        <f t="shared" ca="1" si="27"/>
        <v>866.82923768797627</v>
      </c>
      <c r="D645">
        <f t="shared" ca="1" si="28"/>
        <v>0</v>
      </c>
    </row>
    <row r="646" spans="2:4" x14ac:dyDescent="0.25">
      <c r="B646">
        <f t="shared" ca="1" si="29"/>
        <v>44555.228235961091</v>
      </c>
      <c r="C646">
        <f t="shared" ca="1" si="27"/>
        <v>0</v>
      </c>
      <c r="D646">
        <f t="shared" ca="1" si="28"/>
        <v>4555.2282359610908</v>
      </c>
    </row>
    <row r="647" spans="2:4" x14ac:dyDescent="0.25">
      <c r="B647">
        <f t="shared" ca="1" si="29"/>
        <v>35619.569864371093</v>
      </c>
      <c r="C647">
        <f t="shared" ca="1" si="27"/>
        <v>4380.430135628907</v>
      </c>
      <c r="D647">
        <f t="shared" ca="1" si="28"/>
        <v>0</v>
      </c>
    </row>
    <row r="648" spans="2:4" x14ac:dyDescent="0.25">
      <c r="B648">
        <f t="shared" ca="1" si="29"/>
        <v>47145.154666710027</v>
      </c>
      <c r="C648">
        <f t="shared" ca="1" si="27"/>
        <v>0</v>
      </c>
      <c r="D648">
        <f t="shared" ca="1" si="28"/>
        <v>7145.1546667100265</v>
      </c>
    </row>
    <row r="649" spans="2:4" x14ac:dyDescent="0.25">
      <c r="B649">
        <f t="shared" ca="1" si="29"/>
        <v>45393.152265672725</v>
      </c>
      <c r="C649">
        <f t="shared" ca="1" si="27"/>
        <v>0</v>
      </c>
      <c r="D649">
        <f t="shared" ca="1" si="28"/>
        <v>5393.1522656727248</v>
      </c>
    </row>
    <row r="650" spans="2:4" x14ac:dyDescent="0.25">
      <c r="B650">
        <f t="shared" ca="1" si="29"/>
        <v>42729.769017189945</v>
      </c>
      <c r="C650">
        <f t="shared" ca="1" si="27"/>
        <v>0</v>
      </c>
      <c r="D650">
        <f t="shared" ca="1" si="28"/>
        <v>2729.7690171899449</v>
      </c>
    </row>
    <row r="651" spans="2:4" x14ac:dyDescent="0.25">
      <c r="B651">
        <f t="shared" ca="1" si="29"/>
        <v>40876.534463517288</v>
      </c>
      <c r="C651">
        <f t="shared" ca="1" si="27"/>
        <v>0</v>
      </c>
      <c r="D651">
        <f t="shared" ca="1" si="28"/>
        <v>876.5344635172878</v>
      </c>
    </row>
    <row r="652" spans="2:4" x14ac:dyDescent="0.25">
      <c r="B652">
        <f t="shared" ca="1" si="29"/>
        <v>46481.795659808784</v>
      </c>
      <c r="C652">
        <f t="shared" ref="C652:C715" ca="1" si="30">IF(MAX($B$2-B652)&lt;0,0,$B$2-B652)</f>
        <v>0</v>
      </c>
      <c r="D652">
        <f t="shared" ref="D652:D715" ca="1" si="31">IF(MAX(B652-$B$2)&lt;0,0,B652-$B$2)</f>
        <v>6481.795659808784</v>
      </c>
    </row>
    <row r="653" spans="2:4" x14ac:dyDescent="0.25">
      <c r="B653">
        <f t="shared" ref="B653:B716" ca="1" si="32">$B$1*EXP((($B$4-($B$3^2)/2)*$B$5+$B$3*SQRT($B$5)*NORMSINV(RAND())))</f>
        <v>48133.931253803014</v>
      </c>
      <c r="C653">
        <f t="shared" ca="1" si="30"/>
        <v>0</v>
      </c>
      <c r="D653">
        <f t="shared" ca="1" si="31"/>
        <v>8133.9312538030135</v>
      </c>
    </row>
    <row r="654" spans="2:4" x14ac:dyDescent="0.25">
      <c r="B654">
        <f t="shared" ca="1" si="32"/>
        <v>43824.950294079019</v>
      </c>
      <c r="C654">
        <f t="shared" ca="1" si="30"/>
        <v>0</v>
      </c>
      <c r="D654">
        <f t="shared" ca="1" si="31"/>
        <v>3824.9502940790189</v>
      </c>
    </row>
    <row r="655" spans="2:4" x14ac:dyDescent="0.25">
      <c r="B655">
        <f t="shared" ca="1" si="32"/>
        <v>40543.762696285667</v>
      </c>
      <c r="C655">
        <f t="shared" ca="1" si="30"/>
        <v>0</v>
      </c>
      <c r="D655">
        <f t="shared" ca="1" si="31"/>
        <v>543.76269628566661</v>
      </c>
    </row>
    <row r="656" spans="2:4" x14ac:dyDescent="0.25">
      <c r="B656">
        <f t="shared" ca="1" si="32"/>
        <v>45795.065800445249</v>
      </c>
      <c r="C656">
        <f t="shared" ca="1" si="30"/>
        <v>0</v>
      </c>
      <c r="D656">
        <f t="shared" ca="1" si="31"/>
        <v>5795.0658004452489</v>
      </c>
    </row>
    <row r="657" spans="2:4" x14ac:dyDescent="0.25">
      <c r="B657">
        <f t="shared" ca="1" si="32"/>
        <v>48076.301093201968</v>
      </c>
      <c r="C657">
        <f t="shared" ca="1" si="30"/>
        <v>0</v>
      </c>
      <c r="D657">
        <f t="shared" ca="1" si="31"/>
        <v>8076.3010932019679</v>
      </c>
    </row>
    <row r="658" spans="2:4" x14ac:dyDescent="0.25">
      <c r="B658">
        <f t="shared" ca="1" si="32"/>
        <v>38003.174606135261</v>
      </c>
      <c r="C658">
        <f t="shared" ca="1" si="30"/>
        <v>1996.8253938647395</v>
      </c>
      <c r="D658">
        <f t="shared" ca="1" si="31"/>
        <v>0</v>
      </c>
    </row>
    <row r="659" spans="2:4" x14ac:dyDescent="0.25">
      <c r="B659">
        <f t="shared" ca="1" si="32"/>
        <v>44522.224246274491</v>
      </c>
      <c r="C659">
        <f t="shared" ca="1" si="30"/>
        <v>0</v>
      </c>
      <c r="D659">
        <f t="shared" ca="1" si="31"/>
        <v>4522.2242462744907</v>
      </c>
    </row>
    <row r="660" spans="2:4" x14ac:dyDescent="0.25">
      <c r="B660">
        <f t="shared" ca="1" si="32"/>
        <v>52680.799009428134</v>
      </c>
      <c r="C660">
        <f t="shared" ca="1" si="30"/>
        <v>0</v>
      </c>
      <c r="D660">
        <f t="shared" ca="1" si="31"/>
        <v>12680.799009428134</v>
      </c>
    </row>
    <row r="661" spans="2:4" x14ac:dyDescent="0.25">
      <c r="B661">
        <f t="shared" ca="1" si="32"/>
        <v>42782.227715785964</v>
      </c>
      <c r="C661">
        <f t="shared" ca="1" si="30"/>
        <v>0</v>
      </c>
      <c r="D661">
        <f t="shared" ca="1" si="31"/>
        <v>2782.2277157859644</v>
      </c>
    </row>
    <row r="662" spans="2:4" x14ac:dyDescent="0.25">
      <c r="B662">
        <f t="shared" ca="1" si="32"/>
        <v>44543.508577931119</v>
      </c>
      <c r="C662">
        <f t="shared" ca="1" si="30"/>
        <v>0</v>
      </c>
      <c r="D662">
        <f t="shared" ca="1" si="31"/>
        <v>4543.5085779311194</v>
      </c>
    </row>
    <row r="663" spans="2:4" x14ac:dyDescent="0.25">
      <c r="B663">
        <f t="shared" ca="1" si="32"/>
        <v>47653.898812358457</v>
      </c>
      <c r="C663">
        <f t="shared" ca="1" si="30"/>
        <v>0</v>
      </c>
      <c r="D663">
        <f t="shared" ca="1" si="31"/>
        <v>7653.8988123584568</v>
      </c>
    </row>
    <row r="664" spans="2:4" x14ac:dyDescent="0.25">
      <c r="B664">
        <f t="shared" ca="1" si="32"/>
        <v>41464.152822083073</v>
      </c>
      <c r="C664">
        <f t="shared" ca="1" si="30"/>
        <v>0</v>
      </c>
      <c r="D664">
        <f t="shared" ca="1" si="31"/>
        <v>1464.1528220830733</v>
      </c>
    </row>
    <row r="665" spans="2:4" x14ac:dyDescent="0.25">
      <c r="B665">
        <f t="shared" ca="1" si="32"/>
        <v>43699.027272577565</v>
      </c>
      <c r="C665">
        <f t="shared" ca="1" si="30"/>
        <v>0</v>
      </c>
      <c r="D665">
        <f t="shared" ca="1" si="31"/>
        <v>3699.0272725775649</v>
      </c>
    </row>
    <row r="666" spans="2:4" x14ac:dyDescent="0.25">
      <c r="B666">
        <f t="shared" ca="1" si="32"/>
        <v>43967.703896170809</v>
      </c>
      <c r="C666">
        <f t="shared" ca="1" si="30"/>
        <v>0</v>
      </c>
      <c r="D666">
        <f t="shared" ca="1" si="31"/>
        <v>3967.7038961708095</v>
      </c>
    </row>
    <row r="667" spans="2:4" x14ac:dyDescent="0.25">
      <c r="B667">
        <f t="shared" ca="1" si="32"/>
        <v>45189.449227563302</v>
      </c>
      <c r="C667">
        <f t="shared" ca="1" si="30"/>
        <v>0</v>
      </c>
      <c r="D667">
        <f t="shared" ca="1" si="31"/>
        <v>5189.449227563302</v>
      </c>
    </row>
    <row r="668" spans="2:4" x14ac:dyDescent="0.25">
      <c r="B668">
        <f t="shared" ca="1" si="32"/>
        <v>45905.22432901671</v>
      </c>
      <c r="C668">
        <f t="shared" ca="1" si="30"/>
        <v>0</v>
      </c>
      <c r="D668">
        <f t="shared" ca="1" si="31"/>
        <v>5905.2243290167098</v>
      </c>
    </row>
    <row r="669" spans="2:4" x14ac:dyDescent="0.25">
      <c r="B669">
        <f t="shared" ca="1" si="32"/>
        <v>50510.898971600618</v>
      </c>
      <c r="C669">
        <f t="shared" ca="1" si="30"/>
        <v>0</v>
      </c>
      <c r="D669">
        <f t="shared" ca="1" si="31"/>
        <v>10510.898971600618</v>
      </c>
    </row>
    <row r="670" spans="2:4" x14ac:dyDescent="0.25">
      <c r="B670">
        <f t="shared" ca="1" si="32"/>
        <v>46749.311613994563</v>
      </c>
      <c r="C670">
        <f t="shared" ca="1" si="30"/>
        <v>0</v>
      </c>
      <c r="D670">
        <f t="shared" ca="1" si="31"/>
        <v>6749.3116139945632</v>
      </c>
    </row>
    <row r="671" spans="2:4" x14ac:dyDescent="0.25">
      <c r="B671">
        <f t="shared" ca="1" si="32"/>
        <v>41530.009185648392</v>
      </c>
      <c r="C671">
        <f t="shared" ca="1" si="30"/>
        <v>0</v>
      </c>
      <c r="D671">
        <f t="shared" ca="1" si="31"/>
        <v>1530.0091856483923</v>
      </c>
    </row>
    <row r="672" spans="2:4" x14ac:dyDescent="0.25">
      <c r="B672">
        <f t="shared" ca="1" si="32"/>
        <v>44803.475590227856</v>
      </c>
      <c r="C672">
        <f t="shared" ca="1" si="30"/>
        <v>0</v>
      </c>
      <c r="D672">
        <f t="shared" ca="1" si="31"/>
        <v>4803.4755902278557</v>
      </c>
    </row>
    <row r="673" spans="2:4" x14ac:dyDescent="0.25">
      <c r="B673">
        <f t="shared" ca="1" si="32"/>
        <v>45699.817647889446</v>
      </c>
      <c r="C673">
        <f t="shared" ca="1" si="30"/>
        <v>0</v>
      </c>
      <c r="D673">
        <f t="shared" ca="1" si="31"/>
        <v>5699.8176478894457</v>
      </c>
    </row>
    <row r="674" spans="2:4" x14ac:dyDescent="0.25">
      <c r="B674">
        <f t="shared" ca="1" si="32"/>
        <v>43893.180911405791</v>
      </c>
      <c r="C674">
        <f t="shared" ca="1" si="30"/>
        <v>0</v>
      </c>
      <c r="D674">
        <f t="shared" ca="1" si="31"/>
        <v>3893.1809114057905</v>
      </c>
    </row>
    <row r="675" spans="2:4" x14ac:dyDescent="0.25">
      <c r="B675">
        <f t="shared" ca="1" si="32"/>
        <v>40527.031076698382</v>
      </c>
      <c r="C675">
        <f t="shared" ca="1" si="30"/>
        <v>0</v>
      </c>
      <c r="D675">
        <f t="shared" ca="1" si="31"/>
        <v>527.03107669838209</v>
      </c>
    </row>
    <row r="676" spans="2:4" x14ac:dyDescent="0.25">
      <c r="B676">
        <f t="shared" ca="1" si="32"/>
        <v>49470.194039106129</v>
      </c>
      <c r="C676">
        <f t="shared" ca="1" si="30"/>
        <v>0</v>
      </c>
      <c r="D676">
        <f t="shared" ca="1" si="31"/>
        <v>9470.1940391061289</v>
      </c>
    </row>
    <row r="677" spans="2:4" x14ac:dyDescent="0.25">
      <c r="B677">
        <f t="shared" ca="1" si="32"/>
        <v>44181.20602796771</v>
      </c>
      <c r="C677">
        <f t="shared" ca="1" si="30"/>
        <v>0</v>
      </c>
      <c r="D677">
        <f t="shared" ca="1" si="31"/>
        <v>4181.2060279677098</v>
      </c>
    </row>
    <row r="678" spans="2:4" x14ac:dyDescent="0.25">
      <c r="B678">
        <f t="shared" ca="1" si="32"/>
        <v>38592.374400672561</v>
      </c>
      <c r="C678">
        <f t="shared" ca="1" si="30"/>
        <v>1407.625599327439</v>
      </c>
      <c r="D678">
        <f t="shared" ca="1" si="31"/>
        <v>0</v>
      </c>
    </row>
    <row r="679" spans="2:4" x14ac:dyDescent="0.25">
      <c r="B679">
        <f t="shared" ca="1" si="32"/>
        <v>43925.984576832096</v>
      </c>
      <c r="C679">
        <f t="shared" ca="1" si="30"/>
        <v>0</v>
      </c>
      <c r="D679">
        <f t="shared" ca="1" si="31"/>
        <v>3925.9845768320956</v>
      </c>
    </row>
    <row r="680" spans="2:4" x14ac:dyDescent="0.25">
      <c r="B680">
        <f t="shared" ca="1" si="32"/>
        <v>45400.974034326216</v>
      </c>
      <c r="C680">
        <f t="shared" ca="1" si="30"/>
        <v>0</v>
      </c>
      <c r="D680">
        <f t="shared" ca="1" si="31"/>
        <v>5400.9740343262165</v>
      </c>
    </row>
    <row r="681" spans="2:4" x14ac:dyDescent="0.25">
      <c r="B681">
        <f t="shared" ca="1" si="32"/>
        <v>48022.813484571809</v>
      </c>
      <c r="C681">
        <f t="shared" ca="1" si="30"/>
        <v>0</v>
      </c>
      <c r="D681">
        <f t="shared" ca="1" si="31"/>
        <v>8022.8134845718087</v>
      </c>
    </row>
    <row r="682" spans="2:4" x14ac:dyDescent="0.25">
      <c r="B682">
        <f t="shared" ca="1" si="32"/>
        <v>41103.939981743235</v>
      </c>
      <c r="C682">
        <f t="shared" ca="1" si="30"/>
        <v>0</v>
      </c>
      <c r="D682">
        <f t="shared" ca="1" si="31"/>
        <v>1103.939981743235</v>
      </c>
    </row>
    <row r="683" spans="2:4" x14ac:dyDescent="0.25">
      <c r="B683">
        <f t="shared" ca="1" si="32"/>
        <v>38910.623053143194</v>
      </c>
      <c r="C683">
        <f t="shared" ca="1" si="30"/>
        <v>1089.3769468568062</v>
      </c>
      <c r="D683">
        <f t="shared" ca="1" si="31"/>
        <v>0</v>
      </c>
    </row>
    <row r="684" spans="2:4" x14ac:dyDescent="0.25">
      <c r="B684">
        <f t="shared" ca="1" si="32"/>
        <v>48335.929527661254</v>
      </c>
      <c r="C684">
        <f t="shared" ca="1" si="30"/>
        <v>0</v>
      </c>
      <c r="D684">
        <f t="shared" ca="1" si="31"/>
        <v>8335.9295276612538</v>
      </c>
    </row>
    <row r="685" spans="2:4" x14ac:dyDescent="0.25">
      <c r="B685">
        <f t="shared" ca="1" si="32"/>
        <v>44012.050758213205</v>
      </c>
      <c r="C685">
        <f t="shared" ca="1" si="30"/>
        <v>0</v>
      </c>
      <c r="D685">
        <f t="shared" ca="1" si="31"/>
        <v>4012.050758213205</v>
      </c>
    </row>
    <row r="686" spans="2:4" x14ac:dyDescent="0.25">
      <c r="B686">
        <f t="shared" ca="1" si="32"/>
        <v>43893.37017562025</v>
      </c>
      <c r="C686">
        <f t="shared" ca="1" si="30"/>
        <v>0</v>
      </c>
      <c r="D686">
        <f t="shared" ca="1" si="31"/>
        <v>3893.3701756202499</v>
      </c>
    </row>
    <row r="687" spans="2:4" x14ac:dyDescent="0.25">
      <c r="B687">
        <f t="shared" ca="1" si="32"/>
        <v>40493.309184338912</v>
      </c>
      <c r="C687">
        <f t="shared" ca="1" si="30"/>
        <v>0</v>
      </c>
      <c r="D687">
        <f t="shared" ca="1" si="31"/>
        <v>493.30918433891202</v>
      </c>
    </row>
    <row r="688" spans="2:4" x14ac:dyDescent="0.25">
      <c r="B688">
        <f t="shared" ca="1" si="32"/>
        <v>49181.448256329546</v>
      </c>
      <c r="C688">
        <f t="shared" ca="1" si="30"/>
        <v>0</v>
      </c>
      <c r="D688">
        <f t="shared" ca="1" si="31"/>
        <v>9181.448256329546</v>
      </c>
    </row>
    <row r="689" spans="2:4" x14ac:dyDescent="0.25">
      <c r="B689">
        <f t="shared" ca="1" si="32"/>
        <v>40619.672674745918</v>
      </c>
      <c r="C689">
        <f t="shared" ca="1" si="30"/>
        <v>0</v>
      </c>
      <c r="D689">
        <f t="shared" ca="1" si="31"/>
        <v>619.6726747459179</v>
      </c>
    </row>
    <row r="690" spans="2:4" x14ac:dyDescent="0.25">
      <c r="B690">
        <f t="shared" ca="1" si="32"/>
        <v>40312.35201606249</v>
      </c>
      <c r="C690">
        <f t="shared" ca="1" si="30"/>
        <v>0</v>
      </c>
      <c r="D690">
        <f t="shared" ca="1" si="31"/>
        <v>312.35201606249029</v>
      </c>
    </row>
    <row r="691" spans="2:4" x14ac:dyDescent="0.25">
      <c r="B691">
        <f t="shared" ca="1" si="32"/>
        <v>39074.350483172493</v>
      </c>
      <c r="C691">
        <f t="shared" ca="1" si="30"/>
        <v>925.64951682750689</v>
      </c>
      <c r="D691">
        <f t="shared" ca="1" si="31"/>
        <v>0</v>
      </c>
    </row>
    <row r="692" spans="2:4" x14ac:dyDescent="0.25">
      <c r="B692">
        <f t="shared" ca="1" si="32"/>
        <v>50147.613661935146</v>
      </c>
      <c r="C692">
        <f t="shared" ca="1" si="30"/>
        <v>0</v>
      </c>
      <c r="D692">
        <f t="shared" ca="1" si="31"/>
        <v>10147.613661935146</v>
      </c>
    </row>
    <row r="693" spans="2:4" x14ac:dyDescent="0.25">
      <c r="B693">
        <f t="shared" ca="1" si="32"/>
        <v>48631.701660827595</v>
      </c>
      <c r="C693">
        <f t="shared" ca="1" si="30"/>
        <v>0</v>
      </c>
      <c r="D693">
        <f t="shared" ca="1" si="31"/>
        <v>8631.7016608275953</v>
      </c>
    </row>
    <row r="694" spans="2:4" x14ac:dyDescent="0.25">
      <c r="B694">
        <f t="shared" ca="1" si="32"/>
        <v>49280.582490495093</v>
      </c>
      <c r="C694">
        <f t="shared" ca="1" si="30"/>
        <v>0</v>
      </c>
      <c r="D694">
        <f t="shared" ca="1" si="31"/>
        <v>9280.5824904950932</v>
      </c>
    </row>
    <row r="695" spans="2:4" x14ac:dyDescent="0.25">
      <c r="B695">
        <f t="shared" ca="1" si="32"/>
        <v>59758.644262861388</v>
      </c>
      <c r="C695">
        <f t="shared" ca="1" si="30"/>
        <v>0</v>
      </c>
      <c r="D695">
        <f t="shared" ca="1" si="31"/>
        <v>19758.644262861388</v>
      </c>
    </row>
    <row r="696" spans="2:4" x14ac:dyDescent="0.25">
      <c r="B696">
        <f t="shared" ca="1" si="32"/>
        <v>44230.340275424809</v>
      </c>
      <c r="C696">
        <f t="shared" ca="1" si="30"/>
        <v>0</v>
      </c>
      <c r="D696">
        <f t="shared" ca="1" si="31"/>
        <v>4230.3402754248091</v>
      </c>
    </row>
    <row r="697" spans="2:4" x14ac:dyDescent="0.25">
      <c r="B697">
        <f t="shared" ca="1" si="32"/>
        <v>52400.854275753023</v>
      </c>
      <c r="C697">
        <f t="shared" ca="1" si="30"/>
        <v>0</v>
      </c>
      <c r="D697">
        <f t="shared" ca="1" si="31"/>
        <v>12400.854275753023</v>
      </c>
    </row>
    <row r="698" spans="2:4" x14ac:dyDescent="0.25">
      <c r="B698">
        <f t="shared" ca="1" si="32"/>
        <v>42736.910735202255</v>
      </c>
      <c r="C698">
        <f t="shared" ca="1" si="30"/>
        <v>0</v>
      </c>
      <c r="D698">
        <f t="shared" ca="1" si="31"/>
        <v>2736.9107352022547</v>
      </c>
    </row>
    <row r="699" spans="2:4" x14ac:dyDescent="0.25">
      <c r="B699">
        <f t="shared" ca="1" si="32"/>
        <v>44158.5456736017</v>
      </c>
      <c r="C699">
        <f t="shared" ca="1" si="30"/>
        <v>0</v>
      </c>
      <c r="D699">
        <f t="shared" ca="1" si="31"/>
        <v>4158.5456736017004</v>
      </c>
    </row>
    <row r="700" spans="2:4" x14ac:dyDescent="0.25">
      <c r="B700">
        <f t="shared" ca="1" si="32"/>
        <v>41516.919850810344</v>
      </c>
      <c r="C700">
        <f t="shared" ca="1" si="30"/>
        <v>0</v>
      </c>
      <c r="D700">
        <f t="shared" ca="1" si="31"/>
        <v>1516.9198508103436</v>
      </c>
    </row>
    <row r="701" spans="2:4" x14ac:dyDescent="0.25">
      <c r="B701">
        <f t="shared" ca="1" si="32"/>
        <v>39698.566098656251</v>
      </c>
      <c r="C701">
        <f t="shared" ca="1" si="30"/>
        <v>301.43390134374931</v>
      </c>
      <c r="D701">
        <f t="shared" ca="1" si="31"/>
        <v>0</v>
      </c>
    </row>
    <row r="702" spans="2:4" x14ac:dyDescent="0.25">
      <c r="B702">
        <f t="shared" ca="1" si="32"/>
        <v>46923.899321379431</v>
      </c>
      <c r="C702">
        <f t="shared" ca="1" si="30"/>
        <v>0</v>
      </c>
      <c r="D702">
        <f t="shared" ca="1" si="31"/>
        <v>6923.8993213794311</v>
      </c>
    </row>
    <row r="703" spans="2:4" x14ac:dyDescent="0.25">
      <c r="B703">
        <f t="shared" ca="1" si="32"/>
        <v>45849.4405490516</v>
      </c>
      <c r="C703">
        <f t="shared" ca="1" si="30"/>
        <v>0</v>
      </c>
      <c r="D703">
        <f t="shared" ca="1" si="31"/>
        <v>5849.4405490516001</v>
      </c>
    </row>
    <row r="704" spans="2:4" x14ac:dyDescent="0.25">
      <c r="B704">
        <f t="shared" ca="1" si="32"/>
        <v>44004.183190166026</v>
      </c>
      <c r="C704">
        <f t="shared" ca="1" si="30"/>
        <v>0</v>
      </c>
      <c r="D704">
        <f t="shared" ca="1" si="31"/>
        <v>4004.1831901660262</v>
      </c>
    </row>
    <row r="705" spans="2:4" x14ac:dyDescent="0.25">
      <c r="B705">
        <f t="shared" ca="1" si="32"/>
        <v>46739.582724051848</v>
      </c>
      <c r="C705">
        <f t="shared" ca="1" si="30"/>
        <v>0</v>
      </c>
      <c r="D705">
        <f t="shared" ca="1" si="31"/>
        <v>6739.5827240518483</v>
      </c>
    </row>
    <row r="706" spans="2:4" x14ac:dyDescent="0.25">
      <c r="B706">
        <f t="shared" ca="1" si="32"/>
        <v>48798.998274029356</v>
      </c>
      <c r="C706">
        <f t="shared" ca="1" si="30"/>
        <v>0</v>
      </c>
      <c r="D706">
        <f t="shared" ca="1" si="31"/>
        <v>8798.9982740293563</v>
      </c>
    </row>
    <row r="707" spans="2:4" x14ac:dyDescent="0.25">
      <c r="B707">
        <f t="shared" ca="1" si="32"/>
        <v>50248.902449580106</v>
      </c>
      <c r="C707">
        <f t="shared" ca="1" si="30"/>
        <v>0</v>
      </c>
      <c r="D707">
        <f t="shared" ca="1" si="31"/>
        <v>10248.902449580106</v>
      </c>
    </row>
    <row r="708" spans="2:4" x14ac:dyDescent="0.25">
      <c r="B708">
        <f t="shared" ca="1" si="32"/>
        <v>39104.574101590602</v>
      </c>
      <c r="C708">
        <f t="shared" ca="1" si="30"/>
        <v>895.42589840939763</v>
      </c>
      <c r="D708">
        <f t="shared" ca="1" si="31"/>
        <v>0</v>
      </c>
    </row>
    <row r="709" spans="2:4" x14ac:dyDescent="0.25">
      <c r="B709">
        <f t="shared" ca="1" si="32"/>
        <v>43308.526286298518</v>
      </c>
      <c r="C709">
        <f t="shared" ca="1" si="30"/>
        <v>0</v>
      </c>
      <c r="D709">
        <f t="shared" ca="1" si="31"/>
        <v>3308.5262862985182</v>
      </c>
    </row>
    <row r="710" spans="2:4" x14ac:dyDescent="0.25">
      <c r="B710">
        <f t="shared" ca="1" si="32"/>
        <v>49588.365661889293</v>
      </c>
      <c r="C710">
        <f t="shared" ca="1" si="30"/>
        <v>0</v>
      </c>
      <c r="D710">
        <f t="shared" ca="1" si="31"/>
        <v>9588.3656618892928</v>
      </c>
    </row>
    <row r="711" spans="2:4" x14ac:dyDescent="0.25">
      <c r="B711">
        <f t="shared" ca="1" si="32"/>
        <v>40040.941577506506</v>
      </c>
      <c r="C711">
        <f t="shared" ca="1" si="30"/>
        <v>0</v>
      </c>
      <c r="D711">
        <f t="shared" ca="1" si="31"/>
        <v>40.941577506506292</v>
      </c>
    </row>
    <row r="712" spans="2:4" x14ac:dyDescent="0.25">
      <c r="B712">
        <f t="shared" ca="1" si="32"/>
        <v>49476.134638111842</v>
      </c>
      <c r="C712">
        <f t="shared" ca="1" si="30"/>
        <v>0</v>
      </c>
      <c r="D712">
        <f t="shared" ca="1" si="31"/>
        <v>9476.1346381118419</v>
      </c>
    </row>
    <row r="713" spans="2:4" x14ac:dyDescent="0.25">
      <c r="B713">
        <f t="shared" ca="1" si="32"/>
        <v>43344.112299583976</v>
      </c>
      <c r="C713">
        <f t="shared" ca="1" si="30"/>
        <v>0</v>
      </c>
      <c r="D713">
        <f t="shared" ca="1" si="31"/>
        <v>3344.112299583976</v>
      </c>
    </row>
    <row r="714" spans="2:4" x14ac:dyDescent="0.25">
      <c r="B714">
        <f t="shared" ca="1" si="32"/>
        <v>41555.486475522426</v>
      </c>
      <c r="C714">
        <f t="shared" ca="1" si="30"/>
        <v>0</v>
      </c>
      <c r="D714">
        <f t="shared" ca="1" si="31"/>
        <v>1555.4864755224262</v>
      </c>
    </row>
    <row r="715" spans="2:4" x14ac:dyDescent="0.25">
      <c r="B715">
        <f t="shared" ca="1" si="32"/>
        <v>46213.192840354859</v>
      </c>
      <c r="C715">
        <f t="shared" ca="1" si="30"/>
        <v>0</v>
      </c>
      <c r="D715">
        <f t="shared" ca="1" si="31"/>
        <v>6213.1928403548591</v>
      </c>
    </row>
    <row r="716" spans="2:4" x14ac:dyDescent="0.25">
      <c r="B716">
        <f t="shared" ca="1" si="32"/>
        <v>39308.467971060003</v>
      </c>
      <c r="C716">
        <f t="shared" ref="C716:C779" ca="1" si="33">IF(MAX($B$2-B716)&lt;0,0,$B$2-B716)</f>
        <v>691.53202893999696</v>
      </c>
      <c r="D716">
        <f t="shared" ref="D716:D779" ca="1" si="34">IF(MAX(B716-$B$2)&lt;0,0,B716-$B$2)</f>
        <v>0</v>
      </c>
    </row>
    <row r="717" spans="2:4" x14ac:dyDescent="0.25">
      <c r="B717">
        <f t="shared" ref="B717:B780" ca="1" si="35">$B$1*EXP((($B$4-($B$3^2)/2)*$B$5+$B$3*SQRT($B$5)*NORMSINV(RAND())))</f>
        <v>48507.967712788894</v>
      </c>
      <c r="C717">
        <f t="shared" ca="1" si="33"/>
        <v>0</v>
      </c>
      <c r="D717">
        <f t="shared" ca="1" si="34"/>
        <v>8507.9677127888936</v>
      </c>
    </row>
    <row r="718" spans="2:4" x14ac:dyDescent="0.25">
      <c r="B718">
        <f t="shared" ca="1" si="35"/>
        <v>47883.744742506089</v>
      </c>
      <c r="C718">
        <f t="shared" ca="1" si="33"/>
        <v>0</v>
      </c>
      <c r="D718">
        <f t="shared" ca="1" si="34"/>
        <v>7883.7447425060891</v>
      </c>
    </row>
    <row r="719" spans="2:4" x14ac:dyDescent="0.25">
      <c r="B719">
        <f t="shared" ca="1" si="35"/>
        <v>41559.314795021623</v>
      </c>
      <c r="C719">
        <f t="shared" ca="1" si="33"/>
        <v>0</v>
      </c>
      <c r="D719">
        <f t="shared" ca="1" si="34"/>
        <v>1559.3147950216226</v>
      </c>
    </row>
    <row r="720" spans="2:4" x14ac:dyDescent="0.25">
      <c r="B720">
        <f t="shared" ca="1" si="35"/>
        <v>43870.611628922015</v>
      </c>
      <c r="C720">
        <f t="shared" ca="1" si="33"/>
        <v>0</v>
      </c>
      <c r="D720">
        <f t="shared" ca="1" si="34"/>
        <v>3870.6116289220154</v>
      </c>
    </row>
    <row r="721" spans="2:4" x14ac:dyDescent="0.25">
      <c r="B721">
        <f t="shared" ca="1" si="35"/>
        <v>46935.305469879037</v>
      </c>
      <c r="C721">
        <f t="shared" ca="1" si="33"/>
        <v>0</v>
      </c>
      <c r="D721">
        <f t="shared" ca="1" si="34"/>
        <v>6935.3054698790365</v>
      </c>
    </row>
    <row r="722" spans="2:4" x14ac:dyDescent="0.25">
      <c r="B722">
        <f t="shared" ca="1" si="35"/>
        <v>48536.552873921552</v>
      </c>
      <c r="C722">
        <f t="shared" ca="1" si="33"/>
        <v>0</v>
      </c>
      <c r="D722">
        <f t="shared" ca="1" si="34"/>
        <v>8536.5528739215515</v>
      </c>
    </row>
    <row r="723" spans="2:4" x14ac:dyDescent="0.25">
      <c r="B723">
        <f t="shared" ca="1" si="35"/>
        <v>46154.59397527657</v>
      </c>
      <c r="C723">
        <f t="shared" ca="1" si="33"/>
        <v>0</v>
      </c>
      <c r="D723">
        <f t="shared" ca="1" si="34"/>
        <v>6154.5939752765698</v>
      </c>
    </row>
    <row r="724" spans="2:4" x14ac:dyDescent="0.25">
      <c r="B724">
        <f t="shared" ca="1" si="35"/>
        <v>44449.931031167573</v>
      </c>
      <c r="C724">
        <f t="shared" ca="1" si="33"/>
        <v>0</v>
      </c>
      <c r="D724">
        <f t="shared" ca="1" si="34"/>
        <v>4449.9310311675727</v>
      </c>
    </row>
    <row r="725" spans="2:4" x14ac:dyDescent="0.25">
      <c r="B725">
        <f t="shared" ca="1" si="35"/>
        <v>45607.652900883739</v>
      </c>
      <c r="C725">
        <f t="shared" ca="1" si="33"/>
        <v>0</v>
      </c>
      <c r="D725">
        <f t="shared" ca="1" si="34"/>
        <v>5607.6529008837388</v>
      </c>
    </row>
    <row r="726" spans="2:4" x14ac:dyDescent="0.25">
      <c r="B726">
        <f t="shared" ca="1" si="35"/>
        <v>44895.559866044561</v>
      </c>
      <c r="C726">
        <f t="shared" ca="1" si="33"/>
        <v>0</v>
      </c>
      <c r="D726">
        <f t="shared" ca="1" si="34"/>
        <v>4895.5598660445612</v>
      </c>
    </row>
    <row r="727" spans="2:4" x14ac:dyDescent="0.25">
      <c r="B727">
        <f t="shared" ca="1" si="35"/>
        <v>43510.635488192689</v>
      </c>
      <c r="C727">
        <f t="shared" ca="1" si="33"/>
        <v>0</v>
      </c>
      <c r="D727">
        <f t="shared" ca="1" si="34"/>
        <v>3510.6354881926891</v>
      </c>
    </row>
    <row r="728" spans="2:4" x14ac:dyDescent="0.25">
      <c r="B728">
        <f t="shared" ca="1" si="35"/>
        <v>53763.760936871739</v>
      </c>
      <c r="C728">
        <f t="shared" ca="1" si="33"/>
        <v>0</v>
      </c>
      <c r="D728">
        <f t="shared" ca="1" si="34"/>
        <v>13763.760936871739</v>
      </c>
    </row>
    <row r="729" spans="2:4" x14ac:dyDescent="0.25">
      <c r="B729">
        <f t="shared" ca="1" si="35"/>
        <v>50214.58743917699</v>
      </c>
      <c r="C729">
        <f t="shared" ca="1" si="33"/>
        <v>0</v>
      </c>
      <c r="D729">
        <f t="shared" ca="1" si="34"/>
        <v>10214.58743917699</v>
      </c>
    </row>
    <row r="730" spans="2:4" x14ac:dyDescent="0.25">
      <c r="B730">
        <f t="shared" ca="1" si="35"/>
        <v>47885.850413774147</v>
      </c>
      <c r="C730">
        <f t="shared" ca="1" si="33"/>
        <v>0</v>
      </c>
      <c r="D730">
        <f t="shared" ca="1" si="34"/>
        <v>7885.8504137741475</v>
      </c>
    </row>
    <row r="731" spans="2:4" x14ac:dyDescent="0.25">
      <c r="B731">
        <f t="shared" ca="1" si="35"/>
        <v>42965.75746258429</v>
      </c>
      <c r="C731">
        <f t="shared" ca="1" si="33"/>
        <v>0</v>
      </c>
      <c r="D731">
        <f t="shared" ca="1" si="34"/>
        <v>2965.7574625842899</v>
      </c>
    </row>
    <row r="732" spans="2:4" x14ac:dyDescent="0.25">
      <c r="B732">
        <f t="shared" ca="1" si="35"/>
        <v>37292.374393257036</v>
      </c>
      <c r="C732">
        <f t="shared" ca="1" si="33"/>
        <v>2707.625606742964</v>
      </c>
      <c r="D732">
        <f t="shared" ca="1" si="34"/>
        <v>0</v>
      </c>
    </row>
    <row r="733" spans="2:4" x14ac:dyDescent="0.25">
      <c r="B733">
        <f t="shared" ca="1" si="35"/>
        <v>42422.017296940961</v>
      </c>
      <c r="C733">
        <f t="shared" ca="1" si="33"/>
        <v>0</v>
      </c>
      <c r="D733">
        <f t="shared" ca="1" si="34"/>
        <v>2422.0172969409614</v>
      </c>
    </row>
    <row r="734" spans="2:4" x14ac:dyDescent="0.25">
      <c r="B734">
        <f t="shared" ca="1" si="35"/>
        <v>49577.228949903118</v>
      </c>
      <c r="C734">
        <f t="shared" ca="1" si="33"/>
        <v>0</v>
      </c>
      <c r="D734">
        <f t="shared" ca="1" si="34"/>
        <v>9577.2289499031176</v>
      </c>
    </row>
    <row r="735" spans="2:4" x14ac:dyDescent="0.25">
      <c r="B735">
        <f t="shared" ca="1" si="35"/>
        <v>50650.825901434982</v>
      </c>
      <c r="C735">
        <f t="shared" ca="1" si="33"/>
        <v>0</v>
      </c>
      <c r="D735">
        <f t="shared" ca="1" si="34"/>
        <v>10650.825901434982</v>
      </c>
    </row>
    <row r="736" spans="2:4" x14ac:dyDescent="0.25">
      <c r="B736">
        <f t="shared" ca="1" si="35"/>
        <v>46026.310363176024</v>
      </c>
      <c r="C736">
        <f t="shared" ca="1" si="33"/>
        <v>0</v>
      </c>
      <c r="D736">
        <f t="shared" ca="1" si="34"/>
        <v>6026.3103631760241</v>
      </c>
    </row>
    <row r="737" spans="2:4" x14ac:dyDescent="0.25">
      <c r="B737">
        <f t="shared" ca="1" si="35"/>
        <v>43118.727683787627</v>
      </c>
      <c r="C737">
        <f t="shared" ca="1" si="33"/>
        <v>0</v>
      </c>
      <c r="D737">
        <f t="shared" ca="1" si="34"/>
        <v>3118.727683787627</v>
      </c>
    </row>
    <row r="738" spans="2:4" x14ac:dyDescent="0.25">
      <c r="B738">
        <f t="shared" ca="1" si="35"/>
        <v>37289.439959332565</v>
      </c>
      <c r="C738">
        <f t="shared" ca="1" si="33"/>
        <v>2710.5600406674348</v>
      </c>
      <c r="D738">
        <f t="shared" ca="1" si="34"/>
        <v>0</v>
      </c>
    </row>
    <row r="739" spans="2:4" x14ac:dyDescent="0.25">
      <c r="B739">
        <f t="shared" ca="1" si="35"/>
        <v>44505.945613382537</v>
      </c>
      <c r="C739">
        <f t="shared" ca="1" si="33"/>
        <v>0</v>
      </c>
      <c r="D739">
        <f t="shared" ca="1" si="34"/>
        <v>4505.945613382537</v>
      </c>
    </row>
    <row r="740" spans="2:4" x14ac:dyDescent="0.25">
      <c r="B740">
        <f t="shared" ca="1" si="35"/>
        <v>39453.273088463502</v>
      </c>
      <c r="C740">
        <f t="shared" ca="1" si="33"/>
        <v>546.72691153649794</v>
      </c>
      <c r="D740">
        <f t="shared" ca="1" si="34"/>
        <v>0</v>
      </c>
    </row>
    <row r="741" spans="2:4" x14ac:dyDescent="0.25">
      <c r="B741">
        <f t="shared" ca="1" si="35"/>
        <v>43306.420500035143</v>
      </c>
      <c r="C741">
        <f t="shared" ca="1" si="33"/>
        <v>0</v>
      </c>
      <c r="D741">
        <f t="shared" ca="1" si="34"/>
        <v>3306.420500035143</v>
      </c>
    </row>
    <row r="742" spans="2:4" x14ac:dyDescent="0.25">
      <c r="B742">
        <f t="shared" ca="1" si="35"/>
        <v>46637.462560292413</v>
      </c>
      <c r="C742">
        <f t="shared" ca="1" si="33"/>
        <v>0</v>
      </c>
      <c r="D742">
        <f t="shared" ca="1" si="34"/>
        <v>6637.4625602924134</v>
      </c>
    </row>
    <row r="743" spans="2:4" x14ac:dyDescent="0.25">
      <c r="B743">
        <f t="shared" ca="1" si="35"/>
        <v>52680.566666723251</v>
      </c>
      <c r="C743">
        <f t="shared" ca="1" si="33"/>
        <v>0</v>
      </c>
      <c r="D743">
        <f t="shared" ca="1" si="34"/>
        <v>12680.566666723251</v>
      </c>
    </row>
    <row r="744" spans="2:4" x14ac:dyDescent="0.25">
      <c r="B744">
        <f t="shared" ca="1" si="35"/>
        <v>50960.983960277903</v>
      </c>
      <c r="C744">
        <f t="shared" ca="1" si="33"/>
        <v>0</v>
      </c>
      <c r="D744">
        <f t="shared" ca="1" si="34"/>
        <v>10960.983960277903</v>
      </c>
    </row>
    <row r="745" spans="2:4" x14ac:dyDescent="0.25">
      <c r="B745">
        <f t="shared" ca="1" si="35"/>
        <v>51233.00336537508</v>
      </c>
      <c r="C745">
        <f t="shared" ca="1" si="33"/>
        <v>0</v>
      </c>
      <c r="D745">
        <f t="shared" ca="1" si="34"/>
        <v>11233.00336537508</v>
      </c>
    </row>
    <row r="746" spans="2:4" x14ac:dyDescent="0.25">
      <c r="B746">
        <f t="shared" ca="1" si="35"/>
        <v>48407.303475969289</v>
      </c>
      <c r="C746">
        <f t="shared" ca="1" si="33"/>
        <v>0</v>
      </c>
      <c r="D746">
        <f t="shared" ca="1" si="34"/>
        <v>8407.3034759692891</v>
      </c>
    </row>
    <row r="747" spans="2:4" x14ac:dyDescent="0.25">
      <c r="B747">
        <f t="shared" ca="1" si="35"/>
        <v>41675.375824082679</v>
      </c>
      <c r="C747">
        <f t="shared" ca="1" si="33"/>
        <v>0</v>
      </c>
      <c r="D747">
        <f t="shared" ca="1" si="34"/>
        <v>1675.3758240826792</v>
      </c>
    </row>
    <row r="748" spans="2:4" x14ac:dyDescent="0.25">
      <c r="B748">
        <f t="shared" ca="1" si="35"/>
        <v>49758.564891322407</v>
      </c>
      <c r="C748">
        <f t="shared" ca="1" si="33"/>
        <v>0</v>
      </c>
      <c r="D748">
        <f t="shared" ca="1" si="34"/>
        <v>9758.5648913224068</v>
      </c>
    </row>
    <row r="749" spans="2:4" x14ac:dyDescent="0.25">
      <c r="B749">
        <f t="shared" ca="1" si="35"/>
        <v>44611.46484719283</v>
      </c>
      <c r="C749">
        <f t="shared" ca="1" si="33"/>
        <v>0</v>
      </c>
      <c r="D749">
        <f t="shared" ca="1" si="34"/>
        <v>4611.4648471928303</v>
      </c>
    </row>
    <row r="750" spans="2:4" x14ac:dyDescent="0.25">
      <c r="B750">
        <f t="shared" ca="1" si="35"/>
        <v>43954.611587215484</v>
      </c>
      <c r="C750">
        <f t="shared" ca="1" si="33"/>
        <v>0</v>
      </c>
      <c r="D750">
        <f t="shared" ca="1" si="34"/>
        <v>3954.6115872154842</v>
      </c>
    </row>
    <row r="751" spans="2:4" x14ac:dyDescent="0.25">
      <c r="B751">
        <f t="shared" ca="1" si="35"/>
        <v>41166.726381571891</v>
      </c>
      <c r="C751">
        <f t="shared" ca="1" si="33"/>
        <v>0</v>
      </c>
      <c r="D751">
        <f t="shared" ca="1" si="34"/>
        <v>1166.7263815718907</v>
      </c>
    </row>
    <row r="752" spans="2:4" x14ac:dyDescent="0.25">
      <c r="B752">
        <f t="shared" ca="1" si="35"/>
        <v>46418.099666791975</v>
      </c>
      <c r="C752">
        <f t="shared" ca="1" si="33"/>
        <v>0</v>
      </c>
      <c r="D752">
        <f t="shared" ca="1" si="34"/>
        <v>6418.0996667919753</v>
      </c>
    </row>
    <row r="753" spans="2:4" x14ac:dyDescent="0.25">
      <c r="B753">
        <f t="shared" ca="1" si="35"/>
        <v>41139.109608064042</v>
      </c>
      <c r="C753">
        <f t="shared" ca="1" si="33"/>
        <v>0</v>
      </c>
      <c r="D753">
        <f t="shared" ca="1" si="34"/>
        <v>1139.1096080640418</v>
      </c>
    </row>
    <row r="754" spans="2:4" x14ac:dyDescent="0.25">
      <c r="B754">
        <f t="shared" ca="1" si="35"/>
        <v>45365.760807543229</v>
      </c>
      <c r="C754">
        <f t="shared" ca="1" si="33"/>
        <v>0</v>
      </c>
      <c r="D754">
        <f t="shared" ca="1" si="34"/>
        <v>5365.760807543229</v>
      </c>
    </row>
    <row r="755" spans="2:4" x14ac:dyDescent="0.25">
      <c r="B755">
        <f t="shared" ca="1" si="35"/>
        <v>44047.27576663845</v>
      </c>
      <c r="C755">
        <f t="shared" ca="1" si="33"/>
        <v>0</v>
      </c>
      <c r="D755">
        <f t="shared" ca="1" si="34"/>
        <v>4047.2757666384496</v>
      </c>
    </row>
    <row r="756" spans="2:4" x14ac:dyDescent="0.25">
      <c r="B756">
        <f t="shared" ca="1" si="35"/>
        <v>42124.854251751465</v>
      </c>
      <c r="C756">
        <f t="shared" ca="1" si="33"/>
        <v>0</v>
      </c>
      <c r="D756">
        <f t="shared" ca="1" si="34"/>
        <v>2124.8542517514652</v>
      </c>
    </row>
    <row r="757" spans="2:4" x14ac:dyDescent="0.25">
      <c r="B757">
        <f t="shared" ca="1" si="35"/>
        <v>48940.124600600393</v>
      </c>
      <c r="C757">
        <f t="shared" ca="1" si="33"/>
        <v>0</v>
      </c>
      <c r="D757">
        <f t="shared" ca="1" si="34"/>
        <v>8940.124600600393</v>
      </c>
    </row>
    <row r="758" spans="2:4" x14ac:dyDescent="0.25">
      <c r="B758">
        <f t="shared" ca="1" si="35"/>
        <v>38282.699732034635</v>
      </c>
      <c r="C758">
        <f t="shared" ca="1" si="33"/>
        <v>1717.3002679653655</v>
      </c>
      <c r="D758">
        <f t="shared" ca="1" si="34"/>
        <v>0</v>
      </c>
    </row>
    <row r="759" spans="2:4" x14ac:dyDescent="0.25">
      <c r="B759">
        <f t="shared" ca="1" si="35"/>
        <v>38864.842137665131</v>
      </c>
      <c r="C759">
        <f t="shared" ca="1" si="33"/>
        <v>1135.1578623348687</v>
      </c>
      <c r="D759">
        <f t="shared" ca="1" si="34"/>
        <v>0</v>
      </c>
    </row>
    <row r="760" spans="2:4" x14ac:dyDescent="0.25">
      <c r="B760">
        <f t="shared" ca="1" si="35"/>
        <v>40941.589831933401</v>
      </c>
      <c r="C760">
        <f t="shared" ca="1" si="33"/>
        <v>0</v>
      </c>
      <c r="D760">
        <f t="shared" ca="1" si="34"/>
        <v>941.589831933401</v>
      </c>
    </row>
    <row r="761" spans="2:4" x14ac:dyDescent="0.25">
      <c r="B761">
        <f t="shared" ca="1" si="35"/>
        <v>46102.906169565111</v>
      </c>
      <c r="C761">
        <f t="shared" ca="1" si="33"/>
        <v>0</v>
      </c>
      <c r="D761">
        <f t="shared" ca="1" si="34"/>
        <v>6102.9061695651108</v>
      </c>
    </row>
    <row r="762" spans="2:4" x14ac:dyDescent="0.25">
      <c r="B762">
        <f t="shared" ca="1" si="35"/>
        <v>46585.26554252491</v>
      </c>
      <c r="C762">
        <f t="shared" ca="1" si="33"/>
        <v>0</v>
      </c>
      <c r="D762">
        <f t="shared" ca="1" si="34"/>
        <v>6585.2655425249104</v>
      </c>
    </row>
    <row r="763" spans="2:4" x14ac:dyDescent="0.25">
      <c r="B763">
        <f t="shared" ca="1" si="35"/>
        <v>53410.731282291024</v>
      </c>
      <c r="C763">
        <f t="shared" ca="1" si="33"/>
        <v>0</v>
      </c>
      <c r="D763">
        <f t="shared" ca="1" si="34"/>
        <v>13410.731282291024</v>
      </c>
    </row>
    <row r="764" spans="2:4" x14ac:dyDescent="0.25">
      <c r="B764">
        <f t="shared" ca="1" si="35"/>
        <v>46977.030499164874</v>
      </c>
      <c r="C764">
        <f t="shared" ca="1" si="33"/>
        <v>0</v>
      </c>
      <c r="D764">
        <f t="shared" ca="1" si="34"/>
        <v>6977.0304991648736</v>
      </c>
    </row>
    <row r="765" spans="2:4" x14ac:dyDescent="0.25">
      <c r="B765">
        <f t="shared" ca="1" si="35"/>
        <v>40349.739246198224</v>
      </c>
      <c r="C765">
        <f t="shared" ca="1" si="33"/>
        <v>0</v>
      </c>
      <c r="D765">
        <f t="shared" ca="1" si="34"/>
        <v>349.73924619822355</v>
      </c>
    </row>
    <row r="766" spans="2:4" x14ac:dyDescent="0.25">
      <c r="B766">
        <f t="shared" ca="1" si="35"/>
        <v>41144.653475668769</v>
      </c>
      <c r="C766">
        <f t="shared" ca="1" si="33"/>
        <v>0</v>
      </c>
      <c r="D766">
        <f t="shared" ca="1" si="34"/>
        <v>1144.6534756687688</v>
      </c>
    </row>
    <row r="767" spans="2:4" x14ac:dyDescent="0.25">
      <c r="B767">
        <f t="shared" ca="1" si="35"/>
        <v>35805.439183665731</v>
      </c>
      <c r="C767">
        <f t="shared" ca="1" si="33"/>
        <v>4194.5608163342695</v>
      </c>
      <c r="D767">
        <f t="shared" ca="1" si="34"/>
        <v>0</v>
      </c>
    </row>
    <row r="768" spans="2:4" x14ac:dyDescent="0.25">
      <c r="B768">
        <f t="shared" ca="1" si="35"/>
        <v>47349.183415573389</v>
      </c>
      <c r="C768">
        <f t="shared" ca="1" si="33"/>
        <v>0</v>
      </c>
      <c r="D768">
        <f t="shared" ca="1" si="34"/>
        <v>7349.1834155733886</v>
      </c>
    </row>
    <row r="769" spans="2:4" x14ac:dyDescent="0.25">
      <c r="B769">
        <f t="shared" ca="1" si="35"/>
        <v>52542.115774689169</v>
      </c>
      <c r="C769">
        <f t="shared" ca="1" si="33"/>
        <v>0</v>
      </c>
      <c r="D769">
        <f t="shared" ca="1" si="34"/>
        <v>12542.115774689169</v>
      </c>
    </row>
    <row r="770" spans="2:4" x14ac:dyDescent="0.25">
      <c r="B770">
        <f t="shared" ca="1" si="35"/>
        <v>45815.211299604402</v>
      </c>
      <c r="C770">
        <f t="shared" ca="1" si="33"/>
        <v>0</v>
      </c>
      <c r="D770">
        <f t="shared" ca="1" si="34"/>
        <v>5815.2112996044016</v>
      </c>
    </row>
    <row r="771" spans="2:4" x14ac:dyDescent="0.25">
      <c r="B771">
        <f t="shared" ca="1" si="35"/>
        <v>46710.642740208423</v>
      </c>
      <c r="C771">
        <f t="shared" ca="1" si="33"/>
        <v>0</v>
      </c>
      <c r="D771">
        <f t="shared" ca="1" si="34"/>
        <v>6710.6427402084228</v>
      </c>
    </row>
    <row r="772" spans="2:4" x14ac:dyDescent="0.25">
      <c r="B772">
        <f t="shared" ca="1" si="35"/>
        <v>39690.70855586695</v>
      </c>
      <c r="C772">
        <f t="shared" ca="1" si="33"/>
        <v>309.29144413305039</v>
      </c>
      <c r="D772">
        <f t="shared" ca="1" si="34"/>
        <v>0</v>
      </c>
    </row>
    <row r="773" spans="2:4" x14ac:dyDescent="0.25">
      <c r="B773">
        <f t="shared" ca="1" si="35"/>
        <v>44082.848094144319</v>
      </c>
      <c r="C773">
        <f t="shared" ca="1" si="33"/>
        <v>0</v>
      </c>
      <c r="D773">
        <f t="shared" ca="1" si="34"/>
        <v>4082.8480941443195</v>
      </c>
    </row>
    <row r="774" spans="2:4" x14ac:dyDescent="0.25">
      <c r="B774">
        <f t="shared" ca="1" si="35"/>
        <v>39624.674954007496</v>
      </c>
      <c r="C774">
        <f t="shared" ca="1" si="33"/>
        <v>375.32504599250387</v>
      </c>
      <c r="D774">
        <f t="shared" ca="1" si="34"/>
        <v>0</v>
      </c>
    </row>
    <row r="775" spans="2:4" x14ac:dyDescent="0.25">
      <c r="B775">
        <f t="shared" ca="1" si="35"/>
        <v>42989.854914860996</v>
      </c>
      <c r="C775">
        <f t="shared" ca="1" si="33"/>
        <v>0</v>
      </c>
      <c r="D775">
        <f t="shared" ca="1" si="34"/>
        <v>2989.8549148609964</v>
      </c>
    </row>
    <row r="776" spans="2:4" x14ac:dyDescent="0.25">
      <c r="B776">
        <f t="shared" ca="1" si="35"/>
        <v>41910.865014185612</v>
      </c>
      <c r="C776">
        <f t="shared" ca="1" si="33"/>
        <v>0</v>
      </c>
      <c r="D776">
        <f t="shared" ca="1" si="34"/>
        <v>1910.8650141856124</v>
      </c>
    </row>
    <row r="777" spans="2:4" x14ac:dyDescent="0.25">
      <c r="B777">
        <f t="shared" ca="1" si="35"/>
        <v>44689.117790762582</v>
      </c>
      <c r="C777">
        <f t="shared" ca="1" si="33"/>
        <v>0</v>
      </c>
      <c r="D777">
        <f t="shared" ca="1" si="34"/>
        <v>4689.1177907625824</v>
      </c>
    </row>
    <row r="778" spans="2:4" x14ac:dyDescent="0.25">
      <c r="B778">
        <f t="shared" ca="1" si="35"/>
        <v>37922.322149767075</v>
      </c>
      <c r="C778">
        <f t="shared" ca="1" si="33"/>
        <v>2077.6778502329253</v>
      </c>
      <c r="D778">
        <f t="shared" ca="1" si="34"/>
        <v>0</v>
      </c>
    </row>
    <row r="779" spans="2:4" x14ac:dyDescent="0.25">
      <c r="B779">
        <f t="shared" ca="1" si="35"/>
        <v>41301.456196900785</v>
      </c>
      <c r="C779">
        <f t="shared" ca="1" si="33"/>
        <v>0</v>
      </c>
      <c r="D779">
        <f t="shared" ca="1" si="34"/>
        <v>1301.4561969007846</v>
      </c>
    </row>
    <row r="780" spans="2:4" x14ac:dyDescent="0.25">
      <c r="B780">
        <f t="shared" ca="1" si="35"/>
        <v>41865.459891470702</v>
      </c>
      <c r="C780">
        <f t="shared" ref="C780:C843" ca="1" si="36">IF(MAX($B$2-B780)&lt;0,0,$B$2-B780)</f>
        <v>0</v>
      </c>
      <c r="D780">
        <f t="shared" ref="D780:D843" ca="1" si="37">IF(MAX(B780-$B$2)&lt;0,0,B780-$B$2)</f>
        <v>1865.4598914707021</v>
      </c>
    </row>
    <row r="781" spans="2:4" x14ac:dyDescent="0.25">
      <c r="B781">
        <f t="shared" ref="B781:B844" ca="1" si="38">$B$1*EXP((($B$4-($B$3^2)/2)*$B$5+$B$3*SQRT($B$5)*NORMSINV(RAND())))</f>
        <v>42432.433363983648</v>
      </c>
      <c r="C781">
        <f t="shared" ca="1" si="36"/>
        <v>0</v>
      </c>
      <c r="D781">
        <f t="shared" ca="1" si="37"/>
        <v>2432.4333639836477</v>
      </c>
    </row>
    <row r="782" spans="2:4" x14ac:dyDescent="0.25">
      <c r="B782">
        <f t="shared" ca="1" si="38"/>
        <v>40082.164353263666</v>
      </c>
      <c r="C782">
        <f t="shared" ca="1" si="36"/>
        <v>0</v>
      </c>
      <c r="D782">
        <f t="shared" ca="1" si="37"/>
        <v>82.164353263666271</v>
      </c>
    </row>
    <row r="783" spans="2:4" x14ac:dyDescent="0.25">
      <c r="B783">
        <f t="shared" ca="1" si="38"/>
        <v>43108.543520615262</v>
      </c>
      <c r="C783">
        <f t="shared" ca="1" si="36"/>
        <v>0</v>
      </c>
      <c r="D783">
        <f t="shared" ca="1" si="37"/>
        <v>3108.5435206152615</v>
      </c>
    </row>
    <row r="784" spans="2:4" x14ac:dyDescent="0.25">
      <c r="B784">
        <f t="shared" ca="1" si="38"/>
        <v>50027.364418038589</v>
      </c>
      <c r="C784">
        <f t="shared" ca="1" si="36"/>
        <v>0</v>
      </c>
      <c r="D784">
        <f t="shared" ca="1" si="37"/>
        <v>10027.364418038589</v>
      </c>
    </row>
    <row r="785" spans="2:4" x14ac:dyDescent="0.25">
      <c r="B785">
        <f t="shared" ca="1" si="38"/>
        <v>49427.693956098359</v>
      </c>
      <c r="C785">
        <f t="shared" ca="1" si="36"/>
        <v>0</v>
      </c>
      <c r="D785">
        <f t="shared" ca="1" si="37"/>
        <v>9427.6939560983592</v>
      </c>
    </row>
    <row r="786" spans="2:4" x14ac:dyDescent="0.25">
      <c r="B786">
        <f t="shared" ca="1" si="38"/>
        <v>42253.493683923065</v>
      </c>
      <c r="C786">
        <f t="shared" ca="1" si="36"/>
        <v>0</v>
      </c>
      <c r="D786">
        <f t="shared" ca="1" si="37"/>
        <v>2253.493683923065</v>
      </c>
    </row>
    <row r="787" spans="2:4" x14ac:dyDescent="0.25">
      <c r="B787">
        <f t="shared" ca="1" si="38"/>
        <v>42713.352168929319</v>
      </c>
      <c r="C787">
        <f t="shared" ca="1" si="36"/>
        <v>0</v>
      </c>
      <c r="D787">
        <f t="shared" ca="1" si="37"/>
        <v>2713.3521689293193</v>
      </c>
    </row>
    <row r="788" spans="2:4" x14ac:dyDescent="0.25">
      <c r="B788">
        <f t="shared" ca="1" si="38"/>
        <v>46858.091096373733</v>
      </c>
      <c r="C788">
        <f t="shared" ca="1" si="36"/>
        <v>0</v>
      </c>
      <c r="D788">
        <f t="shared" ca="1" si="37"/>
        <v>6858.0910963737333</v>
      </c>
    </row>
    <row r="789" spans="2:4" x14ac:dyDescent="0.25">
      <c r="B789">
        <f t="shared" ca="1" si="38"/>
        <v>40839.149633501991</v>
      </c>
      <c r="C789">
        <f t="shared" ca="1" si="36"/>
        <v>0</v>
      </c>
      <c r="D789">
        <f t="shared" ca="1" si="37"/>
        <v>839.14963350199105</v>
      </c>
    </row>
    <row r="790" spans="2:4" x14ac:dyDescent="0.25">
      <c r="B790">
        <f t="shared" ca="1" si="38"/>
        <v>44333.211892955129</v>
      </c>
      <c r="C790">
        <f t="shared" ca="1" si="36"/>
        <v>0</v>
      </c>
      <c r="D790">
        <f t="shared" ca="1" si="37"/>
        <v>4333.2118929551289</v>
      </c>
    </row>
    <row r="791" spans="2:4" x14ac:dyDescent="0.25">
      <c r="B791">
        <f t="shared" ca="1" si="38"/>
        <v>48993.997032297353</v>
      </c>
      <c r="C791">
        <f t="shared" ca="1" si="36"/>
        <v>0</v>
      </c>
      <c r="D791">
        <f t="shared" ca="1" si="37"/>
        <v>8993.9970322973531</v>
      </c>
    </row>
    <row r="792" spans="2:4" x14ac:dyDescent="0.25">
      <c r="B792">
        <f t="shared" ca="1" si="38"/>
        <v>44045.061491418404</v>
      </c>
      <c r="C792">
        <f t="shared" ca="1" si="36"/>
        <v>0</v>
      </c>
      <c r="D792">
        <f t="shared" ca="1" si="37"/>
        <v>4045.0614914184043</v>
      </c>
    </row>
    <row r="793" spans="2:4" x14ac:dyDescent="0.25">
      <c r="B793">
        <f t="shared" ca="1" si="38"/>
        <v>48086.140940431855</v>
      </c>
      <c r="C793">
        <f t="shared" ca="1" si="36"/>
        <v>0</v>
      </c>
      <c r="D793">
        <f t="shared" ca="1" si="37"/>
        <v>8086.1409404318547</v>
      </c>
    </row>
    <row r="794" spans="2:4" x14ac:dyDescent="0.25">
      <c r="B794">
        <f t="shared" ca="1" si="38"/>
        <v>51240.906387235678</v>
      </c>
      <c r="C794">
        <f t="shared" ca="1" si="36"/>
        <v>0</v>
      </c>
      <c r="D794">
        <f t="shared" ca="1" si="37"/>
        <v>11240.906387235678</v>
      </c>
    </row>
    <row r="795" spans="2:4" x14ac:dyDescent="0.25">
      <c r="B795">
        <f t="shared" ca="1" si="38"/>
        <v>43371.838146644957</v>
      </c>
      <c r="C795">
        <f t="shared" ca="1" si="36"/>
        <v>0</v>
      </c>
      <c r="D795">
        <f t="shared" ca="1" si="37"/>
        <v>3371.8381466449573</v>
      </c>
    </row>
    <row r="796" spans="2:4" x14ac:dyDescent="0.25">
      <c r="B796">
        <f t="shared" ca="1" si="38"/>
        <v>40873.972461578705</v>
      </c>
      <c r="C796">
        <f t="shared" ca="1" si="36"/>
        <v>0</v>
      </c>
      <c r="D796">
        <f t="shared" ca="1" si="37"/>
        <v>873.97246157870541</v>
      </c>
    </row>
    <row r="797" spans="2:4" x14ac:dyDescent="0.25">
      <c r="B797">
        <f t="shared" ca="1" si="38"/>
        <v>42591.262634532577</v>
      </c>
      <c r="C797">
        <f t="shared" ca="1" si="36"/>
        <v>0</v>
      </c>
      <c r="D797">
        <f t="shared" ca="1" si="37"/>
        <v>2591.2626345325771</v>
      </c>
    </row>
    <row r="798" spans="2:4" x14ac:dyDescent="0.25">
      <c r="B798">
        <f t="shared" ca="1" si="38"/>
        <v>48226.39686550491</v>
      </c>
      <c r="C798">
        <f t="shared" ca="1" si="36"/>
        <v>0</v>
      </c>
      <c r="D798">
        <f t="shared" ca="1" si="37"/>
        <v>8226.3968655049102</v>
      </c>
    </row>
    <row r="799" spans="2:4" x14ac:dyDescent="0.25">
      <c r="B799">
        <f t="shared" ca="1" si="38"/>
        <v>44692.794585648458</v>
      </c>
      <c r="C799">
        <f t="shared" ca="1" si="36"/>
        <v>0</v>
      </c>
      <c r="D799">
        <f t="shared" ca="1" si="37"/>
        <v>4692.7945856484585</v>
      </c>
    </row>
    <row r="800" spans="2:4" x14ac:dyDescent="0.25">
      <c r="B800">
        <f t="shared" ca="1" si="38"/>
        <v>42019.461538009091</v>
      </c>
      <c r="C800">
        <f t="shared" ca="1" si="36"/>
        <v>0</v>
      </c>
      <c r="D800">
        <f t="shared" ca="1" si="37"/>
        <v>2019.4615380090909</v>
      </c>
    </row>
    <row r="801" spans="2:4" x14ac:dyDescent="0.25">
      <c r="B801">
        <f t="shared" ca="1" si="38"/>
        <v>47781.46136182038</v>
      </c>
      <c r="C801">
        <f t="shared" ca="1" si="36"/>
        <v>0</v>
      </c>
      <c r="D801">
        <f t="shared" ca="1" si="37"/>
        <v>7781.4613618203803</v>
      </c>
    </row>
    <row r="802" spans="2:4" x14ac:dyDescent="0.25">
      <c r="B802">
        <f t="shared" ca="1" si="38"/>
        <v>40365.479516759959</v>
      </c>
      <c r="C802">
        <f t="shared" ca="1" si="36"/>
        <v>0</v>
      </c>
      <c r="D802">
        <f t="shared" ca="1" si="37"/>
        <v>365.47951675995864</v>
      </c>
    </row>
    <row r="803" spans="2:4" x14ac:dyDescent="0.25">
      <c r="B803">
        <f t="shared" ca="1" si="38"/>
        <v>48242.335054832569</v>
      </c>
      <c r="C803">
        <f t="shared" ca="1" si="36"/>
        <v>0</v>
      </c>
      <c r="D803">
        <f t="shared" ca="1" si="37"/>
        <v>8242.3350548325689</v>
      </c>
    </row>
    <row r="804" spans="2:4" x14ac:dyDescent="0.25">
      <c r="B804">
        <f t="shared" ca="1" si="38"/>
        <v>39261.588557872892</v>
      </c>
      <c r="C804">
        <f t="shared" ca="1" si="36"/>
        <v>738.41144212710788</v>
      </c>
      <c r="D804">
        <f t="shared" ca="1" si="37"/>
        <v>0</v>
      </c>
    </row>
    <row r="805" spans="2:4" x14ac:dyDescent="0.25">
      <c r="B805">
        <f t="shared" ca="1" si="38"/>
        <v>42635.611741545385</v>
      </c>
      <c r="C805">
        <f t="shared" ca="1" si="36"/>
        <v>0</v>
      </c>
      <c r="D805">
        <f t="shared" ca="1" si="37"/>
        <v>2635.6117415453846</v>
      </c>
    </row>
    <row r="806" spans="2:4" x14ac:dyDescent="0.25">
      <c r="B806">
        <f t="shared" ca="1" si="38"/>
        <v>39603.080072775549</v>
      </c>
      <c r="C806">
        <f t="shared" ca="1" si="36"/>
        <v>396.91992722445138</v>
      </c>
      <c r="D806">
        <f t="shared" ca="1" si="37"/>
        <v>0</v>
      </c>
    </row>
    <row r="807" spans="2:4" x14ac:dyDescent="0.25">
      <c r="B807">
        <f t="shared" ca="1" si="38"/>
        <v>45450.153426680401</v>
      </c>
      <c r="C807">
        <f t="shared" ca="1" si="36"/>
        <v>0</v>
      </c>
      <c r="D807">
        <f t="shared" ca="1" si="37"/>
        <v>5450.153426680401</v>
      </c>
    </row>
    <row r="808" spans="2:4" x14ac:dyDescent="0.25">
      <c r="B808">
        <f t="shared" ca="1" si="38"/>
        <v>45695.003661844123</v>
      </c>
      <c r="C808">
        <f t="shared" ca="1" si="36"/>
        <v>0</v>
      </c>
      <c r="D808">
        <f t="shared" ca="1" si="37"/>
        <v>5695.0036618441227</v>
      </c>
    </row>
    <row r="809" spans="2:4" x14ac:dyDescent="0.25">
      <c r="B809">
        <f t="shared" ca="1" si="38"/>
        <v>47126.24440935209</v>
      </c>
      <c r="C809">
        <f t="shared" ca="1" si="36"/>
        <v>0</v>
      </c>
      <c r="D809">
        <f t="shared" ca="1" si="37"/>
        <v>7126.2444093520899</v>
      </c>
    </row>
    <row r="810" spans="2:4" x14ac:dyDescent="0.25">
      <c r="B810">
        <f t="shared" ca="1" si="38"/>
        <v>44397.519987789987</v>
      </c>
      <c r="C810">
        <f t="shared" ca="1" si="36"/>
        <v>0</v>
      </c>
      <c r="D810">
        <f t="shared" ca="1" si="37"/>
        <v>4397.5199877899868</v>
      </c>
    </row>
    <row r="811" spans="2:4" x14ac:dyDescent="0.25">
      <c r="B811">
        <f t="shared" ca="1" si="38"/>
        <v>46490.595730204011</v>
      </c>
      <c r="C811">
        <f t="shared" ca="1" si="36"/>
        <v>0</v>
      </c>
      <c r="D811">
        <f t="shared" ca="1" si="37"/>
        <v>6490.5957302040115</v>
      </c>
    </row>
    <row r="812" spans="2:4" x14ac:dyDescent="0.25">
      <c r="B812">
        <f t="shared" ca="1" si="38"/>
        <v>51409.832053100967</v>
      </c>
      <c r="C812">
        <f t="shared" ca="1" si="36"/>
        <v>0</v>
      </c>
      <c r="D812">
        <f t="shared" ca="1" si="37"/>
        <v>11409.832053100967</v>
      </c>
    </row>
    <row r="813" spans="2:4" x14ac:dyDescent="0.25">
      <c r="B813">
        <f t="shared" ca="1" si="38"/>
        <v>51183.910898970178</v>
      </c>
      <c r="C813">
        <f t="shared" ca="1" si="36"/>
        <v>0</v>
      </c>
      <c r="D813">
        <f t="shared" ca="1" si="37"/>
        <v>11183.910898970178</v>
      </c>
    </row>
    <row r="814" spans="2:4" x14ac:dyDescent="0.25">
      <c r="B814">
        <f t="shared" ca="1" si="38"/>
        <v>42069.965913824955</v>
      </c>
      <c r="C814">
        <f t="shared" ca="1" si="36"/>
        <v>0</v>
      </c>
      <c r="D814">
        <f t="shared" ca="1" si="37"/>
        <v>2069.9659138249554</v>
      </c>
    </row>
    <row r="815" spans="2:4" x14ac:dyDescent="0.25">
      <c r="B815">
        <f t="shared" ca="1" si="38"/>
        <v>41260.148696775454</v>
      </c>
      <c r="C815">
        <f t="shared" ca="1" si="36"/>
        <v>0</v>
      </c>
      <c r="D815">
        <f t="shared" ca="1" si="37"/>
        <v>1260.1486967754536</v>
      </c>
    </row>
    <row r="816" spans="2:4" x14ac:dyDescent="0.25">
      <c r="B816">
        <f t="shared" ca="1" si="38"/>
        <v>38970.531113810612</v>
      </c>
      <c r="C816">
        <f t="shared" ca="1" si="36"/>
        <v>1029.4688861893883</v>
      </c>
      <c r="D816">
        <f t="shared" ca="1" si="37"/>
        <v>0</v>
      </c>
    </row>
    <row r="817" spans="2:4" x14ac:dyDescent="0.25">
      <c r="B817">
        <f t="shared" ca="1" si="38"/>
        <v>42461.020960971815</v>
      </c>
      <c r="C817">
        <f t="shared" ca="1" si="36"/>
        <v>0</v>
      </c>
      <c r="D817">
        <f t="shared" ca="1" si="37"/>
        <v>2461.0209609718149</v>
      </c>
    </row>
    <row r="818" spans="2:4" x14ac:dyDescent="0.25">
      <c r="B818">
        <f t="shared" ca="1" si="38"/>
        <v>37192.787104399074</v>
      </c>
      <c r="C818">
        <f t="shared" ca="1" si="36"/>
        <v>2807.2128956009255</v>
      </c>
      <c r="D818">
        <f t="shared" ca="1" si="37"/>
        <v>0</v>
      </c>
    </row>
    <row r="819" spans="2:4" x14ac:dyDescent="0.25">
      <c r="B819">
        <f t="shared" ca="1" si="38"/>
        <v>48165.712137081362</v>
      </c>
      <c r="C819">
        <f t="shared" ca="1" si="36"/>
        <v>0</v>
      </c>
      <c r="D819">
        <f t="shared" ca="1" si="37"/>
        <v>8165.712137081362</v>
      </c>
    </row>
    <row r="820" spans="2:4" x14ac:dyDescent="0.25">
      <c r="B820">
        <f t="shared" ca="1" si="38"/>
        <v>39017.938966581387</v>
      </c>
      <c r="C820">
        <f t="shared" ca="1" si="36"/>
        <v>982.06103341861308</v>
      </c>
      <c r="D820">
        <f t="shared" ca="1" si="37"/>
        <v>0</v>
      </c>
    </row>
    <row r="821" spans="2:4" x14ac:dyDescent="0.25">
      <c r="B821">
        <f t="shared" ca="1" si="38"/>
        <v>42943.894193805994</v>
      </c>
      <c r="C821">
        <f t="shared" ca="1" si="36"/>
        <v>0</v>
      </c>
      <c r="D821">
        <f t="shared" ca="1" si="37"/>
        <v>2943.8941938059943</v>
      </c>
    </row>
    <row r="822" spans="2:4" x14ac:dyDescent="0.25">
      <c r="B822">
        <f t="shared" ca="1" si="38"/>
        <v>39990.225119230898</v>
      </c>
      <c r="C822">
        <f t="shared" ca="1" si="36"/>
        <v>9.7748807691023103</v>
      </c>
      <c r="D822">
        <f t="shared" ca="1" si="37"/>
        <v>0</v>
      </c>
    </row>
    <row r="823" spans="2:4" x14ac:dyDescent="0.25">
      <c r="B823">
        <f t="shared" ca="1" si="38"/>
        <v>48539.296762128935</v>
      </c>
      <c r="C823">
        <f t="shared" ca="1" si="36"/>
        <v>0</v>
      </c>
      <c r="D823">
        <f t="shared" ca="1" si="37"/>
        <v>8539.2967621289354</v>
      </c>
    </row>
    <row r="824" spans="2:4" x14ac:dyDescent="0.25">
      <c r="B824">
        <f t="shared" ca="1" si="38"/>
        <v>47147.21274641277</v>
      </c>
      <c r="C824">
        <f t="shared" ca="1" si="36"/>
        <v>0</v>
      </c>
      <c r="D824">
        <f t="shared" ca="1" si="37"/>
        <v>7147.2127464127698</v>
      </c>
    </row>
    <row r="825" spans="2:4" x14ac:dyDescent="0.25">
      <c r="B825">
        <f t="shared" ca="1" si="38"/>
        <v>45032.384967689548</v>
      </c>
      <c r="C825">
        <f t="shared" ca="1" si="36"/>
        <v>0</v>
      </c>
      <c r="D825">
        <f t="shared" ca="1" si="37"/>
        <v>5032.3849676895479</v>
      </c>
    </row>
    <row r="826" spans="2:4" x14ac:dyDescent="0.25">
      <c r="B826">
        <f t="shared" ca="1" si="38"/>
        <v>39555.847310737969</v>
      </c>
      <c r="C826">
        <f t="shared" ca="1" si="36"/>
        <v>444.15268926203134</v>
      </c>
      <c r="D826">
        <f t="shared" ca="1" si="37"/>
        <v>0</v>
      </c>
    </row>
    <row r="827" spans="2:4" x14ac:dyDescent="0.25">
      <c r="B827">
        <f t="shared" ca="1" si="38"/>
        <v>49577.068933068207</v>
      </c>
      <c r="C827">
        <f t="shared" ca="1" si="36"/>
        <v>0</v>
      </c>
      <c r="D827">
        <f t="shared" ca="1" si="37"/>
        <v>9577.0689330682071</v>
      </c>
    </row>
    <row r="828" spans="2:4" x14ac:dyDescent="0.25">
      <c r="B828">
        <f t="shared" ca="1" si="38"/>
        <v>40945.575781914558</v>
      </c>
      <c r="C828">
        <f t="shared" ca="1" si="36"/>
        <v>0</v>
      </c>
      <c r="D828">
        <f t="shared" ca="1" si="37"/>
        <v>945.57578191455832</v>
      </c>
    </row>
    <row r="829" spans="2:4" x14ac:dyDescent="0.25">
      <c r="B829">
        <f t="shared" ca="1" si="38"/>
        <v>51652.33862348862</v>
      </c>
      <c r="C829">
        <f t="shared" ca="1" si="36"/>
        <v>0</v>
      </c>
      <c r="D829">
        <f t="shared" ca="1" si="37"/>
        <v>11652.33862348862</v>
      </c>
    </row>
    <row r="830" spans="2:4" x14ac:dyDescent="0.25">
      <c r="B830">
        <f t="shared" ca="1" si="38"/>
        <v>46409.090183799737</v>
      </c>
      <c r="C830">
        <f t="shared" ca="1" si="36"/>
        <v>0</v>
      </c>
      <c r="D830">
        <f t="shared" ca="1" si="37"/>
        <v>6409.0901837997371</v>
      </c>
    </row>
    <row r="831" spans="2:4" x14ac:dyDescent="0.25">
      <c r="B831">
        <f t="shared" ca="1" si="38"/>
        <v>44931.924313107273</v>
      </c>
      <c r="C831">
        <f t="shared" ca="1" si="36"/>
        <v>0</v>
      </c>
      <c r="D831">
        <f t="shared" ca="1" si="37"/>
        <v>4931.9243131072726</v>
      </c>
    </row>
    <row r="832" spans="2:4" x14ac:dyDescent="0.25">
      <c r="B832">
        <f t="shared" ca="1" si="38"/>
        <v>40940.84527567021</v>
      </c>
      <c r="C832">
        <f t="shared" ca="1" si="36"/>
        <v>0</v>
      </c>
      <c r="D832">
        <f t="shared" ca="1" si="37"/>
        <v>940.84527567020996</v>
      </c>
    </row>
    <row r="833" spans="2:4" x14ac:dyDescent="0.25">
      <c r="B833">
        <f t="shared" ca="1" si="38"/>
        <v>50795.533164677356</v>
      </c>
      <c r="C833">
        <f t="shared" ca="1" si="36"/>
        <v>0</v>
      </c>
      <c r="D833">
        <f t="shared" ca="1" si="37"/>
        <v>10795.533164677356</v>
      </c>
    </row>
    <row r="834" spans="2:4" x14ac:dyDescent="0.25">
      <c r="B834">
        <f t="shared" ca="1" si="38"/>
        <v>43001.94861545218</v>
      </c>
      <c r="C834">
        <f t="shared" ca="1" si="36"/>
        <v>0</v>
      </c>
      <c r="D834">
        <f t="shared" ca="1" si="37"/>
        <v>3001.9486154521801</v>
      </c>
    </row>
    <row r="835" spans="2:4" x14ac:dyDescent="0.25">
      <c r="B835">
        <f t="shared" ca="1" si="38"/>
        <v>49147.250645318789</v>
      </c>
      <c r="C835">
        <f t="shared" ca="1" si="36"/>
        <v>0</v>
      </c>
      <c r="D835">
        <f t="shared" ca="1" si="37"/>
        <v>9147.2506453187889</v>
      </c>
    </row>
    <row r="836" spans="2:4" x14ac:dyDescent="0.25">
      <c r="B836">
        <f t="shared" ca="1" si="38"/>
        <v>48340.759209150572</v>
      </c>
      <c r="C836">
        <f t="shared" ca="1" si="36"/>
        <v>0</v>
      </c>
      <c r="D836">
        <f t="shared" ca="1" si="37"/>
        <v>8340.7592091505721</v>
      </c>
    </row>
    <row r="837" spans="2:4" x14ac:dyDescent="0.25">
      <c r="B837">
        <f t="shared" ca="1" si="38"/>
        <v>52114.698745865935</v>
      </c>
      <c r="C837">
        <f t="shared" ca="1" si="36"/>
        <v>0</v>
      </c>
      <c r="D837">
        <f t="shared" ca="1" si="37"/>
        <v>12114.698745865935</v>
      </c>
    </row>
    <row r="838" spans="2:4" x14ac:dyDescent="0.25">
      <c r="B838">
        <f t="shared" ca="1" si="38"/>
        <v>36897.4493934235</v>
      </c>
      <c r="C838">
        <f t="shared" ca="1" si="36"/>
        <v>3102.5506065765003</v>
      </c>
      <c r="D838">
        <f t="shared" ca="1" si="37"/>
        <v>0</v>
      </c>
    </row>
    <row r="839" spans="2:4" x14ac:dyDescent="0.25">
      <c r="B839">
        <f t="shared" ca="1" si="38"/>
        <v>45843.897954157008</v>
      </c>
      <c r="C839">
        <f t="shared" ca="1" si="36"/>
        <v>0</v>
      </c>
      <c r="D839">
        <f t="shared" ca="1" si="37"/>
        <v>5843.8979541570079</v>
      </c>
    </row>
    <row r="840" spans="2:4" x14ac:dyDescent="0.25">
      <c r="B840">
        <f t="shared" ca="1" si="38"/>
        <v>46931.76356483261</v>
      </c>
      <c r="C840">
        <f t="shared" ca="1" si="36"/>
        <v>0</v>
      </c>
      <c r="D840">
        <f t="shared" ca="1" si="37"/>
        <v>6931.7635648326104</v>
      </c>
    </row>
    <row r="841" spans="2:4" x14ac:dyDescent="0.25">
      <c r="B841">
        <f t="shared" ca="1" si="38"/>
        <v>41979.507835946417</v>
      </c>
      <c r="C841">
        <f t="shared" ca="1" si="36"/>
        <v>0</v>
      </c>
      <c r="D841">
        <f t="shared" ca="1" si="37"/>
        <v>1979.5078359464169</v>
      </c>
    </row>
    <row r="842" spans="2:4" x14ac:dyDescent="0.25">
      <c r="B842">
        <f t="shared" ca="1" si="38"/>
        <v>48210.921364957183</v>
      </c>
      <c r="C842">
        <f t="shared" ca="1" si="36"/>
        <v>0</v>
      </c>
      <c r="D842">
        <f t="shared" ca="1" si="37"/>
        <v>8210.921364957183</v>
      </c>
    </row>
    <row r="843" spans="2:4" x14ac:dyDescent="0.25">
      <c r="B843">
        <f t="shared" ca="1" si="38"/>
        <v>47294.684060951251</v>
      </c>
      <c r="C843">
        <f t="shared" ca="1" si="36"/>
        <v>0</v>
      </c>
      <c r="D843">
        <f t="shared" ca="1" si="37"/>
        <v>7294.684060951251</v>
      </c>
    </row>
    <row r="844" spans="2:4" x14ac:dyDescent="0.25">
      <c r="B844">
        <f t="shared" ca="1" si="38"/>
        <v>35915.956120120245</v>
      </c>
      <c r="C844">
        <f t="shared" ref="C844:C907" ca="1" si="39">IF(MAX($B$2-B844)&lt;0,0,$B$2-B844)</f>
        <v>4084.043879879755</v>
      </c>
      <c r="D844">
        <f t="shared" ref="D844:D907" ca="1" si="40">IF(MAX(B844-$B$2)&lt;0,0,B844-$B$2)</f>
        <v>0</v>
      </c>
    </row>
    <row r="845" spans="2:4" x14ac:dyDescent="0.25">
      <c r="B845">
        <f t="shared" ref="B845:B908" ca="1" si="41">$B$1*EXP((($B$4-($B$3^2)/2)*$B$5+$B$3*SQRT($B$5)*NORMSINV(RAND())))</f>
        <v>35378.413782606214</v>
      </c>
      <c r="C845">
        <f t="shared" ca="1" si="39"/>
        <v>4621.5862173937858</v>
      </c>
      <c r="D845">
        <f t="shared" ca="1" si="40"/>
        <v>0</v>
      </c>
    </row>
    <row r="846" spans="2:4" x14ac:dyDescent="0.25">
      <c r="B846">
        <f t="shared" ca="1" si="41"/>
        <v>41852.432787614023</v>
      </c>
      <c r="C846">
        <f t="shared" ca="1" si="39"/>
        <v>0</v>
      </c>
      <c r="D846">
        <f t="shared" ca="1" si="40"/>
        <v>1852.4327876140233</v>
      </c>
    </row>
    <row r="847" spans="2:4" x14ac:dyDescent="0.25">
      <c r="B847">
        <f t="shared" ca="1" si="41"/>
        <v>51577.774554356401</v>
      </c>
      <c r="C847">
        <f t="shared" ca="1" si="39"/>
        <v>0</v>
      </c>
      <c r="D847">
        <f t="shared" ca="1" si="40"/>
        <v>11577.774554356401</v>
      </c>
    </row>
    <row r="848" spans="2:4" x14ac:dyDescent="0.25">
      <c r="B848">
        <f t="shared" ca="1" si="41"/>
        <v>49255.623501632559</v>
      </c>
      <c r="C848">
        <f t="shared" ca="1" si="39"/>
        <v>0</v>
      </c>
      <c r="D848">
        <f t="shared" ca="1" si="40"/>
        <v>9255.6235016325591</v>
      </c>
    </row>
    <row r="849" spans="2:4" x14ac:dyDescent="0.25">
      <c r="B849">
        <f t="shared" ca="1" si="41"/>
        <v>40243.056231661845</v>
      </c>
      <c r="C849">
        <f t="shared" ca="1" si="39"/>
        <v>0</v>
      </c>
      <c r="D849">
        <f t="shared" ca="1" si="40"/>
        <v>243.05623166184523</v>
      </c>
    </row>
    <row r="850" spans="2:4" x14ac:dyDescent="0.25">
      <c r="B850">
        <f t="shared" ca="1" si="41"/>
        <v>45036.964036042911</v>
      </c>
      <c r="C850">
        <f t="shared" ca="1" si="39"/>
        <v>0</v>
      </c>
      <c r="D850">
        <f t="shared" ca="1" si="40"/>
        <v>5036.9640360429112</v>
      </c>
    </row>
    <row r="851" spans="2:4" x14ac:dyDescent="0.25">
      <c r="B851">
        <f t="shared" ca="1" si="41"/>
        <v>51215.455900329915</v>
      </c>
      <c r="C851">
        <f t="shared" ca="1" si="39"/>
        <v>0</v>
      </c>
      <c r="D851">
        <f t="shared" ca="1" si="40"/>
        <v>11215.455900329915</v>
      </c>
    </row>
    <row r="852" spans="2:4" x14ac:dyDescent="0.25">
      <c r="B852">
        <f t="shared" ca="1" si="41"/>
        <v>51189.55779437918</v>
      </c>
      <c r="C852">
        <f t="shared" ca="1" si="39"/>
        <v>0</v>
      </c>
      <c r="D852">
        <f t="shared" ca="1" si="40"/>
        <v>11189.55779437918</v>
      </c>
    </row>
    <row r="853" spans="2:4" x14ac:dyDescent="0.25">
      <c r="B853">
        <f t="shared" ca="1" si="41"/>
        <v>46383.91106236045</v>
      </c>
      <c r="C853">
        <f t="shared" ca="1" si="39"/>
        <v>0</v>
      </c>
      <c r="D853">
        <f t="shared" ca="1" si="40"/>
        <v>6383.9110623604502</v>
      </c>
    </row>
    <row r="854" spans="2:4" x14ac:dyDescent="0.25">
      <c r="B854">
        <f t="shared" ca="1" si="41"/>
        <v>51350.38514814066</v>
      </c>
      <c r="C854">
        <f t="shared" ca="1" si="39"/>
        <v>0</v>
      </c>
      <c r="D854">
        <f t="shared" ca="1" si="40"/>
        <v>11350.38514814066</v>
      </c>
    </row>
    <row r="855" spans="2:4" x14ac:dyDescent="0.25">
      <c r="B855">
        <f t="shared" ca="1" si="41"/>
        <v>46826.983962891907</v>
      </c>
      <c r="C855">
        <f t="shared" ca="1" si="39"/>
        <v>0</v>
      </c>
      <c r="D855">
        <f t="shared" ca="1" si="40"/>
        <v>6826.9839628919071</v>
      </c>
    </row>
    <row r="856" spans="2:4" x14ac:dyDescent="0.25">
      <c r="B856">
        <f t="shared" ca="1" si="41"/>
        <v>41794.644714675931</v>
      </c>
      <c r="C856">
        <f t="shared" ca="1" si="39"/>
        <v>0</v>
      </c>
      <c r="D856">
        <f t="shared" ca="1" si="40"/>
        <v>1794.644714675931</v>
      </c>
    </row>
    <row r="857" spans="2:4" x14ac:dyDescent="0.25">
      <c r="B857">
        <f t="shared" ca="1" si="41"/>
        <v>52730.291375712965</v>
      </c>
      <c r="C857">
        <f t="shared" ca="1" si="39"/>
        <v>0</v>
      </c>
      <c r="D857">
        <f t="shared" ca="1" si="40"/>
        <v>12730.291375712965</v>
      </c>
    </row>
    <row r="858" spans="2:4" x14ac:dyDescent="0.25">
      <c r="B858">
        <f t="shared" ca="1" si="41"/>
        <v>49373.128982204827</v>
      </c>
      <c r="C858">
        <f t="shared" ca="1" si="39"/>
        <v>0</v>
      </c>
      <c r="D858">
        <f t="shared" ca="1" si="40"/>
        <v>9373.1289822048275</v>
      </c>
    </row>
    <row r="859" spans="2:4" x14ac:dyDescent="0.25">
      <c r="B859">
        <f t="shared" ca="1" si="41"/>
        <v>43803.100467352662</v>
      </c>
      <c r="C859">
        <f t="shared" ca="1" si="39"/>
        <v>0</v>
      </c>
      <c r="D859">
        <f t="shared" ca="1" si="40"/>
        <v>3803.1004673526622</v>
      </c>
    </row>
    <row r="860" spans="2:4" x14ac:dyDescent="0.25">
      <c r="B860">
        <f t="shared" ca="1" si="41"/>
        <v>46101.105453399774</v>
      </c>
      <c r="C860">
        <f t="shared" ca="1" si="39"/>
        <v>0</v>
      </c>
      <c r="D860">
        <f t="shared" ca="1" si="40"/>
        <v>6101.105453399774</v>
      </c>
    </row>
    <row r="861" spans="2:4" x14ac:dyDescent="0.25">
      <c r="B861">
        <f t="shared" ca="1" si="41"/>
        <v>51959.215234075396</v>
      </c>
      <c r="C861">
        <f t="shared" ca="1" si="39"/>
        <v>0</v>
      </c>
      <c r="D861">
        <f t="shared" ca="1" si="40"/>
        <v>11959.215234075396</v>
      </c>
    </row>
    <row r="862" spans="2:4" x14ac:dyDescent="0.25">
      <c r="B862">
        <f t="shared" ca="1" si="41"/>
        <v>42154.676437132897</v>
      </c>
      <c r="C862">
        <f t="shared" ca="1" si="39"/>
        <v>0</v>
      </c>
      <c r="D862">
        <f t="shared" ca="1" si="40"/>
        <v>2154.6764371328973</v>
      </c>
    </row>
    <row r="863" spans="2:4" x14ac:dyDescent="0.25">
      <c r="B863">
        <f t="shared" ca="1" si="41"/>
        <v>38892.323278344891</v>
      </c>
      <c r="C863">
        <f t="shared" ca="1" si="39"/>
        <v>1107.6767216551088</v>
      </c>
      <c r="D863">
        <f t="shared" ca="1" si="40"/>
        <v>0</v>
      </c>
    </row>
    <row r="864" spans="2:4" x14ac:dyDescent="0.25">
      <c r="B864">
        <f t="shared" ca="1" si="41"/>
        <v>40413.695282923371</v>
      </c>
      <c r="C864">
        <f t="shared" ca="1" si="39"/>
        <v>0</v>
      </c>
      <c r="D864">
        <f t="shared" ca="1" si="40"/>
        <v>413.69528292337054</v>
      </c>
    </row>
    <row r="865" spans="2:4" x14ac:dyDescent="0.25">
      <c r="B865">
        <f t="shared" ca="1" si="41"/>
        <v>44587.020956760134</v>
      </c>
      <c r="C865">
        <f t="shared" ca="1" si="39"/>
        <v>0</v>
      </c>
      <c r="D865">
        <f t="shared" ca="1" si="40"/>
        <v>4587.0209567601341</v>
      </c>
    </row>
    <row r="866" spans="2:4" x14ac:dyDescent="0.25">
      <c r="B866">
        <f t="shared" ca="1" si="41"/>
        <v>54997.24119562377</v>
      </c>
      <c r="C866">
        <f t="shared" ca="1" si="39"/>
        <v>0</v>
      </c>
      <c r="D866">
        <f t="shared" ca="1" si="40"/>
        <v>14997.24119562377</v>
      </c>
    </row>
    <row r="867" spans="2:4" x14ac:dyDescent="0.25">
      <c r="B867">
        <f t="shared" ca="1" si="41"/>
        <v>48245.982561957047</v>
      </c>
      <c r="C867">
        <f t="shared" ca="1" si="39"/>
        <v>0</v>
      </c>
      <c r="D867">
        <f t="shared" ca="1" si="40"/>
        <v>8245.9825619570474</v>
      </c>
    </row>
    <row r="868" spans="2:4" x14ac:dyDescent="0.25">
      <c r="B868">
        <f t="shared" ca="1" si="41"/>
        <v>46961.519352238625</v>
      </c>
      <c r="C868">
        <f t="shared" ca="1" si="39"/>
        <v>0</v>
      </c>
      <c r="D868">
        <f t="shared" ca="1" si="40"/>
        <v>6961.5193522386253</v>
      </c>
    </row>
    <row r="869" spans="2:4" x14ac:dyDescent="0.25">
      <c r="B869">
        <f t="shared" ca="1" si="41"/>
        <v>47988.633988730027</v>
      </c>
      <c r="C869">
        <f t="shared" ca="1" si="39"/>
        <v>0</v>
      </c>
      <c r="D869">
        <f t="shared" ca="1" si="40"/>
        <v>7988.6339887300273</v>
      </c>
    </row>
    <row r="870" spans="2:4" x14ac:dyDescent="0.25">
      <c r="B870">
        <f t="shared" ca="1" si="41"/>
        <v>49532.554176026824</v>
      </c>
      <c r="C870">
        <f t="shared" ca="1" si="39"/>
        <v>0</v>
      </c>
      <c r="D870">
        <f t="shared" ca="1" si="40"/>
        <v>9532.5541760268243</v>
      </c>
    </row>
    <row r="871" spans="2:4" x14ac:dyDescent="0.25">
      <c r="B871">
        <f t="shared" ca="1" si="41"/>
        <v>59488.876157981271</v>
      </c>
      <c r="C871">
        <f t="shared" ca="1" si="39"/>
        <v>0</v>
      </c>
      <c r="D871">
        <f t="shared" ca="1" si="40"/>
        <v>19488.876157981271</v>
      </c>
    </row>
    <row r="872" spans="2:4" x14ac:dyDescent="0.25">
      <c r="B872">
        <f t="shared" ca="1" si="41"/>
        <v>40630.539502918778</v>
      </c>
      <c r="C872">
        <f t="shared" ca="1" si="39"/>
        <v>0</v>
      </c>
      <c r="D872">
        <f t="shared" ca="1" si="40"/>
        <v>630.53950291877845</v>
      </c>
    </row>
    <row r="873" spans="2:4" x14ac:dyDescent="0.25">
      <c r="B873">
        <f t="shared" ca="1" si="41"/>
        <v>47041.116886258707</v>
      </c>
      <c r="C873">
        <f t="shared" ca="1" si="39"/>
        <v>0</v>
      </c>
      <c r="D873">
        <f t="shared" ca="1" si="40"/>
        <v>7041.1168862587074</v>
      </c>
    </row>
    <row r="874" spans="2:4" x14ac:dyDescent="0.25">
      <c r="B874">
        <f t="shared" ca="1" si="41"/>
        <v>40735.134392495173</v>
      </c>
      <c r="C874">
        <f t="shared" ca="1" si="39"/>
        <v>0</v>
      </c>
      <c r="D874">
        <f t="shared" ca="1" si="40"/>
        <v>735.13439249517251</v>
      </c>
    </row>
    <row r="875" spans="2:4" x14ac:dyDescent="0.25">
      <c r="B875">
        <f t="shared" ca="1" si="41"/>
        <v>56967.982382729948</v>
      </c>
      <c r="C875">
        <f t="shared" ca="1" si="39"/>
        <v>0</v>
      </c>
      <c r="D875">
        <f t="shared" ca="1" si="40"/>
        <v>16967.982382729948</v>
      </c>
    </row>
    <row r="876" spans="2:4" x14ac:dyDescent="0.25">
      <c r="B876">
        <f t="shared" ca="1" si="41"/>
        <v>43386.807309854179</v>
      </c>
      <c r="C876">
        <f t="shared" ca="1" si="39"/>
        <v>0</v>
      </c>
      <c r="D876">
        <f t="shared" ca="1" si="40"/>
        <v>3386.807309854179</v>
      </c>
    </row>
    <row r="877" spans="2:4" x14ac:dyDescent="0.25">
      <c r="B877">
        <f t="shared" ca="1" si="41"/>
        <v>44758.586670860059</v>
      </c>
      <c r="C877">
        <f t="shared" ca="1" si="39"/>
        <v>0</v>
      </c>
      <c r="D877">
        <f t="shared" ca="1" si="40"/>
        <v>4758.5866708600588</v>
      </c>
    </row>
    <row r="878" spans="2:4" x14ac:dyDescent="0.25">
      <c r="B878">
        <f t="shared" ca="1" si="41"/>
        <v>38018.79149003476</v>
      </c>
      <c r="C878">
        <f t="shared" ca="1" si="39"/>
        <v>1981.2085099652395</v>
      </c>
      <c r="D878">
        <f t="shared" ca="1" si="40"/>
        <v>0</v>
      </c>
    </row>
    <row r="879" spans="2:4" x14ac:dyDescent="0.25">
      <c r="B879">
        <f t="shared" ca="1" si="41"/>
        <v>44988.231072300696</v>
      </c>
      <c r="C879">
        <f t="shared" ca="1" si="39"/>
        <v>0</v>
      </c>
      <c r="D879">
        <f t="shared" ca="1" si="40"/>
        <v>4988.2310723006958</v>
      </c>
    </row>
    <row r="880" spans="2:4" x14ac:dyDescent="0.25">
      <c r="B880">
        <f t="shared" ca="1" si="41"/>
        <v>49850.459692964898</v>
      </c>
      <c r="C880">
        <f t="shared" ca="1" si="39"/>
        <v>0</v>
      </c>
      <c r="D880">
        <f t="shared" ca="1" si="40"/>
        <v>9850.4596929648978</v>
      </c>
    </row>
    <row r="881" spans="2:4" x14ac:dyDescent="0.25">
      <c r="B881">
        <f t="shared" ca="1" si="41"/>
        <v>52863.657798377797</v>
      </c>
      <c r="C881">
        <f t="shared" ca="1" si="39"/>
        <v>0</v>
      </c>
      <c r="D881">
        <f t="shared" ca="1" si="40"/>
        <v>12863.657798377797</v>
      </c>
    </row>
    <row r="882" spans="2:4" x14ac:dyDescent="0.25">
      <c r="B882">
        <f t="shared" ca="1" si="41"/>
        <v>39100.537197596037</v>
      </c>
      <c r="C882">
        <f t="shared" ca="1" si="39"/>
        <v>899.462802403963</v>
      </c>
      <c r="D882">
        <f t="shared" ca="1" si="40"/>
        <v>0</v>
      </c>
    </row>
    <row r="883" spans="2:4" x14ac:dyDescent="0.25">
      <c r="B883">
        <f t="shared" ca="1" si="41"/>
        <v>50077.234852476322</v>
      </c>
      <c r="C883">
        <f t="shared" ca="1" si="39"/>
        <v>0</v>
      </c>
      <c r="D883">
        <f t="shared" ca="1" si="40"/>
        <v>10077.234852476322</v>
      </c>
    </row>
    <row r="884" spans="2:4" x14ac:dyDescent="0.25">
      <c r="B884">
        <f t="shared" ca="1" si="41"/>
        <v>40131.141081367452</v>
      </c>
      <c r="C884">
        <f t="shared" ca="1" si="39"/>
        <v>0</v>
      </c>
      <c r="D884">
        <f t="shared" ca="1" si="40"/>
        <v>131.14108136745199</v>
      </c>
    </row>
    <row r="885" spans="2:4" x14ac:dyDescent="0.25">
      <c r="B885">
        <f t="shared" ca="1" si="41"/>
        <v>49057.508725230386</v>
      </c>
      <c r="C885">
        <f t="shared" ca="1" si="39"/>
        <v>0</v>
      </c>
      <c r="D885">
        <f t="shared" ca="1" si="40"/>
        <v>9057.5087252303856</v>
      </c>
    </row>
    <row r="886" spans="2:4" x14ac:dyDescent="0.25">
      <c r="B886">
        <f t="shared" ca="1" si="41"/>
        <v>40579.196699336921</v>
      </c>
      <c r="C886">
        <f t="shared" ca="1" si="39"/>
        <v>0</v>
      </c>
      <c r="D886">
        <f t="shared" ca="1" si="40"/>
        <v>579.19669933692057</v>
      </c>
    </row>
    <row r="887" spans="2:4" x14ac:dyDescent="0.25">
      <c r="B887">
        <f t="shared" ca="1" si="41"/>
        <v>49545.180829768397</v>
      </c>
      <c r="C887">
        <f t="shared" ca="1" si="39"/>
        <v>0</v>
      </c>
      <c r="D887">
        <f t="shared" ca="1" si="40"/>
        <v>9545.1808297683965</v>
      </c>
    </row>
    <row r="888" spans="2:4" x14ac:dyDescent="0.25">
      <c r="B888">
        <f t="shared" ca="1" si="41"/>
        <v>40245.107797192235</v>
      </c>
      <c r="C888">
        <f t="shared" ca="1" si="39"/>
        <v>0</v>
      </c>
      <c r="D888">
        <f t="shared" ca="1" si="40"/>
        <v>245.10779719223501</v>
      </c>
    </row>
    <row r="889" spans="2:4" x14ac:dyDescent="0.25">
      <c r="B889">
        <f t="shared" ca="1" si="41"/>
        <v>51945.061042160378</v>
      </c>
      <c r="C889">
        <f t="shared" ca="1" si="39"/>
        <v>0</v>
      </c>
      <c r="D889">
        <f t="shared" ca="1" si="40"/>
        <v>11945.061042160378</v>
      </c>
    </row>
    <row r="890" spans="2:4" x14ac:dyDescent="0.25">
      <c r="B890">
        <f t="shared" ca="1" si="41"/>
        <v>51823.470711300928</v>
      </c>
      <c r="C890">
        <f t="shared" ca="1" si="39"/>
        <v>0</v>
      </c>
      <c r="D890">
        <f t="shared" ca="1" si="40"/>
        <v>11823.470711300928</v>
      </c>
    </row>
    <row r="891" spans="2:4" x14ac:dyDescent="0.25">
      <c r="B891">
        <f t="shared" ca="1" si="41"/>
        <v>45562.184352800097</v>
      </c>
      <c r="C891">
        <f t="shared" ca="1" si="39"/>
        <v>0</v>
      </c>
      <c r="D891">
        <f t="shared" ca="1" si="40"/>
        <v>5562.1843528000973</v>
      </c>
    </row>
    <row r="892" spans="2:4" x14ac:dyDescent="0.25">
      <c r="B892">
        <f t="shared" ca="1" si="41"/>
        <v>41223.308247650355</v>
      </c>
      <c r="C892">
        <f t="shared" ca="1" si="39"/>
        <v>0</v>
      </c>
      <c r="D892">
        <f t="shared" ca="1" si="40"/>
        <v>1223.308247650355</v>
      </c>
    </row>
    <row r="893" spans="2:4" x14ac:dyDescent="0.25">
      <c r="B893">
        <f t="shared" ca="1" si="41"/>
        <v>53081.876507859612</v>
      </c>
      <c r="C893">
        <f t="shared" ca="1" si="39"/>
        <v>0</v>
      </c>
      <c r="D893">
        <f t="shared" ca="1" si="40"/>
        <v>13081.876507859612</v>
      </c>
    </row>
    <row r="894" spans="2:4" x14ac:dyDescent="0.25">
      <c r="B894">
        <f t="shared" ca="1" si="41"/>
        <v>46316.672850013834</v>
      </c>
      <c r="C894">
        <f t="shared" ca="1" si="39"/>
        <v>0</v>
      </c>
      <c r="D894">
        <f t="shared" ca="1" si="40"/>
        <v>6316.6728500138342</v>
      </c>
    </row>
    <row r="895" spans="2:4" x14ac:dyDescent="0.25">
      <c r="B895">
        <f t="shared" ca="1" si="41"/>
        <v>37873.183136551874</v>
      </c>
      <c r="C895">
        <f t="shared" ca="1" si="39"/>
        <v>2126.8168634481262</v>
      </c>
      <c r="D895">
        <f t="shared" ca="1" si="40"/>
        <v>0</v>
      </c>
    </row>
    <row r="896" spans="2:4" x14ac:dyDescent="0.25">
      <c r="B896">
        <f t="shared" ca="1" si="41"/>
        <v>42217.583625066029</v>
      </c>
      <c r="C896">
        <f t="shared" ca="1" si="39"/>
        <v>0</v>
      </c>
      <c r="D896">
        <f t="shared" ca="1" si="40"/>
        <v>2217.5836250660286</v>
      </c>
    </row>
    <row r="897" spans="2:4" x14ac:dyDescent="0.25">
      <c r="B897">
        <f t="shared" ca="1" si="41"/>
        <v>43569.444441295127</v>
      </c>
      <c r="C897">
        <f t="shared" ca="1" si="39"/>
        <v>0</v>
      </c>
      <c r="D897">
        <f t="shared" ca="1" si="40"/>
        <v>3569.444441295127</v>
      </c>
    </row>
    <row r="898" spans="2:4" x14ac:dyDescent="0.25">
      <c r="B898">
        <f t="shared" ca="1" si="41"/>
        <v>48635.99281280081</v>
      </c>
      <c r="C898">
        <f t="shared" ca="1" si="39"/>
        <v>0</v>
      </c>
      <c r="D898">
        <f t="shared" ca="1" si="40"/>
        <v>8635.9928128008105</v>
      </c>
    </row>
    <row r="899" spans="2:4" x14ac:dyDescent="0.25">
      <c r="B899">
        <f t="shared" ca="1" si="41"/>
        <v>46096.695977690884</v>
      </c>
      <c r="C899">
        <f t="shared" ca="1" si="39"/>
        <v>0</v>
      </c>
      <c r="D899">
        <f t="shared" ca="1" si="40"/>
        <v>6096.6959776908843</v>
      </c>
    </row>
    <row r="900" spans="2:4" x14ac:dyDescent="0.25">
      <c r="B900">
        <f t="shared" ca="1" si="41"/>
        <v>41731.951487580714</v>
      </c>
      <c r="C900">
        <f t="shared" ca="1" si="39"/>
        <v>0</v>
      </c>
      <c r="D900">
        <f t="shared" ca="1" si="40"/>
        <v>1731.9514875807145</v>
      </c>
    </row>
    <row r="901" spans="2:4" x14ac:dyDescent="0.25">
      <c r="B901">
        <f t="shared" ca="1" si="41"/>
        <v>42946.658924120806</v>
      </c>
      <c r="C901">
        <f t="shared" ca="1" si="39"/>
        <v>0</v>
      </c>
      <c r="D901">
        <f t="shared" ca="1" si="40"/>
        <v>2946.6589241208058</v>
      </c>
    </row>
    <row r="902" spans="2:4" x14ac:dyDescent="0.25">
      <c r="B902">
        <f t="shared" ca="1" si="41"/>
        <v>41087.688163211242</v>
      </c>
      <c r="C902">
        <f t="shared" ca="1" si="39"/>
        <v>0</v>
      </c>
      <c r="D902">
        <f t="shared" ca="1" si="40"/>
        <v>1087.6881632112418</v>
      </c>
    </row>
    <row r="903" spans="2:4" x14ac:dyDescent="0.25">
      <c r="B903">
        <f t="shared" ca="1" si="41"/>
        <v>40480.215639324771</v>
      </c>
      <c r="C903">
        <f t="shared" ca="1" si="39"/>
        <v>0</v>
      </c>
      <c r="D903">
        <f t="shared" ca="1" si="40"/>
        <v>480.21563932477147</v>
      </c>
    </row>
    <row r="904" spans="2:4" x14ac:dyDescent="0.25">
      <c r="B904">
        <f t="shared" ca="1" si="41"/>
        <v>35904.125090042849</v>
      </c>
      <c r="C904">
        <f t="shared" ca="1" si="39"/>
        <v>4095.8749099571505</v>
      </c>
      <c r="D904">
        <f t="shared" ca="1" si="40"/>
        <v>0</v>
      </c>
    </row>
    <row r="905" spans="2:4" x14ac:dyDescent="0.25">
      <c r="B905">
        <f t="shared" ca="1" si="41"/>
        <v>48296.516443603745</v>
      </c>
      <c r="C905">
        <f t="shared" ca="1" si="39"/>
        <v>0</v>
      </c>
      <c r="D905">
        <f t="shared" ca="1" si="40"/>
        <v>8296.5164436037448</v>
      </c>
    </row>
    <row r="906" spans="2:4" x14ac:dyDescent="0.25">
      <c r="B906">
        <f t="shared" ca="1" si="41"/>
        <v>47859.589373627437</v>
      </c>
      <c r="C906">
        <f t="shared" ca="1" si="39"/>
        <v>0</v>
      </c>
      <c r="D906">
        <f t="shared" ca="1" si="40"/>
        <v>7859.5893736274375</v>
      </c>
    </row>
    <row r="907" spans="2:4" x14ac:dyDescent="0.25">
      <c r="B907">
        <f t="shared" ca="1" si="41"/>
        <v>48087.670308015389</v>
      </c>
      <c r="C907">
        <f t="shared" ca="1" si="39"/>
        <v>0</v>
      </c>
      <c r="D907">
        <f t="shared" ca="1" si="40"/>
        <v>8087.6703080153893</v>
      </c>
    </row>
    <row r="908" spans="2:4" x14ac:dyDescent="0.25">
      <c r="B908">
        <f t="shared" ca="1" si="41"/>
        <v>43148.104587508991</v>
      </c>
      <c r="C908">
        <f t="shared" ref="C908:C971" ca="1" si="42">IF(MAX($B$2-B908)&lt;0,0,$B$2-B908)</f>
        <v>0</v>
      </c>
      <c r="D908">
        <f t="shared" ref="D908:D971" ca="1" si="43">IF(MAX(B908-$B$2)&lt;0,0,B908-$B$2)</f>
        <v>3148.1045875089912</v>
      </c>
    </row>
    <row r="909" spans="2:4" x14ac:dyDescent="0.25">
      <c r="B909">
        <f t="shared" ref="B909:B972" ca="1" si="44">$B$1*EXP((($B$4-($B$3^2)/2)*$B$5+$B$3*SQRT($B$5)*NORMSINV(RAND())))</f>
        <v>38453.439566183748</v>
      </c>
      <c r="C909">
        <f t="shared" ca="1" si="42"/>
        <v>1546.560433816252</v>
      </c>
      <c r="D909">
        <f t="shared" ca="1" si="43"/>
        <v>0</v>
      </c>
    </row>
    <row r="910" spans="2:4" x14ac:dyDescent="0.25">
      <c r="B910">
        <f t="shared" ca="1" si="44"/>
        <v>40470.289702350434</v>
      </c>
      <c r="C910">
        <f t="shared" ca="1" si="42"/>
        <v>0</v>
      </c>
      <c r="D910">
        <f t="shared" ca="1" si="43"/>
        <v>470.2897023504338</v>
      </c>
    </row>
    <row r="911" spans="2:4" x14ac:dyDescent="0.25">
      <c r="B911">
        <f t="shared" ca="1" si="44"/>
        <v>40225.322904460154</v>
      </c>
      <c r="C911">
        <f t="shared" ca="1" si="42"/>
        <v>0</v>
      </c>
      <c r="D911">
        <f t="shared" ca="1" si="43"/>
        <v>225.32290446015395</v>
      </c>
    </row>
    <row r="912" spans="2:4" x14ac:dyDescent="0.25">
      <c r="B912">
        <f t="shared" ca="1" si="44"/>
        <v>46476.311612311176</v>
      </c>
      <c r="C912">
        <f t="shared" ca="1" si="42"/>
        <v>0</v>
      </c>
      <c r="D912">
        <f t="shared" ca="1" si="43"/>
        <v>6476.3116123111758</v>
      </c>
    </row>
    <row r="913" spans="2:4" x14ac:dyDescent="0.25">
      <c r="B913">
        <f t="shared" ca="1" si="44"/>
        <v>44445.588639914924</v>
      </c>
      <c r="C913">
        <f t="shared" ca="1" si="42"/>
        <v>0</v>
      </c>
      <c r="D913">
        <f t="shared" ca="1" si="43"/>
        <v>4445.588639914924</v>
      </c>
    </row>
    <row r="914" spans="2:4" x14ac:dyDescent="0.25">
      <c r="B914">
        <f t="shared" ca="1" si="44"/>
        <v>40527.881406897999</v>
      </c>
      <c r="C914">
        <f t="shared" ca="1" si="42"/>
        <v>0</v>
      </c>
      <c r="D914">
        <f t="shared" ca="1" si="43"/>
        <v>527.88140689799911</v>
      </c>
    </row>
    <row r="915" spans="2:4" x14ac:dyDescent="0.25">
      <c r="B915">
        <f t="shared" ca="1" si="44"/>
        <v>44861.558329974978</v>
      </c>
      <c r="C915">
        <f t="shared" ca="1" si="42"/>
        <v>0</v>
      </c>
      <c r="D915">
        <f t="shared" ca="1" si="43"/>
        <v>4861.5583299749778</v>
      </c>
    </row>
    <row r="916" spans="2:4" x14ac:dyDescent="0.25">
      <c r="B916">
        <f t="shared" ca="1" si="44"/>
        <v>43344.633043560476</v>
      </c>
      <c r="C916">
        <f t="shared" ca="1" si="42"/>
        <v>0</v>
      </c>
      <c r="D916">
        <f t="shared" ca="1" si="43"/>
        <v>3344.6330435604759</v>
      </c>
    </row>
    <row r="917" spans="2:4" x14ac:dyDescent="0.25">
      <c r="B917">
        <f t="shared" ca="1" si="44"/>
        <v>41431.080814118824</v>
      </c>
      <c r="C917">
        <f t="shared" ca="1" si="42"/>
        <v>0</v>
      </c>
      <c r="D917">
        <f t="shared" ca="1" si="43"/>
        <v>1431.0808141188245</v>
      </c>
    </row>
    <row r="918" spans="2:4" x14ac:dyDescent="0.25">
      <c r="B918">
        <f t="shared" ca="1" si="44"/>
        <v>49147.259016502059</v>
      </c>
      <c r="C918">
        <f t="shared" ca="1" si="42"/>
        <v>0</v>
      </c>
      <c r="D918">
        <f t="shared" ca="1" si="43"/>
        <v>9147.2590165020592</v>
      </c>
    </row>
    <row r="919" spans="2:4" x14ac:dyDescent="0.25">
      <c r="B919">
        <f t="shared" ca="1" si="44"/>
        <v>37546.883765732731</v>
      </c>
      <c r="C919">
        <f t="shared" ca="1" si="42"/>
        <v>2453.1162342672687</v>
      </c>
      <c r="D919">
        <f t="shared" ca="1" si="43"/>
        <v>0</v>
      </c>
    </row>
    <row r="920" spans="2:4" x14ac:dyDescent="0.25">
      <c r="B920">
        <f t="shared" ca="1" si="44"/>
        <v>45712.769436986971</v>
      </c>
      <c r="C920">
        <f t="shared" ca="1" si="42"/>
        <v>0</v>
      </c>
      <c r="D920">
        <f t="shared" ca="1" si="43"/>
        <v>5712.7694369869714</v>
      </c>
    </row>
    <row r="921" spans="2:4" x14ac:dyDescent="0.25">
      <c r="B921">
        <f t="shared" ca="1" si="44"/>
        <v>42540.231809951365</v>
      </c>
      <c r="C921">
        <f t="shared" ca="1" si="42"/>
        <v>0</v>
      </c>
      <c r="D921">
        <f t="shared" ca="1" si="43"/>
        <v>2540.231809951365</v>
      </c>
    </row>
    <row r="922" spans="2:4" x14ac:dyDescent="0.25">
      <c r="B922">
        <f t="shared" ca="1" si="44"/>
        <v>49655.754053642217</v>
      </c>
      <c r="C922">
        <f t="shared" ca="1" si="42"/>
        <v>0</v>
      </c>
      <c r="D922">
        <f t="shared" ca="1" si="43"/>
        <v>9655.7540536422166</v>
      </c>
    </row>
    <row r="923" spans="2:4" x14ac:dyDescent="0.25">
      <c r="B923">
        <f t="shared" ca="1" si="44"/>
        <v>48408.843866383002</v>
      </c>
      <c r="C923">
        <f t="shared" ca="1" si="42"/>
        <v>0</v>
      </c>
      <c r="D923">
        <f t="shared" ca="1" si="43"/>
        <v>8408.843866383002</v>
      </c>
    </row>
    <row r="924" spans="2:4" x14ac:dyDescent="0.25">
      <c r="B924">
        <f t="shared" ca="1" si="44"/>
        <v>37232.798234230351</v>
      </c>
      <c r="C924">
        <f t="shared" ca="1" si="42"/>
        <v>2767.2017657696488</v>
      </c>
      <c r="D924">
        <f t="shared" ca="1" si="43"/>
        <v>0</v>
      </c>
    </row>
    <row r="925" spans="2:4" x14ac:dyDescent="0.25">
      <c r="B925">
        <f t="shared" ca="1" si="44"/>
        <v>44476.193009595438</v>
      </c>
      <c r="C925">
        <f t="shared" ca="1" si="42"/>
        <v>0</v>
      </c>
      <c r="D925">
        <f t="shared" ca="1" si="43"/>
        <v>4476.1930095954376</v>
      </c>
    </row>
    <row r="926" spans="2:4" x14ac:dyDescent="0.25">
      <c r="B926">
        <f t="shared" ca="1" si="44"/>
        <v>44347.457517143557</v>
      </c>
      <c r="C926">
        <f t="shared" ca="1" si="42"/>
        <v>0</v>
      </c>
      <c r="D926">
        <f t="shared" ca="1" si="43"/>
        <v>4347.4575171435572</v>
      </c>
    </row>
    <row r="927" spans="2:4" x14ac:dyDescent="0.25">
      <c r="B927">
        <f t="shared" ca="1" si="44"/>
        <v>36542.61650238742</v>
      </c>
      <c r="C927">
        <f t="shared" ca="1" si="42"/>
        <v>3457.38349761258</v>
      </c>
      <c r="D927">
        <f t="shared" ca="1" si="43"/>
        <v>0</v>
      </c>
    </row>
    <row r="928" spans="2:4" x14ac:dyDescent="0.25">
      <c r="B928">
        <f t="shared" ca="1" si="44"/>
        <v>49209.84160231048</v>
      </c>
      <c r="C928">
        <f t="shared" ca="1" si="42"/>
        <v>0</v>
      </c>
      <c r="D928">
        <f t="shared" ca="1" si="43"/>
        <v>9209.8416023104801</v>
      </c>
    </row>
    <row r="929" spans="2:4" x14ac:dyDescent="0.25">
      <c r="B929">
        <f t="shared" ca="1" si="44"/>
        <v>46727.819543181191</v>
      </c>
      <c r="C929">
        <f t="shared" ca="1" si="42"/>
        <v>0</v>
      </c>
      <c r="D929">
        <f t="shared" ca="1" si="43"/>
        <v>6727.819543181191</v>
      </c>
    </row>
    <row r="930" spans="2:4" x14ac:dyDescent="0.25">
      <c r="B930">
        <f t="shared" ca="1" si="44"/>
        <v>49606.765439789415</v>
      </c>
      <c r="C930">
        <f t="shared" ca="1" si="42"/>
        <v>0</v>
      </c>
      <c r="D930">
        <f t="shared" ca="1" si="43"/>
        <v>9606.7654397894148</v>
      </c>
    </row>
    <row r="931" spans="2:4" x14ac:dyDescent="0.25">
      <c r="B931">
        <f t="shared" ca="1" si="44"/>
        <v>44393.352162842566</v>
      </c>
      <c r="C931">
        <f t="shared" ca="1" si="42"/>
        <v>0</v>
      </c>
      <c r="D931">
        <f t="shared" ca="1" si="43"/>
        <v>4393.352162842566</v>
      </c>
    </row>
    <row r="932" spans="2:4" x14ac:dyDescent="0.25">
      <c r="B932">
        <f t="shared" ca="1" si="44"/>
        <v>40638.714943380037</v>
      </c>
      <c r="C932">
        <f t="shared" ca="1" si="42"/>
        <v>0</v>
      </c>
      <c r="D932">
        <f t="shared" ca="1" si="43"/>
        <v>638.71494338003686</v>
      </c>
    </row>
    <row r="933" spans="2:4" x14ac:dyDescent="0.25">
      <c r="B933">
        <f t="shared" ca="1" si="44"/>
        <v>42800.945817420165</v>
      </c>
      <c r="C933">
        <f t="shared" ca="1" si="42"/>
        <v>0</v>
      </c>
      <c r="D933">
        <f t="shared" ca="1" si="43"/>
        <v>2800.9458174201645</v>
      </c>
    </row>
    <row r="934" spans="2:4" x14ac:dyDescent="0.25">
      <c r="B934">
        <f t="shared" ca="1" si="44"/>
        <v>44560.184550678779</v>
      </c>
      <c r="C934">
        <f t="shared" ca="1" si="42"/>
        <v>0</v>
      </c>
      <c r="D934">
        <f t="shared" ca="1" si="43"/>
        <v>4560.1845506787795</v>
      </c>
    </row>
    <row r="935" spans="2:4" x14ac:dyDescent="0.25">
      <c r="B935">
        <f t="shared" ca="1" si="44"/>
        <v>43674.262987819966</v>
      </c>
      <c r="C935">
        <f t="shared" ca="1" si="42"/>
        <v>0</v>
      </c>
      <c r="D935">
        <f t="shared" ca="1" si="43"/>
        <v>3674.2629878199659</v>
      </c>
    </row>
    <row r="936" spans="2:4" x14ac:dyDescent="0.25">
      <c r="B936">
        <f t="shared" ca="1" si="44"/>
        <v>37638.134139743197</v>
      </c>
      <c r="C936">
        <f t="shared" ca="1" si="42"/>
        <v>2361.865860256803</v>
      </c>
      <c r="D936">
        <f t="shared" ca="1" si="43"/>
        <v>0</v>
      </c>
    </row>
    <row r="937" spans="2:4" x14ac:dyDescent="0.25">
      <c r="B937">
        <f t="shared" ca="1" si="44"/>
        <v>46277.464185818659</v>
      </c>
      <c r="C937">
        <f t="shared" ca="1" si="42"/>
        <v>0</v>
      </c>
      <c r="D937">
        <f t="shared" ca="1" si="43"/>
        <v>6277.4641858186587</v>
      </c>
    </row>
    <row r="938" spans="2:4" x14ac:dyDescent="0.25">
      <c r="B938">
        <f t="shared" ca="1" si="44"/>
        <v>46753.820704805235</v>
      </c>
      <c r="C938">
        <f t="shared" ca="1" si="42"/>
        <v>0</v>
      </c>
      <c r="D938">
        <f t="shared" ca="1" si="43"/>
        <v>6753.8207048052354</v>
      </c>
    </row>
    <row r="939" spans="2:4" x14ac:dyDescent="0.25">
      <c r="B939">
        <f t="shared" ca="1" si="44"/>
        <v>37684.298734540236</v>
      </c>
      <c r="C939">
        <f t="shared" ca="1" si="42"/>
        <v>2315.7012654597638</v>
      </c>
      <c r="D939">
        <f t="shared" ca="1" si="43"/>
        <v>0</v>
      </c>
    </row>
    <row r="940" spans="2:4" x14ac:dyDescent="0.25">
      <c r="B940">
        <f t="shared" ca="1" si="44"/>
        <v>46389.365468418619</v>
      </c>
      <c r="C940">
        <f t="shared" ca="1" si="42"/>
        <v>0</v>
      </c>
      <c r="D940">
        <f t="shared" ca="1" si="43"/>
        <v>6389.3654684186185</v>
      </c>
    </row>
    <row r="941" spans="2:4" x14ac:dyDescent="0.25">
      <c r="B941">
        <f t="shared" ca="1" si="44"/>
        <v>47486.161938434794</v>
      </c>
      <c r="C941">
        <f t="shared" ca="1" si="42"/>
        <v>0</v>
      </c>
      <c r="D941">
        <f t="shared" ca="1" si="43"/>
        <v>7486.1619384347941</v>
      </c>
    </row>
    <row r="942" spans="2:4" x14ac:dyDescent="0.25">
      <c r="B942">
        <f t="shared" ca="1" si="44"/>
        <v>52469.837153898392</v>
      </c>
      <c r="C942">
        <f t="shared" ca="1" si="42"/>
        <v>0</v>
      </c>
      <c r="D942">
        <f t="shared" ca="1" si="43"/>
        <v>12469.837153898392</v>
      </c>
    </row>
    <row r="943" spans="2:4" x14ac:dyDescent="0.25">
      <c r="B943">
        <f t="shared" ca="1" si="44"/>
        <v>39781.545693723805</v>
      </c>
      <c r="C943">
        <f t="shared" ca="1" si="42"/>
        <v>218.45430627619498</v>
      </c>
      <c r="D943">
        <f t="shared" ca="1" si="43"/>
        <v>0</v>
      </c>
    </row>
    <row r="944" spans="2:4" x14ac:dyDescent="0.25">
      <c r="B944">
        <f t="shared" ca="1" si="44"/>
        <v>43769.907958385658</v>
      </c>
      <c r="C944">
        <f t="shared" ca="1" si="42"/>
        <v>0</v>
      </c>
      <c r="D944">
        <f t="shared" ca="1" si="43"/>
        <v>3769.9079583856583</v>
      </c>
    </row>
    <row r="945" spans="2:4" x14ac:dyDescent="0.25">
      <c r="B945">
        <f t="shared" ca="1" si="44"/>
        <v>45688.705856888235</v>
      </c>
      <c r="C945">
        <f t="shared" ca="1" si="42"/>
        <v>0</v>
      </c>
      <c r="D945">
        <f t="shared" ca="1" si="43"/>
        <v>5688.7058568882348</v>
      </c>
    </row>
    <row r="946" spans="2:4" x14ac:dyDescent="0.25">
      <c r="B946">
        <f t="shared" ca="1" si="44"/>
        <v>46141.44055519886</v>
      </c>
      <c r="C946">
        <f t="shared" ca="1" si="42"/>
        <v>0</v>
      </c>
      <c r="D946">
        <f t="shared" ca="1" si="43"/>
        <v>6141.4405551988602</v>
      </c>
    </row>
    <row r="947" spans="2:4" x14ac:dyDescent="0.25">
      <c r="B947">
        <f t="shared" ca="1" si="44"/>
        <v>48327.786198282622</v>
      </c>
      <c r="C947">
        <f t="shared" ca="1" si="42"/>
        <v>0</v>
      </c>
      <c r="D947">
        <f t="shared" ca="1" si="43"/>
        <v>8327.7861982826216</v>
      </c>
    </row>
    <row r="948" spans="2:4" x14ac:dyDescent="0.25">
      <c r="B948">
        <f t="shared" ca="1" si="44"/>
        <v>41347.414483740431</v>
      </c>
      <c r="C948">
        <f t="shared" ca="1" si="42"/>
        <v>0</v>
      </c>
      <c r="D948">
        <f t="shared" ca="1" si="43"/>
        <v>1347.414483740431</v>
      </c>
    </row>
    <row r="949" spans="2:4" x14ac:dyDescent="0.25">
      <c r="B949">
        <f t="shared" ca="1" si="44"/>
        <v>53394.44872208876</v>
      </c>
      <c r="C949">
        <f t="shared" ca="1" si="42"/>
        <v>0</v>
      </c>
      <c r="D949">
        <f t="shared" ca="1" si="43"/>
        <v>13394.44872208876</v>
      </c>
    </row>
    <row r="950" spans="2:4" x14ac:dyDescent="0.25">
      <c r="B950">
        <f t="shared" ca="1" si="44"/>
        <v>44711.633695997822</v>
      </c>
      <c r="C950">
        <f t="shared" ca="1" si="42"/>
        <v>0</v>
      </c>
      <c r="D950">
        <f t="shared" ca="1" si="43"/>
        <v>4711.6336959978216</v>
      </c>
    </row>
    <row r="951" spans="2:4" x14ac:dyDescent="0.25">
      <c r="B951">
        <f t="shared" ca="1" si="44"/>
        <v>49786.662934127969</v>
      </c>
      <c r="C951">
        <f t="shared" ca="1" si="42"/>
        <v>0</v>
      </c>
      <c r="D951">
        <f t="shared" ca="1" si="43"/>
        <v>9786.6629341279695</v>
      </c>
    </row>
    <row r="952" spans="2:4" x14ac:dyDescent="0.25">
      <c r="B952">
        <f t="shared" ca="1" si="44"/>
        <v>42728.359089356498</v>
      </c>
      <c r="C952">
        <f t="shared" ca="1" si="42"/>
        <v>0</v>
      </c>
      <c r="D952">
        <f t="shared" ca="1" si="43"/>
        <v>2728.3590893564979</v>
      </c>
    </row>
    <row r="953" spans="2:4" x14ac:dyDescent="0.25">
      <c r="B953">
        <f t="shared" ca="1" si="44"/>
        <v>47192.400941000735</v>
      </c>
      <c r="C953">
        <f t="shared" ca="1" si="42"/>
        <v>0</v>
      </c>
      <c r="D953">
        <f t="shared" ca="1" si="43"/>
        <v>7192.4009410007347</v>
      </c>
    </row>
    <row r="954" spans="2:4" x14ac:dyDescent="0.25">
      <c r="B954">
        <f t="shared" ca="1" si="44"/>
        <v>49913.865071308996</v>
      </c>
      <c r="C954">
        <f t="shared" ca="1" si="42"/>
        <v>0</v>
      </c>
      <c r="D954">
        <f t="shared" ca="1" si="43"/>
        <v>9913.8650713089955</v>
      </c>
    </row>
    <row r="955" spans="2:4" x14ac:dyDescent="0.25">
      <c r="B955">
        <f t="shared" ca="1" si="44"/>
        <v>50917.767136766706</v>
      </c>
      <c r="C955">
        <f t="shared" ca="1" si="42"/>
        <v>0</v>
      </c>
      <c r="D955">
        <f t="shared" ca="1" si="43"/>
        <v>10917.767136766706</v>
      </c>
    </row>
    <row r="956" spans="2:4" x14ac:dyDescent="0.25">
      <c r="B956">
        <f t="shared" ca="1" si="44"/>
        <v>50706.35435224136</v>
      </c>
      <c r="C956">
        <f t="shared" ca="1" si="42"/>
        <v>0</v>
      </c>
      <c r="D956">
        <f t="shared" ca="1" si="43"/>
        <v>10706.35435224136</v>
      </c>
    </row>
    <row r="957" spans="2:4" x14ac:dyDescent="0.25">
      <c r="B957">
        <f t="shared" ca="1" si="44"/>
        <v>33303.609096963672</v>
      </c>
      <c r="C957">
        <f t="shared" ca="1" si="42"/>
        <v>6696.3909030363284</v>
      </c>
      <c r="D957">
        <f t="shared" ca="1" si="43"/>
        <v>0</v>
      </c>
    </row>
    <row r="958" spans="2:4" x14ac:dyDescent="0.25">
      <c r="B958">
        <f t="shared" ca="1" si="44"/>
        <v>48938.845755845134</v>
      </c>
      <c r="C958">
        <f t="shared" ca="1" si="42"/>
        <v>0</v>
      </c>
      <c r="D958">
        <f t="shared" ca="1" si="43"/>
        <v>8938.8457558451337</v>
      </c>
    </row>
    <row r="959" spans="2:4" x14ac:dyDescent="0.25">
      <c r="B959">
        <f t="shared" ca="1" si="44"/>
        <v>42699.414965748001</v>
      </c>
      <c r="C959">
        <f t="shared" ca="1" si="42"/>
        <v>0</v>
      </c>
      <c r="D959">
        <f t="shared" ca="1" si="43"/>
        <v>2699.4149657480011</v>
      </c>
    </row>
    <row r="960" spans="2:4" x14ac:dyDescent="0.25">
      <c r="B960">
        <f t="shared" ca="1" si="44"/>
        <v>44289.920895676711</v>
      </c>
      <c r="C960">
        <f t="shared" ca="1" si="42"/>
        <v>0</v>
      </c>
      <c r="D960">
        <f t="shared" ca="1" si="43"/>
        <v>4289.9208956767106</v>
      </c>
    </row>
    <row r="961" spans="2:4" x14ac:dyDescent="0.25">
      <c r="B961">
        <f t="shared" ca="1" si="44"/>
        <v>44610.055836221632</v>
      </c>
      <c r="C961">
        <f t="shared" ca="1" si="42"/>
        <v>0</v>
      </c>
      <c r="D961">
        <f t="shared" ca="1" si="43"/>
        <v>4610.0558362216325</v>
      </c>
    </row>
    <row r="962" spans="2:4" x14ac:dyDescent="0.25">
      <c r="B962">
        <f t="shared" ca="1" si="44"/>
        <v>41303.375000057385</v>
      </c>
      <c r="C962">
        <f t="shared" ca="1" si="42"/>
        <v>0</v>
      </c>
      <c r="D962">
        <f t="shared" ca="1" si="43"/>
        <v>1303.3750000573855</v>
      </c>
    </row>
    <row r="963" spans="2:4" x14ac:dyDescent="0.25">
      <c r="B963">
        <f t="shared" ca="1" si="44"/>
        <v>46522.045209251752</v>
      </c>
      <c r="C963">
        <f t="shared" ca="1" si="42"/>
        <v>0</v>
      </c>
      <c r="D963">
        <f t="shared" ca="1" si="43"/>
        <v>6522.0452092517517</v>
      </c>
    </row>
    <row r="964" spans="2:4" x14ac:dyDescent="0.25">
      <c r="B964">
        <f t="shared" ca="1" si="44"/>
        <v>47112.796957995321</v>
      </c>
      <c r="C964">
        <f t="shared" ca="1" si="42"/>
        <v>0</v>
      </c>
      <c r="D964">
        <f t="shared" ca="1" si="43"/>
        <v>7112.7969579953206</v>
      </c>
    </row>
    <row r="965" spans="2:4" x14ac:dyDescent="0.25">
      <c r="B965">
        <f t="shared" ca="1" si="44"/>
        <v>46972.851226663086</v>
      </c>
      <c r="C965">
        <f t="shared" ca="1" si="42"/>
        <v>0</v>
      </c>
      <c r="D965">
        <f t="shared" ca="1" si="43"/>
        <v>6972.851226663086</v>
      </c>
    </row>
    <row r="966" spans="2:4" x14ac:dyDescent="0.25">
      <c r="B966">
        <f t="shared" ca="1" si="44"/>
        <v>48526.089626273708</v>
      </c>
      <c r="C966">
        <f t="shared" ca="1" si="42"/>
        <v>0</v>
      </c>
      <c r="D966">
        <f t="shared" ca="1" si="43"/>
        <v>8526.0896262737078</v>
      </c>
    </row>
    <row r="967" spans="2:4" x14ac:dyDescent="0.25">
      <c r="B967">
        <f t="shared" ca="1" si="44"/>
        <v>46541.87222749272</v>
      </c>
      <c r="C967">
        <f t="shared" ca="1" si="42"/>
        <v>0</v>
      </c>
      <c r="D967">
        <f t="shared" ca="1" si="43"/>
        <v>6541.8722274927204</v>
      </c>
    </row>
    <row r="968" spans="2:4" x14ac:dyDescent="0.25">
      <c r="B968">
        <f t="shared" ca="1" si="44"/>
        <v>44618.643885001278</v>
      </c>
      <c r="C968">
        <f t="shared" ca="1" si="42"/>
        <v>0</v>
      </c>
      <c r="D968">
        <f t="shared" ca="1" si="43"/>
        <v>4618.6438850012782</v>
      </c>
    </row>
    <row r="969" spans="2:4" x14ac:dyDescent="0.25">
      <c r="B969">
        <f t="shared" ca="1" si="44"/>
        <v>44283.696362993913</v>
      </c>
      <c r="C969">
        <f t="shared" ca="1" si="42"/>
        <v>0</v>
      </c>
      <c r="D969">
        <f t="shared" ca="1" si="43"/>
        <v>4283.6963629939128</v>
      </c>
    </row>
    <row r="970" spans="2:4" x14ac:dyDescent="0.25">
      <c r="B970">
        <f t="shared" ca="1" si="44"/>
        <v>47807.447688838052</v>
      </c>
      <c r="C970">
        <f t="shared" ca="1" si="42"/>
        <v>0</v>
      </c>
      <c r="D970">
        <f t="shared" ca="1" si="43"/>
        <v>7807.4476888380523</v>
      </c>
    </row>
    <row r="971" spans="2:4" x14ac:dyDescent="0.25">
      <c r="B971">
        <f t="shared" ca="1" si="44"/>
        <v>41524.321529088797</v>
      </c>
      <c r="C971">
        <f t="shared" ca="1" si="42"/>
        <v>0</v>
      </c>
      <c r="D971">
        <f t="shared" ca="1" si="43"/>
        <v>1524.3215290887965</v>
      </c>
    </row>
    <row r="972" spans="2:4" x14ac:dyDescent="0.25">
      <c r="B972">
        <f t="shared" ca="1" si="44"/>
        <v>51116.68737408943</v>
      </c>
      <c r="C972">
        <f t="shared" ref="C972:C1035" ca="1" si="45">IF(MAX($B$2-B972)&lt;0,0,$B$2-B972)</f>
        <v>0</v>
      </c>
      <c r="D972">
        <f t="shared" ref="D972:D1035" ca="1" si="46">IF(MAX(B972-$B$2)&lt;0,0,B972-$B$2)</f>
        <v>11116.68737408943</v>
      </c>
    </row>
    <row r="973" spans="2:4" x14ac:dyDescent="0.25">
      <c r="B973">
        <f t="shared" ref="B973:B1036" ca="1" si="47">$B$1*EXP((($B$4-($B$3^2)/2)*$B$5+$B$3*SQRT($B$5)*NORMSINV(RAND())))</f>
        <v>42008.554931823499</v>
      </c>
      <c r="C973">
        <f t="shared" ca="1" si="45"/>
        <v>0</v>
      </c>
      <c r="D973">
        <f t="shared" ca="1" si="46"/>
        <v>2008.5549318234989</v>
      </c>
    </row>
    <row r="974" spans="2:4" x14ac:dyDescent="0.25">
      <c r="B974">
        <f t="shared" ca="1" si="47"/>
        <v>41994.500029484981</v>
      </c>
      <c r="C974">
        <f t="shared" ca="1" si="45"/>
        <v>0</v>
      </c>
      <c r="D974">
        <f t="shared" ca="1" si="46"/>
        <v>1994.5000294849815</v>
      </c>
    </row>
    <row r="975" spans="2:4" x14ac:dyDescent="0.25">
      <c r="B975">
        <f t="shared" ca="1" si="47"/>
        <v>40960.15129770217</v>
      </c>
      <c r="C975">
        <f t="shared" ca="1" si="45"/>
        <v>0</v>
      </c>
      <c r="D975">
        <f t="shared" ca="1" si="46"/>
        <v>960.15129770217027</v>
      </c>
    </row>
    <row r="976" spans="2:4" x14ac:dyDescent="0.25">
      <c r="B976">
        <f t="shared" ca="1" si="47"/>
        <v>48709.356477374808</v>
      </c>
      <c r="C976">
        <f t="shared" ca="1" si="45"/>
        <v>0</v>
      </c>
      <c r="D976">
        <f t="shared" ca="1" si="46"/>
        <v>8709.3564773748076</v>
      </c>
    </row>
    <row r="977" spans="2:4" x14ac:dyDescent="0.25">
      <c r="B977">
        <f t="shared" ca="1" si="47"/>
        <v>57483.61692079754</v>
      </c>
      <c r="C977">
        <f t="shared" ca="1" si="45"/>
        <v>0</v>
      </c>
      <c r="D977">
        <f t="shared" ca="1" si="46"/>
        <v>17483.61692079754</v>
      </c>
    </row>
    <row r="978" spans="2:4" x14ac:dyDescent="0.25">
      <c r="B978">
        <f t="shared" ca="1" si="47"/>
        <v>42760.368828200357</v>
      </c>
      <c r="C978">
        <f t="shared" ca="1" si="45"/>
        <v>0</v>
      </c>
      <c r="D978">
        <f t="shared" ca="1" si="46"/>
        <v>2760.3688282003568</v>
      </c>
    </row>
    <row r="979" spans="2:4" x14ac:dyDescent="0.25">
      <c r="B979">
        <f t="shared" ca="1" si="47"/>
        <v>47811.965917558475</v>
      </c>
      <c r="C979">
        <f t="shared" ca="1" si="45"/>
        <v>0</v>
      </c>
      <c r="D979">
        <f t="shared" ca="1" si="46"/>
        <v>7811.9659175584748</v>
      </c>
    </row>
    <row r="980" spans="2:4" x14ac:dyDescent="0.25">
      <c r="B980">
        <f t="shared" ca="1" si="47"/>
        <v>45747.674186569828</v>
      </c>
      <c r="C980">
        <f t="shared" ca="1" si="45"/>
        <v>0</v>
      </c>
      <c r="D980">
        <f t="shared" ca="1" si="46"/>
        <v>5747.6741865698277</v>
      </c>
    </row>
    <row r="981" spans="2:4" x14ac:dyDescent="0.25">
      <c r="B981">
        <f t="shared" ca="1" si="47"/>
        <v>51746.328612955127</v>
      </c>
      <c r="C981">
        <f t="shared" ca="1" si="45"/>
        <v>0</v>
      </c>
      <c r="D981">
        <f t="shared" ca="1" si="46"/>
        <v>11746.328612955127</v>
      </c>
    </row>
    <row r="982" spans="2:4" x14ac:dyDescent="0.25">
      <c r="B982">
        <f t="shared" ca="1" si="47"/>
        <v>45823.83481744102</v>
      </c>
      <c r="C982">
        <f t="shared" ca="1" si="45"/>
        <v>0</v>
      </c>
      <c r="D982">
        <f t="shared" ca="1" si="46"/>
        <v>5823.8348174410203</v>
      </c>
    </row>
    <row r="983" spans="2:4" x14ac:dyDescent="0.25">
      <c r="B983">
        <f t="shared" ca="1" si="47"/>
        <v>42672.979332504809</v>
      </c>
      <c r="C983">
        <f t="shared" ca="1" si="45"/>
        <v>0</v>
      </c>
      <c r="D983">
        <f t="shared" ca="1" si="46"/>
        <v>2672.9793325048086</v>
      </c>
    </row>
    <row r="984" spans="2:4" x14ac:dyDescent="0.25">
      <c r="B984">
        <f t="shared" ca="1" si="47"/>
        <v>41895.966492651387</v>
      </c>
      <c r="C984">
        <f t="shared" ca="1" si="45"/>
        <v>0</v>
      </c>
      <c r="D984">
        <f t="shared" ca="1" si="46"/>
        <v>1895.9664926513869</v>
      </c>
    </row>
    <row r="985" spans="2:4" x14ac:dyDescent="0.25">
      <c r="B985">
        <f t="shared" ca="1" si="47"/>
        <v>46640.69870658619</v>
      </c>
      <c r="C985">
        <f t="shared" ca="1" si="45"/>
        <v>0</v>
      </c>
      <c r="D985">
        <f t="shared" ca="1" si="46"/>
        <v>6640.6987065861904</v>
      </c>
    </row>
    <row r="986" spans="2:4" x14ac:dyDescent="0.25">
      <c r="B986">
        <f t="shared" ca="1" si="47"/>
        <v>48072.816682419638</v>
      </c>
      <c r="C986">
        <f t="shared" ca="1" si="45"/>
        <v>0</v>
      </c>
      <c r="D986">
        <f t="shared" ca="1" si="46"/>
        <v>8072.8166824196378</v>
      </c>
    </row>
    <row r="987" spans="2:4" x14ac:dyDescent="0.25">
      <c r="B987">
        <f t="shared" ca="1" si="47"/>
        <v>48049.676730753439</v>
      </c>
      <c r="C987">
        <f t="shared" ca="1" si="45"/>
        <v>0</v>
      </c>
      <c r="D987">
        <f t="shared" ca="1" si="46"/>
        <v>8049.6767307534392</v>
      </c>
    </row>
    <row r="988" spans="2:4" x14ac:dyDescent="0.25">
      <c r="B988">
        <f t="shared" ca="1" si="47"/>
        <v>45381.098922743979</v>
      </c>
      <c r="C988">
        <f t="shared" ca="1" si="45"/>
        <v>0</v>
      </c>
      <c r="D988">
        <f t="shared" ca="1" si="46"/>
        <v>5381.0989227439786</v>
      </c>
    </row>
    <row r="989" spans="2:4" x14ac:dyDescent="0.25">
      <c r="B989">
        <f t="shared" ca="1" si="47"/>
        <v>40221.673019190966</v>
      </c>
      <c r="C989">
        <f t="shared" ca="1" si="45"/>
        <v>0</v>
      </c>
      <c r="D989">
        <f t="shared" ca="1" si="46"/>
        <v>221.67301919096644</v>
      </c>
    </row>
    <row r="990" spans="2:4" x14ac:dyDescent="0.25">
      <c r="B990">
        <f t="shared" ca="1" si="47"/>
        <v>40975.386294028773</v>
      </c>
      <c r="C990">
        <f t="shared" ca="1" si="45"/>
        <v>0</v>
      </c>
      <c r="D990">
        <f t="shared" ca="1" si="46"/>
        <v>975.38629402877268</v>
      </c>
    </row>
    <row r="991" spans="2:4" x14ac:dyDescent="0.25">
      <c r="B991">
        <f t="shared" ca="1" si="47"/>
        <v>46552.706851142066</v>
      </c>
      <c r="C991">
        <f t="shared" ca="1" si="45"/>
        <v>0</v>
      </c>
      <c r="D991">
        <f t="shared" ca="1" si="46"/>
        <v>6552.7068511420657</v>
      </c>
    </row>
    <row r="992" spans="2:4" x14ac:dyDescent="0.25">
      <c r="B992">
        <f t="shared" ca="1" si="47"/>
        <v>47894.289787218906</v>
      </c>
      <c r="C992">
        <f t="shared" ca="1" si="45"/>
        <v>0</v>
      </c>
      <c r="D992">
        <f t="shared" ca="1" si="46"/>
        <v>7894.289787218906</v>
      </c>
    </row>
    <row r="993" spans="2:4" x14ac:dyDescent="0.25">
      <c r="B993">
        <f t="shared" ca="1" si="47"/>
        <v>40763.249136565159</v>
      </c>
      <c r="C993">
        <f t="shared" ca="1" si="45"/>
        <v>0</v>
      </c>
      <c r="D993">
        <f t="shared" ca="1" si="46"/>
        <v>763.24913656515855</v>
      </c>
    </row>
    <row r="994" spans="2:4" x14ac:dyDescent="0.25">
      <c r="B994">
        <f t="shared" ca="1" si="47"/>
        <v>50410.393992537727</v>
      </c>
      <c r="C994">
        <f t="shared" ca="1" si="45"/>
        <v>0</v>
      </c>
      <c r="D994">
        <f t="shared" ca="1" si="46"/>
        <v>10410.393992537727</v>
      </c>
    </row>
    <row r="995" spans="2:4" x14ac:dyDescent="0.25">
      <c r="B995">
        <f t="shared" ca="1" si="47"/>
        <v>47270.478227924119</v>
      </c>
      <c r="C995">
        <f t="shared" ca="1" si="45"/>
        <v>0</v>
      </c>
      <c r="D995">
        <f t="shared" ca="1" si="46"/>
        <v>7270.478227924119</v>
      </c>
    </row>
    <row r="996" spans="2:4" x14ac:dyDescent="0.25">
      <c r="B996">
        <f t="shared" ca="1" si="47"/>
        <v>37188.500765532015</v>
      </c>
      <c r="C996">
        <f t="shared" ca="1" si="45"/>
        <v>2811.4992344679849</v>
      </c>
      <c r="D996">
        <f t="shared" ca="1" si="46"/>
        <v>0</v>
      </c>
    </row>
    <row r="997" spans="2:4" x14ac:dyDescent="0.25">
      <c r="B997">
        <f t="shared" ca="1" si="47"/>
        <v>39115.364816140383</v>
      </c>
      <c r="C997">
        <f t="shared" ca="1" si="45"/>
        <v>884.63518385961652</v>
      </c>
      <c r="D997">
        <f t="shared" ca="1" si="46"/>
        <v>0</v>
      </c>
    </row>
    <row r="998" spans="2:4" x14ac:dyDescent="0.25">
      <c r="B998">
        <f t="shared" ca="1" si="47"/>
        <v>41153.948131657409</v>
      </c>
      <c r="C998">
        <f t="shared" ca="1" si="45"/>
        <v>0</v>
      </c>
      <c r="D998">
        <f t="shared" ca="1" si="46"/>
        <v>1153.9481316574092</v>
      </c>
    </row>
    <row r="999" spans="2:4" x14ac:dyDescent="0.25">
      <c r="B999">
        <f t="shared" ca="1" si="47"/>
        <v>44501.450490082061</v>
      </c>
      <c r="C999">
        <f t="shared" ca="1" si="45"/>
        <v>0</v>
      </c>
      <c r="D999">
        <f t="shared" ca="1" si="46"/>
        <v>4501.4504900820612</v>
      </c>
    </row>
    <row r="1000" spans="2:4" x14ac:dyDescent="0.25">
      <c r="B1000">
        <f t="shared" ca="1" si="47"/>
        <v>50616.300203198451</v>
      </c>
      <c r="C1000">
        <f t="shared" ca="1" si="45"/>
        <v>0</v>
      </c>
      <c r="D1000">
        <f t="shared" ca="1" si="46"/>
        <v>10616.300203198451</v>
      </c>
    </row>
    <row r="1001" spans="2:4" x14ac:dyDescent="0.25">
      <c r="B1001">
        <f t="shared" ca="1" si="47"/>
        <v>41186.212472760759</v>
      </c>
      <c r="C1001">
        <f t="shared" ca="1" si="45"/>
        <v>0</v>
      </c>
      <c r="D1001">
        <f t="shared" ca="1" si="46"/>
        <v>1186.2124727607588</v>
      </c>
    </row>
    <row r="1002" spans="2:4" x14ac:dyDescent="0.25">
      <c r="B1002">
        <f t="shared" ca="1" si="47"/>
        <v>38767.052486768604</v>
      </c>
      <c r="C1002">
        <f t="shared" ca="1" si="45"/>
        <v>1232.9475132313964</v>
      </c>
      <c r="D1002">
        <f t="shared" ca="1" si="46"/>
        <v>0</v>
      </c>
    </row>
    <row r="1003" spans="2:4" x14ac:dyDescent="0.25">
      <c r="B1003">
        <f t="shared" ca="1" si="47"/>
        <v>41910.290565616378</v>
      </c>
      <c r="C1003">
        <f t="shared" ca="1" si="45"/>
        <v>0</v>
      </c>
      <c r="D1003">
        <f t="shared" ca="1" si="46"/>
        <v>1910.2905656163784</v>
      </c>
    </row>
    <row r="1004" spans="2:4" x14ac:dyDescent="0.25">
      <c r="B1004">
        <f t="shared" ca="1" si="47"/>
        <v>45733.293078952083</v>
      </c>
      <c r="C1004">
        <f t="shared" ca="1" si="45"/>
        <v>0</v>
      </c>
      <c r="D1004">
        <f t="shared" ca="1" si="46"/>
        <v>5733.2930789520833</v>
      </c>
    </row>
    <row r="1005" spans="2:4" x14ac:dyDescent="0.25">
      <c r="B1005">
        <f t="shared" ca="1" si="47"/>
        <v>48404.180754810106</v>
      </c>
      <c r="C1005">
        <f t="shared" ca="1" si="45"/>
        <v>0</v>
      </c>
      <c r="D1005">
        <f t="shared" ca="1" si="46"/>
        <v>8404.180754810106</v>
      </c>
    </row>
    <row r="1006" spans="2:4" x14ac:dyDescent="0.25">
      <c r="B1006">
        <f t="shared" ca="1" si="47"/>
        <v>49463.292942539571</v>
      </c>
      <c r="C1006">
        <f t="shared" ca="1" si="45"/>
        <v>0</v>
      </c>
      <c r="D1006">
        <f t="shared" ca="1" si="46"/>
        <v>9463.2929425395705</v>
      </c>
    </row>
    <row r="1007" spans="2:4" x14ac:dyDescent="0.25">
      <c r="B1007">
        <f t="shared" ca="1" si="47"/>
        <v>43963.634133660598</v>
      </c>
      <c r="C1007">
        <f t="shared" ca="1" si="45"/>
        <v>0</v>
      </c>
      <c r="D1007">
        <f t="shared" ca="1" si="46"/>
        <v>3963.6341336605983</v>
      </c>
    </row>
    <row r="1008" spans="2:4" x14ac:dyDescent="0.25">
      <c r="B1008">
        <f t="shared" ca="1" si="47"/>
        <v>51325.505967456316</v>
      </c>
      <c r="C1008">
        <f t="shared" ca="1" si="45"/>
        <v>0</v>
      </c>
      <c r="D1008">
        <f t="shared" ca="1" si="46"/>
        <v>11325.505967456316</v>
      </c>
    </row>
    <row r="1009" spans="2:4" x14ac:dyDescent="0.25">
      <c r="B1009">
        <f t="shared" ca="1" si="47"/>
        <v>48704.904499785545</v>
      </c>
      <c r="C1009">
        <f t="shared" ca="1" si="45"/>
        <v>0</v>
      </c>
      <c r="D1009">
        <f t="shared" ca="1" si="46"/>
        <v>8704.9044997855453</v>
      </c>
    </row>
    <row r="1010" spans="2:4" x14ac:dyDescent="0.25">
      <c r="B1010">
        <f t="shared" ca="1" si="47"/>
        <v>52864.527322448193</v>
      </c>
      <c r="C1010">
        <f t="shared" ca="1" si="45"/>
        <v>0</v>
      </c>
      <c r="D1010">
        <f t="shared" ca="1" si="46"/>
        <v>12864.527322448193</v>
      </c>
    </row>
    <row r="1011" spans="2:4" x14ac:dyDescent="0.25">
      <c r="B1011">
        <f t="shared" ca="1" si="47"/>
        <v>42483.620777611744</v>
      </c>
      <c r="C1011">
        <f t="shared" ca="1" si="45"/>
        <v>0</v>
      </c>
      <c r="D1011">
        <f t="shared" ca="1" si="46"/>
        <v>2483.6207776117444</v>
      </c>
    </row>
    <row r="1012" spans="2:4" x14ac:dyDescent="0.25">
      <c r="B1012">
        <f t="shared" ca="1" si="47"/>
        <v>43915.881558661509</v>
      </c>
      <c r="C1012">
        <f t="shared" ca="1" si="45"/>
        <v>0</v>
      </c>
      <c r="D1012">
        <f t="shared" ca="1" si="46"/>
        <v>3915.8815586615092</v>
      </c>
    </row>
    <row r="1013" spans="2:4" x14ac:dyDescent="0.25">
      <c r="B1013">
        <f t="shared" ca="1" si="47"/>
        <v>36431.392875970101</v>
      </c>
      <c r="C1013">
        <f t="shared" ca="1" si="45"/>
        <v>3568.6071240298988</v>
      </c>
      <c r="D1013">
        <f t="shared" ca="1" si="46"/>
        <v>0</v>
      </c>
    </row>
    <row r="1014" spans="2:4" x14ac:dyDescent="0.25">
      <c r="B1014">
        <f t="shared" ca="1" si="47"/>
        <v>42603.695856640996</v>
      </c>
      <c r="C1014">
        <f t="shared" ca="1" si="45"/>
        <v>0</v>
      </c>
      <c r="D1014">
        <f t="shared" ca="1" si="46"/>
        <v>2603.6958566409958</v>
      </c>
    </row>
    <row r="1015" spans="2:4" x14ac:dyDescent="0.25">
      <c r="B1015">
        <f t="shared" ca="1" si="47"/>
        <v>49892.591847157491</v>
      </c>
      <c r="C1015">
        <f t="shared" ca="1" si="45"/>
        <v>0</v>
      </c>
      <c r="D1015">
        <f t="shared" ca="1" si="46"/>
        <v>9892.5918471574914</v>
      </c>
    </row>
    <row r="1016" spans="2:4" x14ac:dyDescent="0.25">
      <c r="B1016">
        <f t="shared" ca="1" si="47"/>
        <v>44662.179074899301</v>
      </c>
      <c r="C1016">
        <f t="shared" ca="1" si="45"/>
        <v>0</v>
      </c>
      <c r="D1016">
        <f t="shared" ca="1" si="46"/>
        <v>4662.1790748993008</v>
      </c>
    </row>
    <row r="1017" spans="2:4" x14ac:dyDescent="0.25">
      <c r="B1017">
        <f t="shared" ca="1" si="47"/>
        <v>43425.365730747515</v>
      </c>
      <c r="C1017">
        <f t="shared" ca="1" si="45"/>
        <v>0</v>
      </c>
      <c r="D1017">
        <f t="shared" ca="1" si="46"/>
        <v>3425.365730747515</v>
      </c>
    </row>
    <row r="1018" spans="2:4" x14ac:dyDescent="0.25">
      <c r="B1018">
        <f t="shared" ca="1" si="47"/>
        <v>37642.648616723207</v>
      </c>
      <c r="C1018">
        <f t="shared" ca="1" si="45"/>
        <v>2357.3513832767931</v>
      </c>
      <c r="D1018">
        <f t="shared" ca="1" si="46"/>
        <v>0</v>
      </c>
    </row>
    <row r="1019" spans="2:4" x14ac:dyDescent="0.25">
      <c r="B1019">
        <f t="shared" ca="1" si="47"/>
        <v>48510.948430846249</v>
      </c>
      <c r="C1019">
        <f t="shared" ca="1" si="45"/>
        <v>0</v>
      </c>
      <c r="D1019">
        <f t="shared" ca="1" si="46"/>
        <v>8510.9484308462488</v>
      </c>
    </row>
    <row r="1020" spans="2:4" x14ac:dyDescent="0.25">
      <c r="B1020">
        <f t="shared" ca="1" si="47"/>
        <v>43440.966278233522</v>
      </c>
      <c r="C1020">
        <f t="shared" ca="1" si="45"/>
        <v>0</v>
      </c>
      <c r="D1020">
        <f t="shared" ca="1" si="46"/>
        <v>3440.9662782335217</v>
      </c>
    </row>
    <row r="1021" spans="2:4" x14ac:dyDescent="0.25">
      <c r="B1021">
        <f t="shared" ca="1" si="47"/>
        <v>40381.024549181202</v>
      </c>
      <c r="C1021">
        <f t="shared" ca="1" si="45"/>
        <v>0</v>
      </c>
      <c r="D1021">
        <f t="shared" ca="1" si="46"/>
        <v>381.02454918120202</v>
      </c>
    </row>
    <row r="1022" spans="2:4" x14ac:dyDescent="0.25">
      <c r="B1022">
        <f t="shared" ca="1" si="47"/>
        <v>48281.385941412169</v>
      </c>
      <c r="C1022">
        <f t="shared" ca="1" si="45"/>
        <v>0</v>
      </c>
      <c r="D1022">
        <f t="shared" ca="1" si="46"/>
        <v>8281.3859414121689</v>
      </c>
    </row>
    <row r="1023" spans="2:4" x14ac:dyDescent="0.25">
      <c r="B1023">
        <f t="shared" ca="1" si="47"/>
        <v>45520.937530551135</v>
      </c>
      <c r="C1023">
        <f t="shared" ca="1" si="45"/>
        <v>0</v>
      </c>
      <c r="D1023">
        <f t="shared" ca="1" si="46"/>
        <v>5520.9375305511348</v>
      </c>
    </row>
    <row r="1024" spans="2:4" x14ac:dyDescent="0.25">
      <c r="B1024">
        <f t="shared" ca="1" si="47"/>
        <v>42739.72108150641</v>
      </c>
      <c r="C1024">
        <f t="shared" ca="1" si="45"/>
        <v>0</v>
      </c>
      <c r="D1024">
        <f t="shared" ca="1" si="46"/>
        <v>2739.72108150641</v>
      </c>
    </row>
    <row r="1025" spans="2:4" x14ac:dyDescent="0.25">
      <c r="B1025">
        <f t="shared" ca="1" si="47"/>
        <v>46638.149347705257</v>
      </c>
      <c r="C1025">
        <f t="shared" ca="1" si="45"/>
        <v>0</v>
      </c>
      <c r="D1025">
        <f t="shared" ca="1" si="46"/>
        <v>6638.1493477052572</v>
      </c>
    </row>
    <row r="1026" spans="2:4" x14ac:dyDescent="0.25">
      <c r="B1026">
        <f t="shared" ca="1" si="47"/>
        <v>35308.730412299381</v>
      </c>
      <c r="C1026">
        <f t="shared" ca="1" si="45"/>
        <v>4691.269587700619</v>
      </c>
      <c r="D1026">
        <f t="shared" ca="1" si="46"/>
        <v>0</v>
      </c>
    </row>
    <row r="1027" spans="2:4" x14ac:dyDescent="0.25">
      <c r="B1027">
        <f t="shared" ca="1" si="47"/>
        <v>46234.659728079379</v>
      </c>
      <c r="C1027">
        <f t="shared" ca="1" si="45"/>
        <v>0</v>
      </c>
      <c r="D1027">
        <f t="shared" ca="1" si="46"/>
        <v>6234.6597280793794</v>
      </c>
    </row>
    <row r="1028" spans="2:4" x14ac:dyDescent="0.25">
      <c r="B1028">
        <f t="shared" ca="1" si="47"/>
        <v>41508.272768501243</v>
      </c>
      <c r="C1028">
        <f t="shared" ca="1" si="45"/>
        <v>0</v>
      </c>
      <c r="D1028">
        <f t="shared" ca="1" si="46"/>
        <v>1508.2727685012433</v>
      </c>
    </row>
    <row r="1029" spans="2:4" x14ac:dyDescent="0.25">
      <c r="B1029">
        <f t="shared" ca="1" si="47"/>
        <v>47143.76701272538</v>
      </c>
      <c r="C1029">
        <f t="shared" ca="1" si="45"/>
        <v>0</v>
      </c>
      <c r="D1029">
        <f t="shared" ca="1" si="46"/>
        <v>7143.7670127253805</v>
      </c>
    </row>
    <row r="1030" spans="2:4" x14ac:dyDescent="0.25">
      <c r="B1030">
        <f t="shared" ca="1" si="47"/>
        <v>47645.3882937858</v>
      </c>
      <c r="C1030">
        <f t="shared" ca="1" si="45"/>
        <v>0</v>
      </c>
      <c r="D1030">
        <f t="shared" ca="1" si="46"/>
        <v>7645.3882937857998</v>
      </c>
    </row>
    <row r="1031" spans="2:4" x14ac:dyDescent="0.25">
      <c r="B1031">
        <f t="shared" ca="1" si="47"/>
        <v>48773.289273588263</v>
      </c>
      <c r="C1031">
        <f t="shared" ca="1" si="45"/>
        <v>0</v>
      </c>
      <c r="D1031">
        <f t="shared" ca="1" si="46"/>
        <v>8773.2892735882633</v>
      </c>
    </row>
    <row r="1032" spans="2:4" x14ac:dyDescent="0.25">
      <c r="B1032">
        <f t="shared" ca="1" si="47"/>
        <v>43430.118086240909</v>
      </c>
      <c r="C1032">
        <f t="shared" ca="1" si="45"/>
        <v>0</v>
      </c>
      <c r="D1032">
        <f t="shared" ca="1" si="46"/>
        <v>3430.1180862409092</v>
      </c>
    </row>
    <row r="1033" spans="2:4" x14ac:dyDescent="0.25">
      <c r="B1033">
        <f t="shared" ca="1" si="47"/>
        <v>51753.977524258727</v>
      </c>
      <c r="C1033">
        <f t="shared" ca="1" si="45"/>
        <v>0</v>
      </c>
      <c r="D1033">
        <f t="shared" ca="1" si="46"/>
        <v>11753.977524258727</v>
      </c>
    </row>
    <row r="1034" spans="2:4" x14ac:dyDescent="0.25">
      <c r="B1034">
        <f t="shared" ca="1" si="47"/>
        <v>56701.470262130111</v>
      </c>
      <c r="C1034">
        <f t="shared" ca="1" si="45"/>
        <v>0</v>
      </c>
      <c r="D1034">
        <f t="shared" ca="1" si="46"/>
        <v>16701.470262130111</v>
      </c>
    </row>
    <row r="1035" spans="2:4" x14ac:dyDescent="0.25">
      <c r="B1035">
        <f t="shared" ca="1" si="47"/>
        <v>46591.766572787274</v>
      </c>
      <c r="C1035">
        <f t="shared" ca="1" si="45"/>
        <v>0</v>
      </c>
      <c r="D1035">
        <f t="shared" ca="1" si="46"/>
        <v>6591.7665727872736</v>
      </c>
    </row>
    <row r="1036" spans="2:4" x14ac:dyDescent="0.25">
      <c r="B1036">
        <f t="shared" ca="1" si="47"/>
        <v>46484.828660801046</v>
      </c>
      <c r="C1036">
        <f t="shared" ref="C1036:C1099" ca="1" si="48">IF(MAX($B$2-B1036)&lt;0,0,$B$2-B1036)</f>
        <v>0</v>
      </c>
      <c r="D1036">
        <f t="shared" ref="D1036:D1099" ca="1" si="49">IF(MAX(B1036-$B$2)&lt;0,0,B1036-$B$2)</f>
        <v>6484.8286608010458</v>
      </c>
    </row>
    <row r="1037" spans="2:4" x14ac:dyDescent="0.25">
      <c r="B1037">
        <f t="shared" ref="B1037:B1100" ca="1" si="50">$B$1*EXP((($B$4-($B$3^2)/2)*$B$5+$B$3*SQRT($B$5)*NORMSINV(RAND())))</f>
        <v>53577.057028792624</v>
      </c>
      <c r="C1037">
        <f t="shared" ca="1" si="48"/>
        <v>0</v>
      </c>
      <c r="D1037">
        <f t="shared" ca="1" si="49"/>
        <v>13577.057028792624</v>
      </c>
    </row>
    <row r="1038" spans="2:4" x14ac:dyDescent="0.25">
      <c r="B1038">
        <f t="shared" ca="1" si="50"/>
        <v>38947.798416004363</v>
      </c>
      <c r="C1038">
        <f t="shared" ca="1" si="48"/>
        <v>1052.2015839956366</v>
      </c>
      <c r="D1038">
        <f t="shared" ca="1" si="49"/>
        <v>0</v>
      </c>
    </row>
    <row r="1039" spans="2:4" x14ac:dyDescent="0.25">
      <c r="B1039">
        <f t="shared" ca="1" si="50"/>
        <v>49789.248262618115</v>
      </c>
      <c r="C1039">
        <f t="shared" ca="1" si="48"/>
        <v>0</v>
      </c>
      <c r="D1039">
        <f t="shared" ca="1" si="49"/>
        <v>9789.2482626181154</v>
      </c>
    </row>
    <row r="1040" spans="2:4" x14ac:dyDescent="0.25">
      <c r="B1040">
        <f t="shared" ca="1" si="50"/>
        <v>46078.090706415285</v>
      </c>
      <c r="C1040">
        <f t="shared" ca="1" si="48"/>
        <v>0</v>
      </c>
      <c r="D1040">
        <f t="shared" ca="1" si="49"/>
        <v>6078.0907064152852</v>
      </c>
    </row>
    <row r="1041" spans="2:4" x14ac:dyDescent="0.25">
      <c r="B1041">
        <f t="shared" ca="1" si="50"/>
        <v>44420.247459194732</v>
      </c>
      <c r="C1041">
        <f t="shared" ca="1" si="48"/>
        <v>0</v>
      </c>
      <c r="D1041">
        <f t="shared" ca="1" si="49"/>
        <v>4420.2474591947321</v>
      </c>
    </row>
    <row r="1042" spans="2:4" x14ac:dyDescent="0.25">
      <c r="B1042">
        <f t="shared" ca="1" si="50"/>
        <v>54449.068733464366</v>
      </c>
      <c r="C1042">
        <f t="shared" ca="1" si="48"/>
        <v>0</v>
      </c>
      <c r="D1042">
        <f t="shared" ca="1" si="49"/>
        <v>14449.068733464366</v>
      </c>
    </row>
    <row r="1043" spans="2:4" x14ac:dyDescent="0.25">
      <c r="B1043">
        <f t="shared" ca="1" si="50"/>
        <v>40013.405384037651</v>
      </c>
      <c r="C1043">
        <f t="shared" ca="1" si="48"/>
        <v>0</v>
      </c>
      <c r="D1043">
        <f t="shared" ca="1" si="49"/>
        <v>13.405384037650947</v>
      </c>
    </row>
    <row r="1044" spans="2:4" x14ac:dyDescent="0.25">
      <c r="B1044">
        <f t="shared" ca="1" si="50"/>
        <v>47415.976069710043</v>
      </c>
      <c r="C1044">
        <f t="shared" ca="1" si="48"/>
        <v>0</v>
      </c>
      <c r="D1044">
        <f t="shared" ca="1" si="49"/>
        <v>7415.9760697100428</v>
      </c>
    </row>
    <row r="1045" spans="2:4" x14ac:dyDescent="0.25">
      <c r="B1045">
        <f t="shared" ca="1" si="50"/>
        <v>49987.622408360738</v>
      </c>
      <c r="C1045">
        <f t="shared" ca="1" si="48"/>
        <v>0</v>
      </c>
      <c r="D1045">
        <f t="shared" ca="1" si="49"/>
        <v>9987.6224083607376</v>
      </c>
    </row>
    <row r="1046" spans="2:4" x14ac:dyDescent="0.25">
      <c r="B1046">
        <f t="shared" ca="1" si="50"/>
        <v>47245.305839117704</v>
      </c>
      <c r="C1046">
        <f t="shared" ca="1" si="48"/>
        <v>0</v>
      </c>
      <c r="D1046">
        <f t="shared" ca="1" si="49"/>
        <v>7245.3058391177037</v>
      </c>
    </row>
    <row r="1047" spans="2:4" x14ac:dyDescent="0.25">
      <c r="B1047">
        <f t="shared" ca="1" si="50"/>
        <v>48419.374830255394</v>
      </c>
      <c r="C1047">
        <f t="shared" ca="1" si="48"/>
        <v>0</v>
      </c>
      <c r="D1047">
        <f t="shared" ca="1" si="49"/>
        <v>8419.374830255394</v>
      </c>
    </row>
    <row r="1048" spans="2:4" x14ac:dyDescent="0.25">
      <c r="B1048">
        <f t="shared" ca="1" si="50"/>
        <v>49298.523596004074</v>
      </c>
      <c r="C1048">
        <f t="shared" ca="1" si="48"/>
        <v>0</v>
      </c>
      <c r="D1048">
        <f t="shared" ca="1" si="49"/>
        <v>9298.5235960040736</v>
      </c>
    </row>
    <row r="1049" spans="2:4" x14ac:dyDescent="0.25">
      <c r="B1049">
        <f t="shared" ca="1" si="50"/>
        <v>53418.631396026278</v>
      </c>
      <c r="C1049">
        <f t="shared" ca="1" si="48"/>
        <v>0</v>
      </c>
      <c r="D1049">
        <f t="shared" ca="1" si="49"/>
        <v>13418.631396026278</v>
      </c>
    </row>
    <row r="1050" spans="2:4" x14ac:dyDescent="0.25">
      <c r="B1050">
        <f t="shared" ca="1" si="50"/>
        <v>37720.840714002967</v>
      </c>
      <c r="C1050">
        <f t="shared" ca="1" si="48"/>
        <v>2279.1592859970333</v>
      </c>
      <c r="D1050">
        <f t="shared" ca="1" si="49"/>
        <v>0</v>
      </c>
    </row>
    <row r="1051" spans="2:4" x14ac:dyDescent="0.25">
      <c r="B1051">
        <f t="shared" ca="1" si="50"/>
        <v>59670.458278608225</v>
      </c>
      <c r="C1051">
        <f t="shared" ca="1" si="48"/>
        <v>0</v>
      </c>
      <c r="D1051">
        <f t="shared" ca="1" si="49"/>
        <v>19670.458278608225</v>
      </c>
    </row>
    <row r="1052" spans="2:4" x14ac:dyDescent="0.25">
      <c r="B1052">
        <f t="shared" ca="1" si="50"/>
        <v>44654.718214042216</v>
      </c>
      <c r="C1052">
        <f t="shared" ca="1" si="48"/>
        <v>0</v>
      </c>
      <c r="D1052">
        <f t="shared" ca="1" si="49"/>
        <v>4654.7182140422155</v>
      </c>
    </row>
    <row r="1053" spans="2:4" x14ac:dyDescent="0.25">
      <c r="B1053">
        <f t="shared" ca="1" si="50"/>
        <v>39669.660394294209</v>
      </c>
      <c r="C1053">
        <f t="shared" ca="1" si="48"/>
        <v>330.33960570579075</v>
      </c>
      <c r="D1053">
        <f t="shared" ca="1" si="49"/>
        <v>0</v>
      </c>
    </row>
    <row r="1054" spans="2:4" x14ac:dyDescent="0.25">
      <c r="B1054">
        <f t="shared" ca="1" si="50"/>
        <v>52766.7315044231</v>
      </c>
      <c r="C1054">
        <f t="shared" ca="1" si="48"/>
        <v>0</v>
      </c>
      <c r="D1054">
        <f t="shared" ca="1" si="49"/>
        <v>12766.7315044231</v>
      </c>
    </row>
    <row r="1055" spans="2:4" x14ac:dyDescent="0.25">
      <c r="B1055">
        <f t="shared" ca="1" si="50"/>
        <v>48452.87031309028</v>
      </c>
      <c r="C1055">
        <f t="shared" ca="1" si="48"/>
        <v>0</v>
      </c>
      <c r="D1055">
        <f t="shared" ca="1" si="49"/>
        <v>8452.8703130902795</v>
      </c>
    </row>
    <row r="1056" spans="2:4" x14ac:dyDescent="0.25">
      <c r="B1056">
        <f t="shared" ca="1" si="50"/>
        <v>44356.165375413024</v>
      </c>
      <c r="C1056">
        <f t="shared" ca="1" si="48"/>
        <v>0</v>
      </c>
      <c r="D1056">
        <f t="shared" ca="1" si="49"/>
        <v>4356.1653754130239</v>
      </c>
    </row>
    <row r="1057" spans="2:4" x14ac:dyDescent="0.25">
      <c r="B1057">
        <f t="shared" ca="1" si="50"/>
        <v>49932.864780454154</v>
      </c>
      <c r="C1057">
        <f t="shared" ca="1" si="48"/>
        <v>0</v>
      </c>
      <c r="D1057">
        <f t="shared" ca="1" si="49"/>
        <v>9932.8647804541542</v>
      </c>
    </row>
    <row r="1058" spans="2:4" x14ac:dyDescent="0.25">
      <c r="B1058">
        <f t="shared" ca="1" si="50"/>
        <v>40150.915013972677</v>
      </c>
      <c r="C1058">
        <f t="shared" ca="1" si="48"/>
        <v>0</v>
      </c>
      <c r="D1058">
        <f t="shared" ca="1" si="49"/>
        <v>150.91501397267712</v>
      </c>
    </row>
    <row r="1059" spans="2:4" x14ac:dyDescent="0.25">
      <c r="B1059">
        <f t="shared" ca="1" si="50"/>
        <v>46228.067052619946</v>
      </c>
      <c r="C1059">
        <f t="shared" ca="1" si="48"/>
        <v>0</v>
      </c>
      <c r="D1059">
        <f t="shared" ca="1" si="49"/>
        <v>6228.0670526199465</v>
      </c>
    </row>
    <row r="1060" spans="2:4" x14ac:dyDescent="0.25">
      <c r="B1060">
        <f t="shared" ca="1" si="50"/>
        <v>42136.712758385547</v>
      </c>
      <c r="C1060">
        <f t="shared" ca="1" si="48"/>
        <v>0</v>
      </c>
      <c r="D1060">
        <f t="shared" ca="1" si="49"/>
        <v>2136.7127583855472</v>
      </c>
    </row>
    <row r="1061" spans="2:4" x14ac:dyDescent="0.25">
      <c r="B1061">
        <f t="shared" ca="1" si="50"/>
        <v>50527.890537746636</v>
      </c>
      <c r="C1061">
        <f t="shared" ca="1" si="48"/>
        <v>0</v>
      </c>
      <c r="D1061">
        <f t="shared" ca="1" si="49"/>
        <v>10527.890537746636</v>
      </c>
    </row>
    <row r="1062" spans="2:4" x14ac:dyDescent="0.25">
      <c r="B1062">
        <f t="shared" ca="1" si="50"/>
        <v>39947.981894752709</v>
      </c>
      <c r="C1062">
        <f t="shared" ca="1" si="48"/>
        <v>52.018105247290805</v>
      </c>
      <c r="D1062">
        <f t="shared" ca="1" si="49"/>
        <v>0</v>
      </c>
    </row>
    <row r="1063" spans="2:4" x14ac:dyDescent="0.25">
      <c r="B1063">
        <f t="shared" ca="1" si="50"/>
        <v>43282.871102248042</v>
      </c>
      <c r="C1063">
        <f t="shared" ca="1" si="48"/>
        <v>0</v>
      </c>
      <c r="D1063">
        <f t="shared" ca="1" si="49"/>
        <v>3282.871102248042</v>
      </c>
    </row>
    <row r="1064" spans="2:4" x14ac:dyDescent="0.25">
      <c r="B1064">
        <f t="shared" ca="1" si="50"/>
        <v>47752.270594937727</v>
      </c>
      <c r="C1064">
        <f t="shared" ca="1" si="48"/>
        <v>0</v>
      </c>
      <c r="D1064">
        <f t="shared" ca="1" si="49"/>
        <v>7752.2705949377269</v>
      </c>
    </row>
    <row r="1065" spans="2:4" x14ac:dyDescent="0.25">
      <c r="B1065">
        <f t="shared" ca="1" si="50"/>
        <v>40401.828319116939</v>
      </c>
      <c r="C1065">
        <f t="shared" ca="1" si="48"/>
        <v>0</v>
      </c>
      <c r="D1065">
        <f t="shared" ca="1" si="49"/>
        <v>401.82831911693938</v>
      </c>
    </row>
    <row r="1066" spans="2:4" x14ac:dyDescent="0.25">
      <c r="B1066">
        <f t="shared" ca="1" si="50"/>
        <v>46620.853759247642</v>
      </c>
      <c r="C1066">
        <f t="shared" ca="1" si="48"/>
        <v>0</v>
      </c>
      <c r="D1066">
        <f t="shared" ca="1" si="49"/>
        <v>6620.8537592476423</v>
      </c>
    </row>
    <row r="1067" spans="2:4" x14ac:dyDescent="0.25">
      <c r="B1067">
        <f t="shared" ca="1" si="50"/>
        <v>41459.417462712649</v>
      </c>
      <c r="C1067">
        <f t="shared" ca="1" si="48"/>
        <v>0</v>
      </c>
      <c r="D1067">
        <f t="shared" ca="1" si="49"/>
        <v>1459.4174627126486</v>
      </c>
    </row>
    <row r="1068" spans="2:4" x14ac:dyDescent="0.25">
      <c r="B1068">
        <f t="shared" ca="1" si="50"/>
        <v>45155.805385358784</v>
      </c>
      <c r="C1068">
        <f t="shared" ca="1" si="48"/>
        <v>0</v>
      </c>
      <c r="D1068">
        <f t="shared" ca="1" si="49"/>
        <v>5155.8053853587844</v>
      </c>
    </row>
    <row r="1069" spans="2:4" x14ac:dyDescent="0.25">
      <c r="B1069">
        <f t="shared" ca="1" si="50"/>
        <v>40084.284569479772</v>
      </c>
      <c r="C1069">
        <f t="shared" ca="1" si="48"/>
        <v>0</v>
      </c>
      <c r="D1069">
        <f t="shared" ca="1" si="49"/>
        <v>84.284569479772472</v>
      </c>
    </row>
    <row r="1070" spans="2:4" x14ac:dyDescent="0.25">
      <c r="B1070">
        <f t="shared" ca="1" si="50"/>
        <v>40434.29689983774</v>
      </c>
      <c r="C1070">
        <f t="shared" ca="1" si="48"/>
        <v>0</v>
      </c>
      <c r="D1070">
        <f t="shared" ca="1" si="49"/>
        <v>434.29689983774006</v>
      </c>
    </row>
    <row r="1071" spans="2:4" x14ac:dyDescent="0.25">
      <c r="B1071">
        <f t="shared" ca="1" si="50"/>
        <v>44210.561371015705</v>
      </c>
      <c r="C1071">
        <f t="shared" ca="1" si="48"/>
        <v>0</v>
      </c>
      <c r="D1071">
        <f t="shared" ca="1" si="49"/>
        <v>4210.5613710157049</v>
      </c>
    </row>
    <row r="1072" spans="2:4" x14ac:dyDescent="0.25">
      <c r="B1072">
        <f t="shared" ca="1" si="50"/>
        <v>42793.84818666635</v>
      </c>
      <c r="C1072">
        <f t="shared" ca="1" si="48"/>
        <v>0</v>
      </c>
      <c r="D1072">
        <f t="shared" ca="1" si="49"/>
        <v>2793.8481866663496</v>
      </c>
    </row>
    <row r="1073" spans="2:4" x14ac:dyDescent="0.25">
      <c r="B1073">
        <f t="shared" ca="1" si="50"/>
        <v>43061.76643821707</v>
      </c>
      <c r="C1073">
        <f t="shared" ca="1" si="48"/>
        <v>0</v>
      </c>
      <c r="D1073">
        <f t="shared" ca="1" si="49"/>
        <v>3061.7664382170697</v>
      </c>
    </row>
    <row r="1074" spans="2:4" x14ac:dyDescent="0.25">
      <c r="B1074">
        <f t="shared" ca="1" si="50"/>
        <v>51742.959711821088</v>
      </c>
      <c r="C1074">
        <f t="shared" ca="1" si="48"/>
        <v>0</v>
      </c>
      <c r="D1074">
        <f t="shared" ca="1" si="49"/>
        <v>11742.959711821088</v>
      </c>
    </row>
    <row r="1075" spans="2:4" x14ac:dyDescent="0.25">
      <c r="B1075">
        <f t="shared" ca="1" si="50"/>
        <v>47855.529659887412</v>
      </c>
      <c r="C1075">
        <f t="shared" ca="1" si="48"/>
        <v>0</v>
      </c>
      <c r="D1075">
        <f t="shared" ca="1" si="49"/>
        <v>7855.529659887412</v>
      </c>
    </row>
    <row r="1076" spans="2:4" x14ac:dyDescent="0.25">
      <c r="B1076">
        <f t="shared" ca="1" si="50"/>
        <v>46616.431918566741</v>
      </c>
      <c r="C1076">
        <f t="shared" ca="1" si="48"/>
        <v>0</v>
      </c>
      <c r="D1076">
        <f t="shared" ca="1" si="49"/>
        <v>6616.4319185667409</v>
      </c>
    </row>
    <row r="1077" spans="2:4" x14ac:dyDescent="0.25">
      <c r="B1077">
        <f t="shared" ca="1" si="50"/>
        <v>44197.738919880947</v>
      </c>
      <c r="C1077">
        <f t="shared" ca="1" si="48"/>
        <v>0</v>
      </c>
      <c r="D1077">
        <f t="shared" ca="1" si="49"/>
        <v>4197.7389198809469</v>
      </c>
    </row>
    <row r="1078" spans="2:4" x14ac:dyDescent="0.25">
      <c r="B1078">
        <f t="shared" ca="1" si="50"/>
        <v>41571.578624591115</v>
      </c>
      <c r="C1078">
        <f t="shared" ca="1" si="48"/>
        <v>0</v>
      </c>
      <c r="D1078">
        <f t="shared" ca="1" si="49"/>
        <v>1571.5786245911149</v>
      </c>
    </row>
    <row r="1079" spans="2:4" x14ac:dyDescent="0.25">
      <c r="B1079">
        <f t="shared" ca="1" si="50"/>
        <v>41165.342092423445</v>
      </c>
      <c r="C1079">
        <f t="shared" ca="1" si="48"/>
        <v>0</v>
      </c>
      <c r="D1079">
        <f t="shared" ca="1" si="49"/>
        <v>1165.3420924234451</v>
      </c>
    </row>
    <row r="1080" spans="2:4" x14ac:dyDescent="0.25">
      <c r="B1080">
        <f t="shared" ca="1" si="50"/>
        <v>41432.619325998829</v>
      </c>
      <c r="C1080">
        <f t="shared" ca="1" si="48"/>
        <v>0</v>
      </c>
      <c r="D1080">
        <f t="shared" ca="1" si="49"/>
        <v>1432.6193259988286</v>
      </c>
    </row>
    <row r="1081" spans="2:4" x14ac:dyDescent="0.25">
      <c r="B1081">
        <f t="shared" ca="1" si="50"/>
        <v>47730.030152211424</v>
      </c>
      <c r="C1081">
        <f t="shared" ca="1" si="48"/>
        <v>0</v>
      </c>
      <c r="D1081">
        <f t="shared" ca="1" si="49"/>
        <v>7730.0301522114241</v>
      </c>
    </row>
    <row r="1082" spans="2:4" x14ac:dyDescent="0.25">
      <c r="B1082">
        <f t="shared" ca="1" si="50"/>
        <v>50744.233132603236</v>
      </c>
      <c r="C1082">
        <f t="shared" ca="1" si="48"/>
        <v>0</v>
      </c>
      <c r="D1082">
        <f t="shared" ca="1" si="49"/>
        <v>10744.233132603236</v>
      </c>
    </row>
    <row r="1083" spans="2:4" x14ac:dyDescent="0.25">
      <c r="B1083">
        <f t="shared" ca="1" si="50"/>
        <v>43493.082061023888</v>
      </c>
      <c r="C1083">
        <f t="shared" ca="1" si="48"/>
        <v>0</v>
      </c>
      <c r="D1083">
        <f t="shared" ca="1" si="49"/>
        <v>3493.0820610238879</v>
      </c>
    </row>
    <row r="1084" spans="2:4" x14ac:dyDescent="0.25">
      <c r="B1084">
        <f t="shared" ca="1" si="50"/>
        <v>55897.392527426258</v>
      </c>
      <c r="C1084">
        <f t="shared" ca="1" si="48"/>
        <v>0</v>
      </c>
      <c r="D1084">
        <f t="shared" ca="1" si="49"/>
        <v>15897.392527426258</v>
      </c>
    </row>
    <row r="1085" spans="2:4" x14ac:dyDescent="0.25">
      <c r="B1085">
        <f t="shared" ca="1" si="50"/>
        <v>42897.095108265908</v>
      </c>
      <c r="C1085">
        <f t="shared" ca="1" si="48"/>
        <v>0</v>
      </c>
      <c r="D1085">
        <f t="shared" ca="1" si="49"/>
        <v>2897.0951082659085</v>
      </c>
    </row>
    <row r="1086" spans="2:4" x14ac:dyDescent="0.25">
      <c r="B1086">
        <f t="shared" ca="1" si="50"/>
        <v>48075.140536996281</v>
      </c>
      <c r="C1086">
        <f t="shared" ca="1" si="48"/>
        <v>0</v>
      </c>
      <c r="D1086">
        <f t="shared" ca="1" si="49"/>
        <v>8075.1405369962813</v>
      </c>
    </row>
    <row r="1087" spans="2:4" x14ac:dyDescent="0.25">
      <c r="B1087">
        <f t="shared" ca="1" si="50"/>
        <v>39392.930040536259</v>
      </c>
      <c r="C1087">
        <f t="shared" ca="1" si="48"/>
        <v>607.06995946374082</v>
      </c>
      <c r="D1087">
        <f t="shared" ca="1" si="49"/>
        <v>0</v>
      </c>
    </row>
    <row r="1088" spans="2:4" x14ac:dyDescent="0.25">
      <c r="B1088">
        <f t="shared" ca="1" si="50"/>
        <v>43412.858047473164</v>
      </c>
      <c r="C1088">
        <f t="shared" ca="1" si="48"/>
        <v>0</v>
      </c>
      <c r="D1088">
        <f t="shared" ca="1" si="49"/>
        <v>3412.8580474731643</v>
      </c>
    </row>
    <row r="1089" spans="2:4" x14ac:dyDescent="0.25">
      <c r="B1089">
        <f t="shared" ca="1" si="50"/>
        <v>51442.000439108895</v>
      </c>
      <c r="C1089">
        <f t="shared" ca="1" si="48"/>
        <v>0</v>
      </c>
      <c r="D1089">
        <f t="shared" ca="1" si="49"/>
        <v>11442.000439108895</v>
      </c>
    </row>
    <row r="1090" spans="2:4" x14ac:dyDescent="0.25">
      <c r="B1090">
        <f t="shared" ca="1" si="50"/>
        <v>44296.757675691384</v>
      </c>
      <c r="C1090">
        <f t="shared" ca="1" si="48"/>
        <v>0</v>
      </c>
      <c r="D1090">
        <f t="shared" ca="1" si="49"/>
        <v>4296.7576756913841</v>
      </c>
    </row>
    <row r="1091" spans="2:4" x14ac:dyDescent="0.25">
      <c r="B1091">
        <f t="shared" ca="1" si="50"/>
        <v>44406.787210014983</v>
      </c>
      <c r="C1091">
        <f t="shared" ca="1" si="48"/>
        <v>0</v>
      </c>
      <c r="D1091">
        <f t="shared" ca="1" si="49"/>
        <v>4406.7872100149834</v>
      </c>
    </row>
    <row r="1092" spans="2:4" x14ac:dyDescent="0.25">
      <c r="B1092">
        <f t="shared" ca="1" si="50"/>
        <v>45600.332649558972</v>
      </c>
      <c r="C1092">
        <f t="shared" ca="1" si="48"/>
        <v>0</v>
      </c>
      <c r="D1092">
        <f t="shared" ca="1" si="49"/>
        <v>5600.3326495589718</v>
      </c>
    </row>
    <row r="1093" spans="2:4" x14ac:dyDescent="0.25">
      <c r="B1093">
        <f t="shared" ca="1" si="50"/>
        <v>43888.35597811154</v>
      </c>
      <c r="C1093">
        <f t="shared" ca="1" si="48"/>
        <v>0</v>
      </c>
      <c r="D1093">
        <f t="shared" ca="1" si="49"/>
        <v>3888.35597811154</v>
      </c>
    </row>
    <row r="1094" spans="2:4" x14ac:dyDescent="0.25">
      <c r="B1094">
        <f t="shared" ca="1" si="50"/>
        <v>41419.356647325483</v>
      </c>
      <c r="C1094">
        <f t="shared" ca="1" si="48"/>
        <v>0</v>
      </c>
      <c r="D1094">
        <f t="shared" ca="1" si="49"/>
        <v>1419.3566473254832</v>
      </c>
    </row>
    <row r="1095" spans="2:4" x14ac:dyDescent="0.25">
      <c r="B1095">
        <f t="shared" ca="1" si="50"/>
        <v>46900.738539561993</v>
      </c>
      <c r="C1095">
        <f t="shared" ca="1" si="48"/>
        <v>0</v>
      </c>
      <c r="D1095">
        <f t="shared" ca="1" si="49"/>
        <v>6900.7385395619931</v>
      </c>
    </row>
    <row r="1096" spans="2:4" x14ac:dyDescent="0.25">
      <c r="B1096">
        <f t="shared" ca="1" si="50"/>
        <v>52319.426125602047</v>
      </c>
      <c r="C1096">
        <f t="shared" ca="1" si="48"/>
        <v>0</v>
      </c>
      <c r="D1096">
        <f t="shared" ca="1" si="49"/>
        <v>12319.426125602047</v>
      </c>
    </row>
    <row r="1097" spans="2:4" x14ac:dyDescent="0.25">
      <c r="B1097">
        <f t="shared" ca="1" si="50"/>
        <v>33922.674285516252</v>
      </c>
      <c r="C1097">
        <f t="shared" ca="1" si="48"/>
        <v>6077.325714483748</v>
      </c>
      <c r="D1097">
        <f t="shared" ca="1" si="49"/>
        <v>0</v>
      </c>
    </row>
    <row r="1098" spans="2:4" x14ac:dyDescent="0.25">
      <c r="B1098">
        <f t="shared" ca="1" si="50"/>
        <v>48382.922762064351</v>
      </c>
      <c r="C1098">
        <f t="shared" ca="1" si="48"/>
        <v>0</v>
      </c>
      <c r="D1098">
        <f t="shared" ca="1" si="49"/>
        <v>8382.9227620643505</v>
      </c>
    </row>
    <row r="1099" spans="2:4" x14ac:dyDescent="0.25">
      <c r="B1099">
        <f t="shared" ca="1" si="50"/>
        <v>41327.960962004334</v>
      </c>
      <c r="C1099">
        <f t="shared" ca="1" si="48"/>
        <v>0</v>
      </c>
      <c r="D1099">
        <f t="shared" ca="1" si="49"/>
        <v>1327.9609620043339</v>
      </c>
    </row>
    <row r="1100" spans="2:4" x14ac:dyDescent="0.25">
      <c r="B1100">
        <f t="shared" ca="1" si="50"/>
        <v>54890.565324631141</v>
      </c>
      <c r="C1100">
        <f t="shared" ref="C1100:C1163" ca="1" si="51">IF(MAX($B$2-B1100)&lt;0,0,$B$2-B1100)</f>
        <v>0</v>
      </c>
      <c r="D1100">
        <f t="shared" ref="D1100:D1163" ca="1" si="52">IF(MAX(B1100-$B$2)&lt;0,0,B1100-$B$2)</f>
        <v>14890.565324631141</v>
      </c>
    </row>
    <row r="1101" spans="2:4" x14ac:dyDescent="0.25">
      <c r="B1101">
        <f t="shared" ref="B1101:B1164" ca="1" si="53">$B$1*EXP((($B$4-($B$3^2)/2)*$B$5+$B$3*SQRT($B$5)*NORMSINV(RAND())))</f>
        <v>46077.662048162914</v>
      </c>
      <c r="C1101">
        <f t="shared" ca="1" si="51"/>
        <v>0</v>
      </c>
      <c r="D1101">
        <f t="shared" ca="1" si="52"/>
        <v>6077.6620481629143</v>
      </c>
    </row>
    <row r="1102" spans="2:4" x14ac:dyDescent="0.25">
      <c r="B1102">
        <f t="shared" ca="1" si="53"/>
        <v>48283.370953761965</v>
      </c>
      <c r="C1102">
        <f t="shared" ca="1" si="51"/>
        <v>0</v>
      </c>
      <c r="D1102">
        <f t="shared" ca="1" si="52"/>
        <v>8283.3709537619652</v>
      </c>
    </row>
    <row r="1103" spans="2:4" x14ac:dyDescent="0.25">
      <c r="B1103">
        <f t="shared" ca="1" si="53"/>
        <v>40873.038075492565</v>
      </c>
      <c r="C1103">
        <f t="shared" ca="1" si="51"/>
        <v>0</v>
      </c>
      <c r="D1103">
        <f t="shared" ca="1" si="52"/>
        <v>873.03807549256453</v>
      </c>
    </row>
    <row r="1104" spans="2:4" x14ac:dyDescent="0.25">
      <c r="B1104">
        <f t="shared" ca="1" si="53"/>
        <v>46841.883096474106</v>
      </c>
      <c r="C1104">
        <f t="shared" ca="1" si="51"/>
        <v>0</v>
      </c>
      <c r="D1104">
        <f t="shared" ca="1" si="52"/>
        <v>6841.8830964741064</v>
      </c>
    </row>
    <row r="1105" spans="2:4" x14ac:dyDescent="0.25">
      <c r="B1105">
        <f t="shared" ca="1" si="53"/>
        <v>41891.418461203088</v>
      </c>
      <c r="C1105">
        <f t="shared" ca="1" si="51"/>
        <v>0</v>
      </c>
      <c r="D1105">
        <f t="shared" ca="1" si="52"/>
        <v>1891.4184612030876</v>
      </c>
    </row>
    <row r="1106" spans="2:4" x14ac:dyDescent="0.25">
      <c r="B1106">
        <f t="shared" ca="1" si="53"/>
        <v>41727.730556905153</v>
      </c>
      <c r="C1106">
        <f t="shared" ca="1" si="51"/>
        <v>0</v>
      </c>
      <c r="D1106">
        <f t="shared" ca="1" si="52"/>
        <v>1727.7305569051532</v>
      </c>
    </row>
    <row r="1107" spans="2:4" x14ac:dyDescent="0.25">
      <c r="B1107">
        <f t="shared" ca="1" si="53"/>
        <v>43006.879771341461</v>
      </c>
      <c r="C1107">
        <f t="shared" ca="1" si="51"/>
        <v>0</v>
      </c>
      <c r="D1107">
        <f t="shared" ca="1" si="52"/>
        <v>3006.8797713414606</v>
      </c>
    </row>
    <row r="1108" spans="2:4" x14ac:dyDescent="0.25">
      <c r="B1108">
        <f t="shared" ca="1" si="53"/>
        <v>42254.165841695198</v>
      </c>
      <c r="C1108">
        <f t="shared" ca="1" si="51"/>
        <v>0</v>
      </c>
      <c r="D1108">
        <f t="shared" ca="1" si="52"/>
        <v>2254.1658416951977</v>
      </c>
    </row>
    <row r="1109" spans="2:4" x14ac:dyDescent="0.25">
      <c r="B1109">
        <f t="shared" ca="1" si="53"/>
        <v>50173.122546285107</v>
      </c>
      <c r="C1109">
        <f t="shared" ca="1" si="51"/>
        <v>0</v>
      </c>
      <c r="D1109">
        <f t="shared" ca="1" si="52"/>
        <v>10173.122546285107</v>
      </c>
    </row>
    <row r="1110" spans="2:4" x14ac:dyDescent="0.25">
      <c r="B1110">
        <f t="shared" ca="1" si="53"/>
        <v>49792.21002228852</v>
      </c>
      <c r="C1110">
        <f t="shared" ca="1" si="51"/>
        <v>0</v>
      </c>
      <c r="D1110">
        <f t="shared" ca="1" si="52"/>
        <v>9792.2100222885201</v>
      </c>
    </row>
    <row r="1111" spans="2:4" x14ac:dyDescent="0.25">
      <c r="B1111">
        <f t="shared" ca="1" si="53"/>
        <v>44143.837441333213</v>
      </c>
      <c r="C1111">
        <f t="shared" ca="1" si="51"/>
        <v>0</v>
      </c>
      <c r="D1111">
        <f t="shared" ca="1" si="52"/>
        <v>4143.8374413332131</v>
      </c>
    </row>
    <row r="1112" spans="2:4" x14ac:dyDescent="0.25">
      <c r="B1112">
        <f t="shared" ca="1" si="53"/>
        <v>53724.311411323804</v>
      </c>
      <c r="C1112">
        <f t="shared" ca="1" si="51"/>
        <v>0</v>
      </c>
      <c r="D1112">
        <f t="shared" ca="1" si="52"/>
        <v>13724.311411323804</v>
      </c>
    </row>
    <row r="1113" spans="2:4" x14ac:dyDescent="0.25">
      <c r="B1113">
        <f t="shared" ca="1" si="53"/>
        <v>41126.773953796248</v>
      </c>
      <c r="C1113">
        <f t="shared" ca="1" si="51"/>
        <v>0</v>
      </c>
      <c r="D1113">
        <f t="shared" ca="1" si="52"/>
        <v>1126.773953796248</v>
      </c>
    </row>
    <row r="1114" spans="2:4" x14ac:dyDescent="0.25">
      <c r="B1114">
        <f t="shared" ca="1" si="53"/>
        <v>52209.822510388876</v>
      </c>
      <c r="C1114">
        <f t="shared" ca="1" si="51"/>
        <v>0</v>
      </c>
      <c r="D1114">
        <f t="shared" ca="1" si="52"/>
        <v>12209.822510388876</v>
      </c>
    </row>
    <row r="1115" spans="2:4" x14ac:dyDescent="0.25">
      <c r="B1115">
        <f t="shared" ca="1" si="53"/>
        <v>46152.809996062424</v>
      </c>
      <c r="C1115">
        <f t="shared" ca="1" si="51"/>
        <v>0</v>
      </c>
      <c r="D1115">
        <f t="shared" ca="1" si="52"/>
        <v>6152.809996062424</v>
      </c>
    </row>
    <row r="1116" spans="2:4" x14ac:dyDescent="0.25">
      <c r="B1116">
        <f t="shared" ca="1" si="53"/>
        <v>50881.73977811198</v>
      </c>
      <c r="C1116">
        <f t="shared" ca="1" si="51"/>
        <v>0</v>
      </c>
      <c r="D1116">
        <f t="shared" ca="1" si="52"/>
        <v>10881.73977811198</v>
      </c>
    </row>
    <row r="1117" spans="2:4" x14ac:dyDescent="0.25">
      <c r="B1117">
        <f t="shared" ca="1" si="53"/>
        <v>39774.462760802169</v>
      </c>
      <c r="C1117">
        <f t="shared" ca="1" si="51"/>
        <v>225.53723919783079</v>
      </c>
      <c r="D1117">
        <f t="shared" ca="1" si="52"/>
        <v>0</v>
      </c>
    </row>
    <row r="1118" spans="2:4" x14ac:dyDescent="0.25">
      <c r="B1118">
        <f t="shared" ca="1" si="53"/>
        <v>42909.693725944104</v>
      </c>
      <c r="C1118">
        <f t="shared" ca="1" si="51"/>
        <v>0</v>
      </c>
      <c r="D1118">
        <f t="shared" ca="1" si="52"/>
        <v>2909.6937259441038</v>
      </c>
    </row>
    <row r="1119" spans="2:4" x14ac:dyDescent="0.25">
      <c r="B1119">
        <f t="shared" ca="1" si="53"/>
        <v>47908.955086474773</v>
      </c>
      <c r="C1119">
        <f t="shared" ca="1" si="51"/>
        <v>0</v>
      </c>
      <c r="D1119">
        <f t="shared" ca="1" si="52"/>
        <v>7908.9550864747725</v>
      </c>
    </row>
    <row r="1120" spans="2:4" x14ac:dyDescent="0.25">
      <c r="B1120">
        <f t="shared" ca="1" si="53"/>
        <v>46503.199467482496</v>
      </c>
      <c r="C1120">
        <f t="shared" ca="1" si="51"/>
        <v>0</v>
      </c>
      <c r="D1120">
        <f t="shared" ca="1" si="52"/>
        <v>6503.1994674824964</v>
      </c>
    </row>
    <row r="1121" spans="2:4" x14ac:dyDescent="0.25">
      <c r="B1121">
        <f t="shared" ca="1" si="53"/>
        <v>53823.602537626779</v>
      </c>
      <c r="C1121">
        <f t="shared" ca="1" si="51"/>
        <v>0</v>
      </c>
      <c r="D1121">
        <f t="shared" ca="1" si="52"/>
        <v>13823.602537626779</v>
      </c>
    </row>
    <row r="1122" spans="2:4" x14ac:dyDescent="0.25">
      <c r="B1122">
        <f t="shared" ca="1" si="53"/>
        <v>42077.135273120963</v>
      </c>
      <c r="C1122">
        <f t="shared" ca="1" si="51"/>
        <v>0</v>
      </c>
      <c r="D1122">
        <f t="shared" ca="1" si="52"/>
        <v>2077.1352731209627</v>
      </c>
    </row>
    <row r="1123" spans="2:4" x14ac:dyDescent="0.25">
      <c r="B1123">
        <f t="shared" ca="1" si="53"/>
        <v>45209.570084693281</v>
      </c>
      <c r="C1123">
        <f t="shared" ca="1" si="51"/>
        <v>0</v>
      </c>
      <c r="D1123">
        <f t="shared" ca="1" si="52"/>
        <v>5209.5700846932814</v>
      </c>
    </row>
    <row r="1124" spans="2:4" x14ac:dyDescent="0.25">
      <c r="B1124">
        <f t="shared" ca="1" si="53"/>
        <v>48901.576807271806</v>
      </c>
      <c r="C1124">
        <f t="shared" ca="1" si="51"/>
        <v>0</v>
      </c>
      <c r="D1124">
        <f t="shared" ca="1" si="52"/>
        <v>8901.5768072718056</v>
      </c>
    </row>
    <row r="1125" spans="2:4" x14ac:dyDescent="0.25">
      <c r="B1125">
        <f t="shared" ca="1" si="53"/>
        <v>37767.490142893002</v>
      </c>
      <c r="C1125">
        <f t="shared" ca="1" si="51"/>
        <v>2232.5098571069975</v>
      </c>
      <c r="D1125">
        <f t="shared" ca="1" si="52"/>
        <v>0</v>
      </c>
    </row>
    <row r="1126" spans="2:4" x14ac:dyDescent="0.25">
      <c r="B1126">
        <f t="shared" ca="1" si="53"/>
        <v>44288.083725970617</v>
      </c>
      <c r="C1126">
        <f t="shared" ca="1" si="51"/>
        <v>0</v>
      </c>
      <c r="D1126">
        <f t="shared" ca="1" si="52"/>
        <v>4288.0837259706168</v>
      </c>
    </row>
    <row r="1127" spans="2:4" x14ac:dyDescent="0.25">
      <c r="B1127">
        <f t="shared" ca="1" si="53"/>
        <v>43021.521065104622</v>
      </c>
      <c r="C1127">
        <f t="shared" ca="1" si="51"/>
        <v>0</v>
      </c>
      <c r="D1127">
        <f t="shared" ca="1" si="52"/>
        <v>3021.5210651046218</v>
      </c>
    </row>
    <row r="1128" spans="2:4" x14ac:dyDescent="0.25">
      <c r="B1128">
        <f t="shared" ca="1" si="53"/>
        <v>47411.26772456312</v>
      </c>
      <c r="C1128">
        <f t="shared" ca="1" si="51"/>
        <v>0</v>
      </c>
      <c r="D1128">
        <f t="shared" ca="1" si="52"/>
        <v>7411.2677245631203</v>
      </c>
    </row>
    <row r="1129" spans="2:4" x14ac:dyDescent="0.25">
      <c r="B1129">
        <f t="shared" ca="1" si="53"/>
        <v>45525.294904497685</v>
      </c>
      <c r="C1129">
        <f t="shared" ca="1" si="51"/>
        <v>0</v>
      </c>
      <c r="D1129">
        <f t="shared" ca="1" si="52"/>
        <v>5525.2949044976849</v>
      </c>
    </row>
    <row r="1130" spans="2:4" x14ac:dyDescent="0.25">
      <c r="B1130">
        <f t="shared" ca="1" si="53"/>
        <v>58997.737507072095</v>
      </c>
      <c r="C1130">
        <f t="shared" ca="1" si="51"/>
        <v>0</v>
      </c>
      <c r="D1130">
        <f t="shared" ca="1" si="52"/>
        <v>18997.737507072095</v>
      </c>
    </row>
    <row r="1131" spans="2:4" x14ac:dyDescent="0.25">
      <c r="B1131">
        <f t="shared" ca="1" si="53"/>
        <v>44851.489426830711</v>
      </c>
      <c r="C1131">
        <f t="shared" ca="1" si="51"/>
        <v>0</v>
      </c>
      <c r="D1131">
        <f t="shared" ca="1" si="52"/>
        <v>4851.4894268307107</v>
      </c>
    </row>
    <row r="1132" spans="2:4" x14ac:dyDescent="0.25">
      <c r="B1132">
        <f t="shared" ca="1" si="53"/>
        <v>49664.99205586395</v>
      </c>
      <c r="C1132">
        <f t="shared" ca="1" si="51"/>
        <v>0</v>
      </c>
      <c r="D1132">
        <f t="shared" ca="1" si="52"/>
        <v>9664.9920558639496</v>
      </c>
    </row>
    <row r="1133" spans="2:4" x14ac:dyDescent="0.25">
      <c r="B1133">
        <f t="shared" ca="1" si="53"/>
        <v>47183.76802177386</v>
      </c>
      <c r="C1133">
        <f t="shared" ca="1" si="51"/>
        <v>0</v>
      </c>
      <c r="D1133">
        <f t="shared" ca="1" si="52"/>
        <v>7183.7680217738598</v>
      </c>
    </row>
    <row r="1134" spans="2:4" x14ac:dyDescent="0.25">
      <c r="B1134">
        <f t="shared" ca="1" si="53"/>
        <v>44119.956834737161</v>
      </c>
      <c r="C1134">
        <f t="shared" ca="1" si="51"/>
        <v>0</v>
      </c>
      <c r="D1134">
        <f t="shared" ca="1" si="52"/>
        <v>4119.9568347371605</v>
      </c>
    </row>
    <row r="1135" spans="2:4" x14ac:dyDescent="0.25">
      <c r="B1135">
        <f t="shared" ca="1" si="53"/>
        <v>43051.622746452114</v>
      </c>
      <c r="C1135">
        <f t="shared" ca="1" si="51"/>
        <v>0</v>
      </c>
      <c r="D1135">
        <f t="shared" ca="1" si="52"/>
        <v>3051.6227464521144</v>
      </c>
    </row>
    <row r="1136" spans="2:4" x14ac:dyDescent="0.25">
      <c r="B1136">
        <f t="shared" ca="1" si="53"/>
        <v>39261.368236665163</v>
      </c>
      <c r="C1136">
        <f t="shared" ca="1" si="51"/>
        <v>738.63176333483716</v>
      </c>
      <c r="D1136">
        <f t="shared" ca="1" si="52"/>
        <v>0</v>
      </c>
    </row>
    <row r="1137" spans="2:4" x14ac:dyDescent="0.25">
      <c r="B1137">
        <f t="shared" ca="1" si="53"/>
        <v>42872.004564552786</v>
      </c>
      <c r="C1137">
        <f t="shared" ca="1" si="51"/>
        <v>0</v>
      </c>
      <c r="D1137">
        <f t="shared" ca="1" si="52"/>
        <v>2872.0045645527862</v>
      </c>
    </row>
    <row r="1138" spans="2:4" x14ac:dyDescent="0.25">
      <c r="B1138">
        <f t="shared" ca="1" si="53"/>
        <v>51457.319322111951</v>
      </c>
      <c r="C1138">
        <f t="shared" ca="1" si="51"/>
        <v>0</v>
      </c>
      <c r="D1138">
        <f t="shared" ca="1" si="52"/>
        <v>11457.319322111951</v>
      </c>
    </row>
    <row r="1139" spans="2:4" x14ac:dyDescent="0.25">
      <c r="B1139">
        <f t="shared" ca="1" si="53"/>
        <v>50075.978159248938</v>
      </c>
      <c r="C1139">
        <f t="shared" ca="1" si="51"/>
        <v>0</v>
      </c>
      <c r="D1139">
        <f t="shared" ca="1" si="52"/>
        <v>10075.978159248938</v>
      </c>
    </row>
    <row r="1140" spans="2:4" x14ac:dyDescent="0.25">
      <c r="B1140">
        <f t="shared" ca="1" si="53"/>
        <v>45125.262174149109</v>
      </c>
      <c r="C1140">
        <f t="shared" ca="1" si="51"/>
        <v>0</v>
      </c>
      <c r="D1140">
        <f t="shared" ca="1" si="52"/>
        <v>5125.2621741491093</v>
      </c>
    </row>
    <row r="1141" spans="2:4" x14ac:dyDescent="0.25">
      <c r="B1141">
        <f t="shared" ca="1" si="53"/>
        <v>50794.036994048496</v>
      </c>
      <c r="C1141">
        <f t="shared" ca="1" si="51"/>
        <v>0</v>
      </c>
      <c r="D1141">
        <f t="shared" ca="1" si="52"/>
        <v>10794.036994048496</v>
      </c>
    </row>
    <row r="1142" spans="2:4" x14ac:dyDescent="0.25">
      <c r="B1142">
        <f t="shared" ca="1" si="53"/>
        <v>37468.421927139105</v>
      </c>
      <c r="C1142">
        <f t="shared" ca="1" si="51"/>
        <v>2531.5780728608952</v>
      </c>
      <c r="D1142">
        <f t="shared" ca="1" si="52"/>
        <v>0</v>
      </c>
    </row>
    <row r="1143" spans="2:4" x14ac:dyDescent="0.25">
      <c r="B1143">
        <f t="shared" ca="1" si="53"/>
        <v>44094.724513951754</v>
      </c>
      <c r="C1143">
        <f t="shared" ca="1" si="51"/>
        <v>0</v>
      </c>
      <c r="D1143">
        <f t="shared" ca="1" si="52"/>
        <v>4094.7245139517545</v>
      </c>
    </row>
    <row r="1144" spans="2:4" x14ac:dyDescent="0.25">
      <c r="B1144">
        <f t="shared" ca="1" si="53"/>
        <v>47902.818234682796</v>
      </c>
      <c r="C1144">
        <f t="shared" ca="1" si="51"/>
        <v>0</v>
      </c>
      <c r="D1144">
        <f t="shared" ca="1" si="52"/>
        <v>7902.8182346827962</v>
      </c>
    </row>
    <row r="1145" spans="2:4" x14ac:dyDescent="0.25">
      <c r="B1145">
        <f t="shared" ca="1" si="53"/>
        <v>41153.349617247557</v>
      </c>
      <c r="C1145">
        <f t="shared" ca="1" si="51"/>
        <v>0</v>
      </c>
      <c r="D1145">
        <f t="shared" ca="1" si="52"/>
        <v>1153.349617247557</v>
      </c>
    </row>
    <row r="1146" spans="2:4" x14ac:dyDescent="0.25">
      <c r="B1146">
        <f t="shared" ca="1" si="53"/>
        <v>47738.447136104609</v>
      </c>
      <c r="C1146">
        <f t="shared" ca="1" si="51"/>
        <v>0</v>
      </c>
      <c r="D1146">
        <f t="shared" ca="1" si="52"/>
        <v>7738.4471361046089</v>
      </c>
    </row>
    <row r="1147" spans="2:4" x14ac:dyDescent="0.25">
      <c r="B1147">
        <f t="shared" ca="1" si="53"/>
        <v>41617.50178400812</v>
      </c>
      <c r="C1147">
        <f t="shared" ca="1" si="51"/>
        <v>0</v>
      </c>
      <c r="D1147">
        <f t="shared" ca="1" si="52"/>
        <v>1617.50178400812</v>
      </c>
    </row>
    <row r="1148" spans="2:4" x14ac:dyDescent="0.25">
      <c r="B1148">
        <f t="shared" ca="1" si="53"/>
        <v>52660.093166675506</v>
      </c>
      <c r="C1148">
        <f t="shared" ca="1" si="51"/>
        <v>0</v>
      </c>
      <c r="D1148">
        <f t="shared" ca="1" si="52"/>
        <v>12660.093166675506</v>
      </c>
    </row>
    <row r="1149" spans="2:4" x14ac:dyDescent="0.25">
      <c r="B1149">
        <f t="shared" ca="1" si="53"/>
        <v>45359.977352830516</v>
      </c>
      <c r="C1149">
        <f t="shared" ca="1" si="51"/>
        <v>0</v>
      </c>
      <c r="D1149">
        <f t="shared" ca="1" si="52"/>
        <v>5359.9773528305159</v>
      </c>
    </row>
    <row r="1150" spans="2:4" x14ac:dyDescent="0.25">
      <c r="B1150">
        <f t="shared" ca="1" si="53"/>
        <v>42096.28806845082</v>
      </c>
      <c r="C1150">
        <f t="shared" ca="1" si="51"/>
        <v>0</v>
      </c>
      <c r="D1150">
        <f t="shared" ca="1" si="52"/>
        <v>2096.28806845082</v>
      </c>
    </row>
    <row r="1151" spans="2:4" x14ac:dyDescent="0.25">
      <c r="B1151">
        <f t="shared" ca="1" si="53"/>
        <v>46145.101058438937</v>
      </c>
      <c r="C1151">
        <f t="shared" ca="1" si="51"/>
        <v>0</v>
      </c>
      <c r="D1151">
        <f t="shared" ca="1" si="52"/>
        <v>6145.1010584389369</v>
      </c>
    </row>
    <row r="1152" spans="2:4" x14ac:dyDescent="0.25">
      <c r="B1152">
        <f t="shared" ca="1" si="53"/>
        <v>40045.114844233714</v>
      </c>
      <c r="C1152">
        <f t="shared" ca="1" si="51"/>
        <v>0</v>
      </c>
      <c r="D1152">
        <f t="shared" ca="1" si="52"/>
        <v>45.114844233714393</v>
      </c>
    </row>
    <row r="1153" spans="2:4" x14ac:dyDescent="0.25">
      <c r="B1153">
        <f t="shared" ca="1" si="53"/>
        <v>45620.553825546587</v>
      </c>
      <c r="C1153">
        <f t="shared" ca="1" si="51"/>
        <v>0</v>
      </c>
      <c r="D1153">
        <f t="shared" ca="1" si="52"/>
        <v>5620.5538255465872</v>
      </c>
    </row>
    <row r="1154" spans="2:4" x14ac:dyDescent="0.25">
      <c r="B1154">
        <f t="shared" ca="1" si="53"/>
        <v>43929.311582121241</v>
      </c>
      <c r="C1154">
        <f t="shared" ca="1" si="51"/>
        <v>0</v>
      </c>
      <c r="D1154">
        <f t="shared" ca="1" si="52"/>
        <v>3929.3115821212414</v>
      </c>
    </row>
    <row r="1155" spans="2:4" x14ac:dyDescent="0.25">
      <c r="B1155">
        <f t="shared" ca="1" si="53"/>
        <v>52237.187761463108</v>
      </c>
      <c r="C1155">
        <f t="shared" ca="1" si="51"/>
        <v>0</v>
      </c>
      <c r="D1155">
        <f t="shared" ca="1" si="52"/>
        <v>12237.187761463108</v>
      </c>
    </row>
    <row r="1156" spans="2:4" x14ac:dyDescent="0.25">
      <c r="B1156">
        <f t="shared" ca="1" si="53"/>
        <v>44814.219936144495</v>
      </c>
      <c r="C1156">
        <f t="shared" ca="1" si="51"/>
        <v>0</v>
      </c>
      <c r="D1156">
        <f t="shared" ca="1" si="52"/>
        <v>4814.2199361444946</v>
      </c>
    </row>
    <row r="1157" spans="2:4" x14ac:dyDescent="0.25">
      <c r="B1157">
        <f t="shared" ca="1" si="53"/>
        <v>48505.216357240584</v>
      </c>
      <c r="C1157">
        <f t="shared" ca="1" si="51"/>
        <v>0</v>
      </c>
      <c r="D1157">
        <f t="shared" ca="1" si="52"/>
        <v>8505.2163572405843</v>
      </c>
    </row>
    <row r="1158" spans="2:4" x14ac:dyDescent="0.25">
      <c r="B1158">
        <f t="shared" ca="1" si="53"/>
        <v>36270.842546079926</v>
      </c>
      <c r="C1158">
        <f t="shared" ca="1" si="51"/>
        <v>3729.1574539200737</v>
      </c>
      <c r="D1158">
        <f t="shared" ca="1" si="52"/>
        <v>0</v>
      </c>
    </row>
    <row r="1159" spans="2:4" x14ac:dyDescent="0.25">
      <c r="B1159">
        <f t="shared" ca="1" si="53"/>
        <v>48564.167659234787</v>
      </c>
      <c r="C1159">
        <f t="shared" ca="1" si="51"/>
        <v>0</v>
      </c>
      <c r="D1159">
        <f t="shared" ca="1" si="52"/>
        <v>8564.1676592347867</v>
      </c>
    </row>
    <row r="1160" spans="2:4" x14ac:dyDescent="0.25">
      <c r="B1160">
        <f t="shared" ca="1" si="53"/>
        <v>40638.550863750344</v>
      </c>
      <c r="C1160">
        <f t="shared" ca="1" si="51"/>
        <v>0</v>
      </c>
      <c r="D1160">
        <f t="shared" ca="1" si="52"/>
        <v>638.55086375034443</v>
      </c>
    </row>
    <row r="1161" spans="2:4" x14ac:dyDescent="0.25">
      <c r="B1161">
        <f t="shared" ca="1" si="53"/>
        <v>38908.916032809102</v>
      </c>
      <c r="C1161">
        <f t="shared" ca="1" si="51"/>
        <v>1091.083967190898</v>
      </c>
      <c r="D1161">
        <f t="shared" ca="1" si="52"/>
        <v>0</v>
      </c>
    </row>
    <row r="1162" spans="2:4" x14ac:dyDescent="0.25">
      <c r="B1162">
        <f t="shared" ca="1" si="53"/>
        <v>47859.667576210275</v>
      </c>
      <c r="C1162">
        <f t="shared" ca="1" si="51"/>
        <v>0</v>
      </c>
      <c r="D1162">
        <f t="shared" ca="1" si="52"/>
        <v>7859.667576210275</v>
      </c>
    </row>
    <row r="1163" spans="2:4" x14ac:dyDescent="0.25">
      <c r="B1163">
        <f t="shared" ca="1" si="53"/>
        <v>47605.40467580843</v>
      </c>
      <c r="C1163">
        <f t="shared" ca="1" si="51"/>
        <v>0</v>
      </c>
      <c r="D1163">
        <f t="shared" ca="1" si="52"/>
        <v>7605.4046758084296</v>
      </c>
    </row>
    <row r="1164" spans="2:4" x14ac:dyDescent="0.25">
      <c r="B1164">
        <f t="shared" ca="1" si="53"/>
        <v>36957.865238997845</v>
      </c>
      <c r="C1164">
        <f t="shared" ref="C1164:C1227" ca="1" si="54">IF(MAX($B$2-B1164)&lt;0,0,$B$2-B1164)</f>
        <v>3042.1347610021548</v>
      </c>
      <c r="D1164">
        <f t="shared" ref="D1164:D1227" ca="1" si="55">IF(MAX(B1164-$B$2)&lt;0,0,B1164-$B$2)</f>
        <v>0</v>
      </c>
    </row>
    <row r="1165" spans="2:4" x14ac:dyDescent="0.25">
      <c r="B1165">
        <f t="shared" ref="B1165:B1228" ca="1" si="56">$B$1*EXP((($B$4-($B$3^2)/2)*$B$5+$B$3*SQRT($B$5)*NORMSINV(RAND())))</f>
        <v>55629.919829623177</v>
      </c>
      <c r="C1165">
        <f t="shared" ca="1" si="54"/>
        <v>0</v>
      </c>
      <c r="D1165">
        <f t="shared" ca="1" si="55"/>
        <v>15629.919829623177</v>
      </c>
    </row>
    <row r="1166" spans="2:4" x14ac:dyDescent="0.25">
      <c r="B1166">
        <f t="shared" ca="1" si="56"/>
        <v>48480.277379627682</v>
      </c>
      <c r="C1166">
        <f t="shared" ca="1" si="54"/>
        <v>0</v>
      </c>
      <c r="D1166">
        <f t="shared" ca="1" si="55"/>
        <v>8480.2773796276815</v>
      </c>
    </row>
    <row r="1167" spans="2:4" x14ac:dyDescent="0.25">
      <c r="B1167">
        <f t="shared" ca="1" si="56"/>
        <v>41337.986964110962</v>
      </c>
      <c r="C1167">
        <f t="shared" ca="1" si="54"/>
        <v>0</v>
      </c>
      <c r="D1167">
        <f t="shared" ca="1" si="55"/>
        <v>1337.9869641109617</v>
      </c>
    </row>
    <row r="1168" spans="2:4" x14ac:dyDescent="0.25">
      <c r="B1168">
        <f t="shared" ca="1" si="56"/>
        <v>44361.723941686178</v>
      </c>
      <c r="C1168">
        <f t="shared" ca="1" si="54"/>
        <v>0</v>
      </c>
      <c r="D1168">
        <f t="shared" ca="1" si="55"/>
        <v>4361.7239416861776</v>
      </c>
    </row>
    <row r="1169" spans="2:4" x14ac:dyDescent="0.25">
      <c r="B1169">
        <f t="shared" ca="1" si="56"/>
        <v>45715.85376812223</v>
      </c>
      <c r="C1169">
        <f t="shared" ca="1" si="54"/>
        <v>0</v>
      </c>
      <c r="D1169">
        <f t="shared" ca="1" si="55"/>
        <v>5715.8537681222297</v>
      </c>
    </row>
    <row r="1170" spans="2:4" x14ac:dyDescent="0.25">
      <c r="B1170">
        <f t="shared" ca="1" si="56"/>
        <v>39404.793446398267</v>
      </c>
      <c r="C1170">
        <f t="shared" ca="1" si="54"/>
        <v>595.20655360173259</v>
      </c>
      <c r="D1170">
        <f t="shared" ca="1" si="55"/>
        <v>0</v>
      </c>
    </row>
    <row r="1171" spans="2:4" x14ac:dyDescent="0.25">
      <c r="B1171">
        <f t="shared" ca="1" si="56"/>
        <v>42435.714172775406</v>
      </c>
      <c r="C1171">
        <f t="shared" ca="1" si="54"/>
        <v>0</v>
      </c>
      <c r="D1171">
        <f t="shared" ca="1" si="55"/>
        <v>2435.714172775406</v>
      </c>
    </row>
    <row r="1172" spans="2:4" x14ac:dyDescent="0.25">
      <c r="B1172">
        <f t="shared" ca="1" si="56"/>
        <v>40714.291737262989</v>
      </c>
      <c r="C1172">
        <f t="shared" ca="1" si="54"/>
        <v>0</v>
      </c>
      <c r="D1172">
        <f t="shared" ca="1" si="55"/>
        <v>714.29173726298905</v>
      </c>
    </row>
    <row r="1173" spans="2:4" x14ac:dyDescent="0.25">
      <c r="B1173">
        <f t="shared" ca="1" si="56"/>
        <v>40104.024844631465</v>
      </c>
      <c r="C1173">
        <f t="shared" ca="1" si="54"/>
        <v>0</v>
      </c>
      <c r="D1173">
        <f t="shared" ca="1" si="55"/>
        <v>104.02484463146538</v>
      </c>
    </row>
    <row r="1174" spans="2:4" x14ac:dyDescent="0.25">
      <c r="B1174">
        <f t="shared" ca="1" si="56"/>
        <v>44183.16005841006</v>
      </c>
      <c r="C1174">
        <f t="shared" ca="1" si="54"/>
        <v>0</v>
      </c>
      <c r="D1174">
        <f t="shared" ca="1" si="55"/>
        <v>4183.1600584100597</v>
      </c>
    </row>
    <row r="1175" spans="2:4" x14ac:dyDescent="0.25">
      <c r="B1175">
        <f t="shared" ca="1" si="56"/>
        <v>46473.837563143359</v>
      </c>
      <c r="C1175">
        <f t="shared" ca="1" si="54"/>
        <v>0</v>
      </c>
      <c r="D1175">
        <f t="shared" ca="1" si="55"/>
        <v>6473.8375631433591</v>
      </c>
    </row>
    <row r="1176" spans="2:4" x14ac:dyDescent="0.25">
      <c r="B1176">
        <f t="shared" ca="1" si="56"/>
        <v>43272.042912597011</v>
      </c>
      <c r="C1176">
        <f t="shared" ca="1" si="54"/>
        <v>0</v>
      </c>
      <c r="D1176">
        <f t="shared" ca="1" si="55"/>
        <v>3272.0429125970113</v>
      </c>
    </row>
    <row r="1177" spans="2:4" x14ac:dyDescent="0.25">
      <c r="B1177">
        <f t="shared" ca="1" si="56"/>
        <v>40991.305299672051</v>
      </c>
      <c r="C1177">
        <f t="shared" ca="1" si="54"/>
        <v>0</v>
      </c>
      <c r="D1177">
        <f t="shared" ca="1" si="55"/>
        <v>991.30529967205075</v>
      </c>
    </row>
    <row r="1178" spans="2:4" x14ac:dyDescent="0.25">
      <c r="B1178">
        <f t="shared" ca="1" si="56"/>
        <v>49066.810531290575</v>
      </c>
      <c r="C1178">
        <f t="shared" ca="1" si="54"/>
        <v>0</v>
      </c>
      <c r="D1178">
        <f t="shared" ca="1" si="55"/>
        <v>9066.8105312905755</v>
      </c>
    </row>
    <row r="1179" spans="2:4" x14ac:dyDescent="0.25">
      <c r="B1179">
        <f t="shared" ca="1" si="56"/>
        <v>40883.617498355692</v>
      </c>
      <c r="C1179">
        <f t="shared" ca="1" si="54"/>
        <v>0</v>
      </c>
      <c r="D1179">
        <f t="shared" ca="1" si="55"/>
        <v>883.61749835569208</v>
      </c>
    </row>
    <row r="1180" spans="2:4" x14ac:dyDescent="0.25">
      <c r="B1180">
        <f t="shared" ca="1" si="56"/>
        <v>47652.232784573076</v>
      </c>
      <c r="C1180">
        <f t="shared" ca="1" si="54"/>
        <v>0</v>
      </c>
      <c r="D1180">
        <f t="shared" ca="1" si="55"/>
        <v>7652.2327845730761</v>
      </c>
    </row>
    <row r="1181" spans="2:4" x14ac:dyDescent="0.25">
      <c r="B1181">
        <f t="shared" ca="1" si="56"/>
        <v>48026.780605718268</v>
      </c>
      <c r="C1181">
        <f t="shared" ca="1" si="54"/>
        <v>0</v>
      </c>
      <c r="D1181">
        <f t="shared" ca="1" si="55"/>
        <v>8026.7806057182679</v>
      </c>
    </row>
    <row r="1182" spans="2:4" x14ac:dyDescent="0.25">
      <c r="B1182">
        <f t="shared" ca="1" si="56"/>
        <v>42700.229649457629</v>
      </c>
      <c r="C1182">
        <f t="shared" ca="1" si="54"/>
        <v>0</v>
      </c>
      <c r="D1182">
        <f t="shared" ca="1" si="55"/>
        <v>2700.2296494576294</v>
      </c>
    </row>
    <row r="1183" spans="2:4" x14ac:dyDescent="0.25">
      <c r="B1183">
        <f t="shared" ca="1" si="56"/>
        <v>44214.05890735564</v>
      </c>
      <c r="C1183">
        <f t="shared" ca="1" si="54"/>
        <v>0</v>
      </c>
      <c r="D1183">
        <f t="shared" ca="1" si="55"/>
        <v>4214.0589073556403</v>
      </c>
    </row>
    <row r="1184" spans="2:4" x14ac:dyDescent="0.25">
      <c r="B1184">
        <f t="shared" ca="1" si="56"/>
        <v>48182.280394783469</v>
      </c>
      <c r="C1184">
        <f t="shared" ca="1" si="54"/>
        <v>0</v>
      </c>
      <c r="D1184">
        <f t="shared" ca="1" si="55"/>
        <v>8182.2803947834691</v>
      </c>
    </row>
    <row r="1185" spans="2:4" x14ac:dyDescent="0.25">
      <c r="B1185">
        <f t="shared" ca="1" si="56"/>
        <v>40049.58950578871</v>
      </c>
      <c r="C1185">
        <f t="shared" ca="1" si="54"/>
        <v>0</v>
      </c>
      <c r="D1185">
        <f t="shared" ca="1" si="55"/>
        <v>49.589505788710085</v>
      </c>
    </row>
    <row r="1186" spans="2:4" x14ac:dyDescent="0.25">
      <c r="B1186">
        <f t="shared" ca="1" si="56"/>
        <v>46778.657554456651</v>
      </c>
      <c r="C1186">
        <f t="shared" ca="1" si="54"/>
        <v>0</v>
      </c>
      <c r="D1186">
        <f t="shared" ca="1" si="55"/>
        <v>6778.6575544566513</v>
      </c>
    </row>
    <row r="1187" spans="2:4" x14ac:dyDescent="0.25">
      <c r="B1187">
        <f t="shared" ca="1" si="56"/>
        <v>41729.793378383649</v>
      </c>
      <c r="C1187">
        <f t="shared" ca="1" si="54"/>
        <v>0</v>
      </c>
      <c r="D1187">
        <f t="shared" ca="1" si="55"/>
        <v>1729.7933783836488</v>
      </c>
    </row>
    <row r="1188" spans="2:4" x14ac:dyDescent="0.25">
      <c r="B1188">
        <f t="shared" ca="1" si="56"/>
        <v>50089.70560816017</v>
      </c>
      <c r="C1188">
        <f t="shared" ca="1" si="54"/>
        <v>0</v>
      </c>
      <c r="D1188">
        <f t="shared" ca="1" si="55"/>
        <v>10089.70560816017</v>
      </c>
    </row>
    <row r="1189" spans="2:4" x14ac:dyDescent="0.25">
      <c r="B1189">
        <f t="shared" ca="1" si="56"/>
        <v>50983.287135567429</v>
      </c>
      <c r="C1189">
        <f t="shared" ca="1" si="54"/>
        <v>0</v>
      </c>
      <c r="D1189">
        <f t="shared" ca="1" si="55"/>
        <v>10983.287135567429</v>
      </c>
    </row>
    <row r="1190" spans="2:4" x14ac:dyDescent="0.25">
      <c r="B1190">
        <f t="shared" ca="1" si="56"/>
        <v>37485.856430775289</v>
      </c>
      <c r="C1190">
        <f t="shared" ca="1" si="54"/>
        <v>2514.1435692247105</v>
      </c>
      <c r="D1190">
        <f t="shared" ca="1" si="55"/>
        <v>0</v>
      </c>
    </row>
    <row r="1191" spans="2:4" x14ac:dyDescent="0.25">
      <c r="B1191">
        <f t="shared" ca="1" si="56"/>
        <v>46405.088200689526</v>
      </c>
      <c r="C1191">
        <f t="shared" ca="1" si="54"/>
        <v>0</v>
      </c>
      <c r="D1191">
        <f t="shared" ca="1" si="55"/>
        <v>6405.0882006895263</v>
      </c>
    </row>
    <row r="1192" spans="2:4" x14ac:dyDescent="0.25">
      <c r="B1192">
        <f t="shared" ca="1" si="56"/>
        <v>46325.647785871326</v>
      </c>
      <c r="C1192">
        <f t="shared" ca="1" si="54"/>
        <v>0</v>
      </c>
      <c r="D1192">
        <f t="shared" ca="1" si="55"/>
        <v>6325.6477858713261</v>
      </c>
    </row>
    <row r="1193" spans="2:4" x14ac:dyDescent="0.25">
      <c r="B1193">
        <f t="shared" ca="1" si="56"/>
        <v>46115.192409678297</v>
      </c>
      <c r="C1193">
        <f t="shared" ca="1" si="54"/>
        <v>0</v>
      </c>
      <c r="D1193">
        <f t="shared" ca="1" si="55"/>
        <v>6115.1924096782968</v>
      </c>
    </row>
    <row r="1194" spans="2:4" x14ac:dyDescent="0.25">
      <c r="B1194">
        <f t="shared" ca="1" si="56"/>
        <v>46093.142770450708</v>
      </c>
      <c r="C1194">
        <f t="shared" ca="1" si="54"/>
        <v>0</v>
      </c>
      <c r="D1194">
        <f t="shared" ca="1" si="55"/>
        <v>6093.1427704507078</v>
      </c>
    </row>
    <row r="1195" spans="2:4" x14ac:dyDescent="0.25">
      <c r="B1195">
        <f t="shared" ca="1" si="56"/>
        <v>47951.452568813045</v>
      </c>
      <c r="C1195">
        <f t="shared" ca="1" si="54"/>
        <v>0</v>
      </c>
      <c r="D1195">
        <f t="shared" ca="1" si="55"/>
        <v>7951.4525688130452</v>
      </c>
    </row>
    <row r="1196" spans="2:4" x14ac:dyDescent="0.25">
      <c r="B1196">
        <f t="shared" ca="1" si="56"/>
        <v>55745.073943788106</v>
      </c>
      <c r="C1196">
        <f t="shared" ca="1" si="54"/>
        <v>0</v>
      </c>
      <c r="D1196">
        <f t="shared" ca="1" si="55"/>
        <v>15745.073943788106</v>
      </c>
    </row>
    <row r="1197" spans="2:4" x14ac:dyDescent="0.25">
      <c r="B1197">
        <f t="shared" ca="1" si="56"/>
        <v>38510.65542345788</v>
      </c>
      <c r="C1197">
        <f t="shared" ca="1" si="54"/>
        <v>1489.3445765421202</v>
      </c>
      <c r="D1197">
        <f t="shared" ca="1" si="55"/>
        <v>0</v>
      </c>
    </row>
    <row r="1198" spans="2:4" x14ac:dyDescent="0.25">
      <c r="B1198">
        <f t="shared" ca="1" si="56"/>
        <v>50978.829870966292</v>
      </c>
      <c r="C1198">
        <f t="shared" ca="1" si="54"/>
        <v>0</v>
      </c>
      <c r="D1198">
        <f t="shared" ca="1" si="55"/>
        <v>10978.829870966292</v>
      </c>
    </row>
    <row r="1199" spans="2:4" x14ac:dyDescent="0.25">
      <c r="B1199">
        <f t="shared" ca="1" si="56"/>
        <v>40080.38739038624</v>
      </c>
      <c r="C1199">
        <f t="shared" ca="1" si="54"/>
        <v>0</v>
      </c>
      <c r="D1199">
        <f t="shared" ca="1" si="55"/>
        <v>80.38739038624044</v>
      </c>
    </row>
    <row r="1200" spans="2:4" x14ac:dyDescent="0.25">
      <c r="B1200">
        <f t="shared" ca="1" si="56"/>
        <v>41665.234954030093</v>
      </c>
      <c r="C1200">
        <f t="shared" ca="1" si="54"/>
        <v>0</v>
      </c>
      <c r="D1200">
        <f t="shared" ca="1" si="55"/>
        <v>1665.2349540300929</v>
      </c>
    </row>
    <row r="1201" spans="2:4" x14ac:dyDescent="0.25">
      <c r="B1201">
        <f t="shared" ca="1" si="56"/>
        <v>47596.726478995668</v>
      </c>
      <c r="C1201">
        <f t="shared" ca="1" si="54"/>
        <v>0</v>
      </c>
      <c r="D1201">
        <f t="shared" ca="1" si="55"/>
        <v>7596.726478995668</v>
      </c>
    </row>
    <row r="1202" spans="2:4" x14ac:dyDescent="0.25">
      <c r="B1202">
        <f t="shared" ca="1" si="56"/>
        <v>49156.323949651574</v>
      </c>
      <c r="C1202">
        <f t="shared" ca="1" si="54"/>
        <v>0</v>
      </c>
      <c r="D1202">
        <f t="shared" ca="1" si="55"/>
        <v>9156.3239496515744</v>
      </c>
    </row>
    <row r="1203" spans="2:4" x14ac:dyDescent="0.25">
      <c r="B1203">
        <f t="shared" ca="1" si="56"/>
        <v>51830.639017103764</v>
      </c>
      <c r="C1203">
        <f t="shared" ca="1" si="54"/>
        <v>0</v>
      </c>
      <c r="D1203">
        <f t="shared" ca="1" si="55"/>
        <v>11830.639017103764</v>
      </c>
    </row>
    <row r="1204" spans="2:4" x14ac:dyDescent="0.25">
      <c r="B1204">
        <f t="shared" ca="1" si="56"/>
        <v>42294.434258050162</v>
      </c>
      <c r="C1204">
        <f t="shared" ca="1" si="54"/>
        <v>0</v>
      </c>
      <c r="D1204">
        <f t="shared" ca="1" si="55"/>
        <v>2294.4342580501616</v>
      </c>
    </row>
    <row r="1205" spans="2:4" x14ac:dyDescent="0.25">
      <c r="B1205">
        <f t="shared" ca="1" si="56"/>
        <v>48483.095238017508</v>
      </c>
      <c r="C1205">
        <f t="shared" ca="1" si="54"/>
        <v>0</v>
      </c>
      <c r="D1205">
        <f t="shared" ca="1" si="55"/>
        <v>8483.0952380175077</v>
      </c>
    </row>
    <row r="1206" spans="2:4" x14ac:dyDescent="0.25">
      <c r="B1206">
        <f t="shared" ca="1" si="56"/>
        <v>43570.111967756915</v>
      </c>
      <c r="C1206">
        <f t="shared" ca="1" si="54"/>
        <v>0</v>
      </c>
      <c r="D1206">
        <f t="shared" ca="1" si="55"/>
        <v>3570.111967756915</v>
      </c>
    </row>
    <row r="1207" spans="2:4" x14ac:dyDescent="0.25">
      <c r="B1207">
        <f t="shared" ca="1" si="56"/>
        <v>42492.869035346106</v>
      </c>
      <c r="C1207">
        <f t="shared" ca="1" si="54"/>
        <v>0</v>
      </c>
      <c r="D1207">
        <f t="shared" ca="1" si="55"/>
        <v>2492.8690353461061</v>
      </c>
    </row>
    <row r="1208" spans="2:4" x14ac:dyDescent="0.25">
      <c r="B1208">
        <f t="shared" ca="1" si="56"/>
        <v>46113.08880654486</v>
      </c>
      <c r="C1208">
        <f t="shared" ca="1" si="54"/>
        <v>0</v>
      </c>
      <c r="D1208">
        <f t="shared" ca="1" si="55"/>
        <v>6113.0888065448598</v>
      </c>
    </row>
    <row r="1209" spans="2:4" x14ac:dyDescent="0.25">
      <c r="B1209">
        <f t="shared" ca="1" si="56"/>
        <v>42327.497870041632</v>
      </c>
      <c r="C1209">
        <f t="shared" ca="1" si="54"/>
        <v>0</v>
      </c>
      <c r="D1209">
        <f t="shared" ca="1" si="55"/>
        <v>2327.4978700416323</v>
      </c>
    </row>
    <row r="1210" spans="2:4" x14ac:dyDescent="0.25">
      <c r="B1210">
        <f t="shared" ca="1" si="56"/>
        <v>55265.243592370287</v>
      </c>
      <c r="C1210">
        <f t="shared" ca="1" si="54"/>
        <v>0</v>
      </c>
      <c r="D1210">
        <f t="shared" ca="1" si="55"/>
        <v>15265.243592370287</v>
      </c>
    </row>
    <row r="1211" spans="2:4" x14ac:dyDescent="0.25">
      <c r="B1211">
        <f t="shared" ca="1" si="56"/>
        <v>46776.656334676634</v>
      </c>
      <c r="C1211">
        <f t="shared" ca="1" si="54"/>
        <v>0</v>
      </c>
      <c r="D1211">
        <f t="shared" ca="1" si="55"/>
        <v>6776.6563346766343</v>
      </c>
    </row>
    <row r="1212" spans="2:4" x14ac:dyDescent="0.25">
      <c r="B1212">
        <f t="shared" ca="1" si="56"/>
        <v>47678.28710824038</v>
      </c>
      <c r="C1212">
        <f t="shared" ca="1" si="54"/>
        <v>0</v>
      </c>
      <c r="D1212">
        <f t="shared" ca="1" si="55"/>
        <v>7678.2871082403799</v>
      </c>
    </row>
    <row r="1213" spans="2:4" x14ac:dyDescent="0.25">
      <c r="B1213">
        <f t="shared" ca="1" si="56"/>
        <v>43687.596794375102</v>
      </c>
      <c r="C1213">
        <f t="shared" ca="1" si="54"/>
        <v>0</v>
      </c>
      <c r="D1213">
        <f t="shared" ca="1" si="55"/>
        <v>3687.596794375102</v>
      </c>
    </row>
    <row r="1214" spans="2:4" x14ac:dyDescent="0.25">
      <c r="B1214">
        <f t="shared" ca="1" si="56"/>
        <v>45626.160853019668</v>
      </c>
      <c r="C1214">
        <f t="shared" ca="1" si="54"/>
        <v>0</v>
      </c>
      <c r="D1214">
        <f t="shared" ca="1" si="55"/>
        <v>5626.1608530196681</v>
      </c>
    </row>
    <row r="1215" spans="2:4" x14ac:dyDescent="0.25">
      <c r="B1215">
        <f t="shared" ca="1" si="56"/>
        <v>44521.315908284618</v>
      </c>
      <c r="C1215">
        <f t="shared" ca="1" si="54"/>
        <v>0</v>
      </c>
      <c r="D1215">
        <f t="shared" ca="1" si="55"/>
        <v>4521.3159082846178</v>
      </c>
    </row>
    <row r="1216" spans="2:4" x14ac:dyDescent="0.25">
      <c r="B1216">
        <f t="shared" ca="1" si="56"/>
        <v>52942.032083758815</v>
      </c>
      <c r="C1216">
        <f t="shared" ca="1" si="54"/>
        <v>0</v>
      </c>
      <c r="D1216">
        <f t="shared" ca="1" si="55"/>
        <v>12942.032083758815</v>
      </c>
    </row>
    <row r="1217" spans="2:4" x14ac:dyDescent="0.25">
      <c r="B1217">
        <f t="shared" ca="1" si="56"/>
        <v>50242.467130956822</v>
      </c>
      <c r="C1217">
        <f t="shared" ca="1" si="54"/>
        <v>0</v>
      </c>
      <c r="D1217">
        <f t="shared" ca="1" si="55"/>
        <v>10242.467130956822</v>
      </c>
    </row>
    <row r="1218" spans="2:4" x14ac:dyDescent="0.25">
      <c r="B1218">
        <f t="shared" ca="1" si="56"/>
        <v>45889.066766563832</v>
      </c>
      <c r="C1218">
        <f t="shared" ca="1" si="54"/>
        <v>0</v>
      </c>
      <c r="D1218">
        <f t="shared" ca="1" si="55"/>
        <v>5889.0667665638321</v>
      </c>
    </row>
    <row r="1219" spans="2:4" x14ac:dyDescent="0.25">
      <c r="B1219">
        <f t="shared" ca="1" si="56"/>
        <v>42714.758863948402</v>
      </c>
      <c r="C1219">
        <f t="shared" ca="1" si="54"/>
        <v>0</v>
      </c>
      <c r="D1219">
        <f t="shared" ca="1" si="55"/>
        <v>2714.758863948402</v>
      </c>
    </row>
    <row r="1220" spans="2:4" x14ac:dyDescent="0.25">
      <c r="B1220">
        <f t="shared" ca="1" si="56"/>
        <v>48720.252042602442</v>
      </c>
      <c r="C1220">
        <f t="shared" ca="1" si="54"/>
        <v>0</v>
      </c>
      <c r="D1220">
        <f t="shared" ca="1" si="55"/>
        <v>8720.2520426024421</v>
      </c>
    </row>
    <row r="1221" spans="2:4" x14ac:dyDescent="0.25">
      <c r="B1221">
        <f t="shared" ca="1" si="56"/>
        <v>50324.705708716698</v>
      </c>
      <c r="C1221">
        <f t="shared" ca="1" si="54"/>
        <v>0</v>
      </c>
      <c r="D1221">
        <f t="shared" ca="1" si="55"/>
        <v>10324.705708716698</v>
      </c>
    </row>
    <row r="1222" spans="2:4" x14ac:dyDescent="0.25">
      <c r="B1222">
        <f t="shared" ca="1" si="56"/>
        <v>52632.050465917324</v>
      </c>
      <c r="C1222">
        <f t="shared" ca="1" si="54"/>
        <v>0</v>
      </c>
      <c r="D1222">
        <f t="shared" ca="1" si="55"/>
        <v>12632.050465917324</v>
      </c>
    </row>
    <row r="1223" spans="2:4" x14ac:dyDescent="0.25">
      <c r="B1223">
        <f t="shared" ca="1" si="56"/>
        <v>41006.306591360953</v>
      </c>
      <c r="C1223">
        <f t="shared" ca="1" si="54"/>
        <v>0</v>
      </c>
      <c r="D1223">
        <f t="shared" ca="1" si="55"/>
        <v>1006.3065913609535</v>
      </c>
    </row>
    <row r="1224" spans="2:4" x14ac:dyDescent="0.25">
      <c r="B1224">
        <f t="shared" ca="1" si="56"/>
        <v>42713.202102140975</v>
      </c>
      <c r="C1224">
        <f t="shared" ca="1" si="54"/>
        <v>0</v>
      </c>
      <c r="D1224">
        <f t="shared" ca="1" si="55"/>
        <v>2713.2021021409746</v>
      </c>
    </row>
    <row r="1225" spans="2:4" x14ac:dyDescent="0.25">
      <c r="B1225">
        <f t="shared" ca="1" si="56"/>
        <v>43671.78029143282</v>
      </c>
      <c r="C1225">
        <f t="shared" ca="1" si="54"/>
        <v>0</v>
      </c>
      <c r="D1225">
        <f t="shared" ca="1" si="55"/>
        <v>3671.7802914328204</v>
      </c>
    </row>
    <row r="1226" spans="2:4" x14ac:dyDescent="0.25">
      <c r="B1226">
        <f t="shared" ca="1" si="56"/>
        <v>42366.168218498249</v>
      </c>
      <c r="C1226">
        <f t="shared" ca="1" si="54"/>
        <v>0</v>
      </c>
      <c r="D1226">
        <f t="shared" ca="1" si="55"/>
        <v>2366.1682184982492</v>
      </c>
    </row>
    <row r="1227" spans="2:4" x14ac:dyDescent="0.25">
      <c r="B1227">
        <f t="shared" ca="1" si="56"/>
        <v>42353.742112998843</v>
      </c>
      <c r="C1227">
        <f t="shared" ca="1" si="54"/>
        <v>0</v>
      </c>
      <c r="D1227">
        <f t="shared" ca="1" si="55"/>
        <v>2353.7421129988434</v>
      </c>
    </row>
    <row r="1228" spans="2:4" x14ac:dyDescent="0.25">
      <c r="B1228">
        <f t="shared" ca="1" si="56"/>
        <v>42919.166427726093</v>
      </c>
      <c r="C1228">
        <f t="shared" ref="C1228:C1291" ca="1" si="57">IF(MAX($B$2-B1228)&lt;0,0,$B$2-B1228)</f>
        <v>0</v>
      </c>
      <c r="D1228">
        <f t="shared" ref="D1228:D1291" ca="1" si="58">IF(MAX(B1228-$B$2)&lt;0,0,B1228-$B$2)</f>
        <v>2919.1664277260934</v>
      </c>
    </row>
    <row r="1229" spans="2:4" x14ac:dyDescent="0.25">
      <c r="B1229">
        <f t="shared" ref="B1229:B1292" ca="1" si="59">$B$1*EXP((($B$4-($B$3^2)/2)*$B$5+$B$3*SQRT($B$5)*NORMSINV(RAND())))</f>
        <v>39842.383449629226</v>
      </c>
      <c r="C1229">
        <f t="shared" ca="1" si="57"/>
        <v>157.61655037077435</v>
      </c>
      <c r="D1229">
        <f t="shared" ca="1" si="58"/>
        <v>0</v>
      </c>
    </row>
    <row r="1230" spans="2:4" x14ac:dyDescent="0.25">
      <c r="B1230">
        <f t="shared" ca="1" si="59"/>
        <v>40803.349220209435</v>
      </c>
      <c r="C1230">
        <f t="shared" ca="1" si="57"/>
        <v>0</v>
      </c>
      <c r="D1230">
        <f t="shared" ca="1" si="58"/>
        <v>803.34922020943486</v>
      </c>
    </row>
    <row r="1231" spans="2:4" x14ac:dyDescent="0.25">
      <c r="B1231">
        <f t="shared" ca="1" si="59"/>
        <v>40728.710712030057</v>
      </c>
      <c r="C1231">
        <f t="shared" ca="1" si="57"/>
        <v>0</v>
      </c>
      <c r="D1231">
        <f t="shared" ca="1" si="58"/>
        <v>728.71071203005704</v>
      </c>
    </row>
    <row r="1232" spans="2:4" x14ac:dyDescent="0.25">
      <c r="B1232">
        <f t="shared" ca="1" si="59"/>
        <v>43059.628824380176</v>
      </c>
      <c r="C1232">
        <f t="shared" ca="1" si="57"/>
        <v>0</v>
      </c>
      <c r="D1232">
        <f t="shared" ca="1" si="58"/>
        <v>3059.6288243801755</v>
      </c>
    </row>
    <row r="1233" spans="2:4" x14ac:dyDescent="0.25">
      <c r="B1233">
        <f t="shared" ca="1" si="59"/>
        <v>46017.527049028875</v>
      </c>
      <c r="C1233">
        <f t="shared" ca="1" si="57"/>
        <v>0</v>
      </c>
      <c r="D1233">
        <f t="shared" ca="1" si="58"/>
        <v>6017.5270490288749</v>
      </c>
    </row>
    <row r="1234" spans="2:4" x14ac:dyDescent="0.25">
      <c r="B1234">
        <f t="shared" ca="1" si="59"/>
        <v>40922.73653343464</v>
      </c>
      <c r="C1234">
        <f t="shared" ca="1" si="57"/>
        <v>0</v>
      </c>
      <c r="D1234">
        <f t="shared" ca="1" si="58"/>
        <v>922.73653343463957</v>
      </c>
    </row>
    <row r="1235" spans="2:4" x14ac:dyDescent="0.25">
      <c r="B1235">
        <f t="shared" ca="1" si="59"/>
        <v>43597.361579767872</v>
      </c>
      <c r="C1235">
        <f t="shared" ca="1" si="57"/>
        <v>0</v>
      </c>
      <c r="D1235">
        <f t="shared" ca="1" si="58"/>
        <v>3597.3615797678722</v>
      </c>
    </row>
    <row r="1236" spans="2:4" x14ac:dyDescent="0.25">
      <c r="B1236">
        <f t="shared" ca="1" si="59"/>
        <v>46735.439610120098</v>
      </c>
      <c r="C1236">
        <f t="shared" ca="1" si="57"/>
        <v>0</v>
      </c>
      <c r="D1236">
        <f t="shared" ca="1" si="58"/>
        <v>6735.4396101200982</v>
      </c>
    </row>
    <row r="1237" spans="2:4" x14ac:dyDescent="0.25">
      <c r="B1237">
        <f t="shared" ca="1" si="59"/>
        <v>54141.556537868462</v>
      </c>
      <c r="C1237">
        <f t="shared" ca="1" si="57"/>
        <v>0</v>
      </c>
      <c r="D1237">
        <f t="shared" ca="1" si="58"/>
        <v>14141.556537868462</v>
      </c>
    </row>
    <row r="1238" spans="2:4" x14ac:dyDescent="0.25">
      <c r="B1238">
        <f t="shared" ca="1" si="59"/>
        <v>33718.707123055065</v>
      </c>
      <c r="C1238">
        <f t="shared" ca="1" si="57"/>
        <v>6281.2928769449354</v>
      </c>
      <c r="D1238">
        <f t="shared" ca="1" si="58"/>
        <v>0</v>
      </c>
    </row>
    <row r="1239" spans="2:4" x14ac:dyDescent="0.25">
      <c r="B1239">
        <f t="shared" ca="1" si="59"/>
        <v>50716.701277149034</v>
      </c>
      <c r="C1239">
        <f t="shared" ca="1" si="57"/>
        <v>0</v>
      </c>
      <c r="D1239">
        <f t="shared" ca="1" si="58"/>
        <v>10716.701277149034</v>
      </c>
    </row>
    <row r="1240" spans="2:4" x14ac:dyDescent="0.25">
      <c r="B1240">
        <f t="shared" ca="1" si="59"/>
        <v>46774.793451083468</v>
      </c>
      <c r="C1240">
        <f t="shared" ca="1" si="57"/>
        <v>0</v>
      </c>
      <c r="D1240">
        <f t="shared" ca="1" si="58"/>
        <v>6774.7934510834675</v>
      </c>
    </row>
    <row r="1241" spans="2:4" x14ac:dyDescent="0.25">
      <c r="B1241">
        <f t="shared" ca="1" si="59"/>
        <v>38971.698621126096</v>
      </c>
      <c r="C1241">
        <f t="shared" ca="1" si="57"/>
        <v>1028.3013788739045</v>
      </c>
      <c r="D1241">
        <f t="shared" ca="1" si="58"/>
        <v>0</v>
      </c>
    </row>
    <row r="1242" spans="2:4" x14ac:dyDescent="0.25">
      <c r="B1242">
        <f t="shared" ca="1" si="59"/>
        <v>47176.595790309446</v>
      </c>
      <c r="C1242">
        <f t="shared" ca="1" si="57"/>
        <v>0</v>
      </c>
      <c r="D1242">
        <f t="shared" ca="1" si="58"/>
        <v>7176.5957903094459</v>
      </c>
    </row>
    <row r="1243" spans="2:4" x14ac:dyDescent="0.25">
      <c r="B1243">
        <f t="shared" ca="1" si="59"/>
        <v>46252.524972249805</v>
      </c>
      <c r="C1243">
        <f t="shared" ca="1" si="57"/>
        <v>0</v>
      </c>
      <c r="D1243">
        <f t="shared" ca="1" si="58"/>
        <v>6252.5249722498047</v>
      </c>
    </row>
    <row r="1244" spans="2:4" x14ac:dyDescent="0.25">
      <c r="B1244">
        <f t="shared" ca="1" si="59"/>
        <v>47922.038347583788</v>
      </c>
      <c r="C1244">
        <f t="shared" ca="1" si="57"/>
        <v>0</v>
      </c>
      <c r="D1244">
        <f t="shared" ca="1" si="58"/>
        <v>7922.038347583788</v>
      </c>
    </row>
    <row r="1245" spans="2:4" x14ac:dyDescent="0.25">
      <c r="B1245">
        <f t="shared" ca="1" si="59"/>
        <v>38603.694966738614</v>
      </c>
      <c r="C1245">
        <f t="shared" ca="1" si="57"/>
        <v>1396.3050332613857</v>
      </c>
      <c r="D1245">
        <f t="shared" ca="1" si="58"/>
        <v>0</v>
      </c>
    </row>
    <row r="1246" spans="2:4" x14ac:dyDescent="0.25">
      <c r="B1246">
        <f t="shared" ca="1" si="59"/>
        <v>40941.273130027628</v>
      </c>
      <c r="C1246">
        <f t="shared" ca="1" si="57"/>
        <v>0</v>
      </c>
      <c r="D1246">
        <f t="shared" ca="1" si="58"/>
        <v>941.27313002762821</v>
      </c>
    </row>
    <row r="1247" spans="2:4" x14ac:dyDescent="0.25">
      <c r="B1247">
        <f t="shared" ca="1" si="59"/>
        <v>42114.037290629218</v>
      </c>
      <c r="C1247">
        <f t="shared" ca="1" si="57"/>
        <v>0</v>
      </c>
      <c r="D1247">
        <f t="shared" ca="1" si="58"/>
        <v>2114.0372906292178</v>
      </c>
    </row>
    <row r="1248" spans="2:4" x14ac:dyDescent="0.25">
      <c r="B1248">
        <f t="shared" ca="1" si="59"/>
        <v>42442.04483231849</v>
      </c>
      <c r="C1248">
        <f t="shared" ca="1" si="57"/>
        <v>0</v>
      </c>
      <c r="D1248">
        <f t="shared" ca="1" si="58"/>
        <v>2442.0448323184901</v>
      </c>
    </row>
    <row r="1249" spans="2:4" x14ac:dyDescent="0.25">
      <c r="B1249">
        <f t="shared" ca="1" si="59"/>
        <v>43721.759339881159</v>
      </c>
      <c r="C1249">
        <f t="shared" ca="1" si="57"/>
        <v>0</v>
      </c>
      <c r="D1249">
        <f t="shared" ca="1" si="58"/>
        <v>3721.7593398811587</v>
      </c>
    </row>
    <row r="1250" spans="2:4" x14ac:dyDescent="0.25">
      <c r="B1250">
        <f t="shared" ca="1" si="59"/>
        <v>38936.740480591143</v>
      </c>
      <c r="C1250">
        <f t="shared" ca="1" si="57"/>
        <v>1063.2595194088572</v>
      </c>
      <c r="D1250">
        <f t="shared" ca="1" si="58"/>
        <v>0</v>
      </c>
    </row>
    <row r="1251" spans="2:4" x14ac:dyDescent="0.25">
      <c r="B1251">
        <f t="shared" ca="1" si="59"/>
        <v>43152.378874239766</v>
      </c>
      <c r="C1251">
        <f t="shared" ca="1" si="57"/>
        <v>0</v>
      </c>
      <c r="D1251">
        <f t="shared" ca="1" si="58"/>
        <v>3152.3788742397664</v>
      </c>
    </row>
    <row r="1252" spans="2:4" x14ac:dyDescent="0.25">
      <c r="B1252">
        <f t="shared" ca="1" si="59"/>
        <v>47855.728369197917</v>
      </c>
      <c r="C1252">
        <f t="shared" ca="1" si="57"/>
        <v>0</v>
      </c>
      <c r="D1252">
        <f t="shared" ca="1" si="58"/>
        <v>7855.7283691979173</v>
      </c>
    </row>
    <row r="1253" spans="2:4" x14ac:dyDescent="0.25">
      <c r="B1253">
        <f t="shared" ca="1" si="59"/>
        <v>42863.974889850608</v>
      </c>
      <c r="C1253">
        <f t="shared" ca="1" si="57"/>
        <v>0</v>
      </c>
      <c r="D1253">
        <f t="shared" ca="1" si="58"/>
        <v>2863.9748898506077</v>
      </c>
    </row>
    <row r="1254" spans="2:4" x14ac:dyDescent="0.25">
      <c r="B1254">
        <f t="shared" ca="1" si="59"/>
        <v>40450.778976248475</v>
      </c>
      <c r="C1254">
        <f t="shared" ca="1" si="57"/>
        <v>0</v>
      </c>
      <c r="D1254">
        <f t="shared" ca="1" si="58"/>
        <v>450.77897624847537</v>
      </c>
    </row>
    <row r="1255" spans="2:4" x14ac:dyDescent="0.25">
      <c r="B1255">
        <f t="shared" ca="1" si="59"/>
        <v>49262.220762342702</v>
      </c>
      <c r="C1255">
        <f t="shared" ca="1" si="57"/>
        <v>0</v>
      </c>
      <c r="D1255">
        <f t="shared" ca="1" si="58"/>
        <v>9262.2207623427021</v>
      </c>
    </row>
    <row r="1256" spans="2:4" x14ac:dyDescent="0.25">
      <c r="B1256">
        <f t="shared" ca="1" si="59"/>
        <v>45943.892781536437</v>
      </c>
      <c r="C1256">
        <f t="shared" ca="1" si="57"/>
        <v>0</v>
      </c>
      <c r="D1256">
        <f t="shared" ca="1" si="58"/>
        <v>5943.8927815364368</v>
      </c>
    </row>
    <row r="1257" spans="2:4" x14ac:dyDescent="0.25">
      <c r="B1257">
        <f t="shared" ca="1" si="59"/>
        <v>44103.187899508157</v>
      </c>
      <c r="C1257">
        <f t="shared" ca="1" si="57"/>
        <v>0</v>
      </c>
      <c r="D1257">
        <f t="shared" ca="1" si="58"/>
        <v>4103.187899508157</v>
      </c>
    </row>
    <row r="1258" spans="2:4" x14ac:dyDescent="0.25">
      <c r="B1258">
        <f t="shared" ca="1" si="59"/>
        <v>51169.251914734938</v>
      </c>
      <c r="C1258">
        <f t="shared" ca="1" si="57"/>
        <v>0</v>
      </c>
      <c r="D1258">
        <f t="shared" ca="1" si="58"/>
        <v>11169.251914734938</v>
      </c>
    </row>
    <row r="1259" spans="2:4" x14ac:dyDescent="0.25">
      <c r="B1259">
        <f t="shared" ca="1" si="59"/>
        <v>38381.554882328193</v>
      </c>
      <c r="C1259">
        <f t="shared" ca="1" si="57"/>
        <v>1618.4451176718067</v>
      </c>
      <c r="D1259">
        <f t="shared" ca="1" si="58"/>
        <v>0</v>
      </c>
    </row>
    <row r="1260" spans="2:4" x14ac:dyDescent="0.25">
      <c r="B1260">
        <f t="shared" ca="1" si="59"/>
        <v>40826.909300789135</v>
      </c>
      <c r="C1260">
        <f t="shared" ca="1" si="57"/>
        <v>0</v>
      </c>
      <c r="D1260">
        <f t="shared" ca="1" si="58"/>
        <v>826.90930078913516</v>
      </c>
    </row>
    <row r="1261" spans="2:4" x14ac:dyDescent="0.25">
      <c r="B1261">
        <f t="shared" ca="1" si="59"/>
        <v>47412.216851165133</v>
      </c>
      <c r="C1261">
        <f t="shared" ca="1" si="57"/>
        <v>0</v>
      </c>
      <c r="D1261">
        <f t="shared" ca="1" si="58"/>
        <v>7412.2168511651325</v>
      </c>
    </row>
    <row r="1262" spans="2:4" x14ac:dyDescent="0.25">
      <c r="B1262">
        <f t="shared" ca="1" si="59"/>
        <v>41178.996544316491</v>
      </c>
      <c r="C1262">
        <f t="shared" ca="1" si="57"/>
        <v>0</v>
      </c>
      <c r="D1262">
        <f t="shared" ca="1" si="58"/>
        <v>1178.9965443164911</v>
      </c>
    </row>
    <row r="1263" spans="2:4" x14ac:dyDescent="0.25">
      <c r="B1263">
        <f t="shared" ca="1" si="59"/>
        <v>37391.877756152302</v>
      </c>
      <c r="C1263">
        <f t="shared" ca="1" si="57"/>
        <v>2608.122243847698</v>
      </c>
      <c r="D1263">
        <f t="shared" ca="1" si="58"/>
        <v>0</v>
      </c>
    </row>
    <row r="1264" spans="2:4" x14ac:dyDescent="0.25">
      <c r="B1264">
        <f t="shared" ca="1" si="59"/>
        <v>46703.182846936354</v>
      </c>
      <c r="C1264">
        <f t="shared" ca="1" si="57"/>
        <v>0</v>
      </c>
      <c r="D1264">
        <f t="shared" ca="1" si="58"/>
        <v>6703.1828469363536</v>
      </c>
    </row>
    <row r="1265" spans="2:4" x14ac:dyDescent="0.25">
      <c r="B1265">
        <f t="shared" ca="1" si="59"/>
        <v>44370.628810490416</v>
      </c>
      <c r="C1265">
        <f t="shared" ca="1" si="57"/>
        <v>0</v>
      </c>
      <c r="D1265">
        <f t="shared" ca="1" si="58"/>
        <v>4370.6288104904161</v>
      </c>
    </row>
    <row r="1266" spans="2:4" x14ac:dyDescent="0.25">
      <c r="B1266">
        <f t="shared" ca="1" si="59"/>
        <v>37332.338015248773</v>
      </c>
      <c r="C1266">
        <f t="shared" ca="1" si="57"/>
        <v>2667.6619847512266</v>
      </c>
      <c r="D1266">
        <f t="shared" ca="1" si="58"/>
        <v>0</v>
      </c>
    </row>
    <row r="1267" spans="2:4" x14ac:dyDescent="0.25">
      <c r="B1267">
        <f t="shared" ca="1" si="59"/>
        <v>41063.8569002105</v>
      </c>
      <c r="C1267">
        <f t="shared" ca="1" si="57"/>
        <v>0</v>
      </c>
      <c r="D1267">
        <f t="shared" ca="1" si="58"/>
        <v>1063.8569002104996</v>
      </c>
    </row>
    <row r="1268" spans="2:4" x14ac:dyDescent="0.25">
      <c r="B1268">
        <f t="shared" ca="1" si="59"/>
        <v>37217.927036390902</v>
      </c>
      <c r="C1268">
        <f t="shared" ca="1" si="57"/>
        <v>2782.0729636090982</v>
      </c>
      <c r="D1268">
        <f t="shared" ca="1" si="58"/>
        <v>0</v>
      </c>
    </row>
    <row r="1269" spans="2:4" x14ac:dyDescent="0.25">
      <c r="B1269">
        <f t="shared" ca="1" si="59"/>
        <v>41469.89254139534</v>
      </c>
      <c r="C1269">
        <f t="shared" ca="1" si="57"/>
        <v>0</v>
      </c>
      <c r="D1269">
        <f t="shared" ca="1" si="58"/>
        <v>1469.8925413953402</v>
      </c>
    </row>
    <row r="1270" spans="2:4" x14ac:dyDescent="0.25">
      <c r="B1270">
        <f t="shared" ca="1" si="59"/>
        <v>42187.231264068017</v>
      </c>
      <c r="C1270">
        <f t="shared" ca="1" si="57"/>
        <v>0</v>
      </c>
      <c r="D1270">
        <f t="shared" ca="1" si="58"/>
        <v>2187.2312640680175</v>
      </c>
    </row>
    <row r="1271" spans="2:4" x14ac:dyDescent="0.25">
      <c r="B1271">
        <f t="shared" ca="1" si="59"/>
        <v>45959.288556810527</v>
      </c>
      <c r="C1271">
        <f t="shared" ca="1" si="57"/>
        <v>0</v>
      </c>
      <c r="D1271">
        <f t="shared" ca="1" si="58"/>
        <v>5959.2885568105266</v>
      </c>
    </row>
    <row r="1272" spans="2:4" x14ac:dyDescent="0.25">
      <c r="B1272">
        <f t="shared" ca="1" si="59"/>
        <v>43472.57044739851</v>
      </c>
      <c r="C1272">
        <f t="shared" ca="1" si="57"/>
        <v>0</v>
      </c>
      <c r="D1272">
        <f t="shared" ca="1" si="58"/>
        <v>3472.5704473985097</v>
      </c>
    </row>
    <row r="1273" spans="2:4" x14ac:dyDescent="0.25">
      <c r="B1273">
        <f t="shared" ca="1" si="59"/>
        <v>52196.963877618386</v>
      </c>
      <c r="C1273">
        <f t="shared" ca="1" si="57"/>
        <v>0</v>
      </c>
      <c r="D1273">
        <f t="shared" ca="1" si="58"/>
        <v>12196.963877618386</v>
      </c>
    </row>
    <row r="1274" spans="2:4" x14ac:dyDescent="0.25">
      <c r="B1274">
        <f t="shared" ca="1" si="59"/>
        <v>44554.628199677034</v>
      </c>
      <c r="C1274">
        <f t="shared" ca="1" si="57"/>
        <v>0</v>
      </c>
      <c r="D1274">
        <f t="shared" ca="1" si="58"/>
        <v>4554.628199677034</v>
      </c>
    </row>
    <row r="1275" spans="2:4" x14ac:dyDescent="0.25">
      <c r="B1275">
        <f t="shared" ca="1" si="59"/>
        <v>46642.057926979382</v>
      </c>
      <c r="C1275">
        <f t="shared" ca="1" si="57"/>
        <v>0</v>
      </c>
      <c r="D1275">
        <f t="shared" ca="1" si="58"/>
        <v>6642.0579269793816</v>
      </c>
    </row>
    <row r="1276" spans="2:4" x14ac:dyDescent="0.25">
      <c r="B1276">
        <f t="shared" ca="1" si="59"/>
        <v>45508.311424142754</v>
      </c>
      <c r="C1276">
        <f t="shared" ca="1" si="57"/>
        <v>0</v>
      </c>
      <c r="D1276">
        <f t="shared" ca="1" si="58"/>
        <v>5508.3114241427538</v>
      </c>
    </row>
    <row r="1277" spans="2:4" x14ac:dyDescent="0.25">
      <c r="B1277">
        <f t="shared" ca="1" si="59"/>
        <v>44679.579422587973</v>
      </c>
      <c r="C1277">
        <f t="shared" ca="1" si="57"/>
        <v>0</v>
      </c>
      <c r="D1277">
        <f t="shared" ca="1" si="58"/>
        <v>4679.5794225879727</v>
      </c>
    </row>
    <row r="1278" spans="2:4" x14ac:dyDescent="0.25">
      <c r="B1278">
        <f t="shared" ca="1" si="59"/>
        <v>39760.635621238158</v>
      </c>
      <c r="C1278">
        <f t="shared" ca="1" si="57"/>
        <v>239.36437876184209</v>
      </c>
      <c r="D1278">
        <f t="shared" ca="1" si="58"/>
        <v>0</v>
      </c>
    </row>
    <row r="1279" spans="2:4" x14ac:dyDescent="0.25">
      <c r="B1279">
        <f t="shared" ca="1" si="59"/>
        <v>42495.457786948056</v>
      </c>
      <c r="C1279">
        <f t="shared" ca="1" si="57"/>
        <v>0</v>
      </c>
      <c r="D1279">
        <f t="shared" ca="1" si="58"/>
        <v>2495.4577869480563</v>
      </c>
    </row>
    <row r="1280" spans="2:4" x14ac:dyDescent="0.25">
      <c r="B1280">
        <f t="shared" ca="1" si="59"/>
        <v>44886.781998677638</v>
      </c>
      <c r="C1280">
        <f t="shared" ca="1" si="57"/>
        <v>0</v>
      </c>
      <c r="D1280">
        <f t="shared" ca="1" si="58"/>
        <v>4886.7819986776376</v>
      </c>
    </row>
    <row r="1281" spans="2:4" x14ac:dyDescent="0.25">
      <c r="B1281">
        <f t="shared" ca="1" si="59"/>
        <v>40258.852311880022</v>
      </c>
      <c r="C1281">
        <f t="shared" ca="1" si="57"/>
        <v>0</v>
      </c>
      <c r="D1281">
        <f t="shared" ca="1" si="58"/>
        <v>258.85231188002217</v>
      </c>
    </row>
    <row r="1282" spans="2:4" x14ac:dyDescent="0.25">
      <c r="B1282">
        <f t="shared" ca="1" si="59"/>
        <v>51378.884976699213</v>
      </c>
      <c r="C1282">
        <f t="shared" ca="1" si="57"/>
        <v>0</v>
      </c>
      <c r="D1282">
        <f t="shared" ca="1" si="58"/>
        <v>11378.884976699213</v>
      </c>
    </row>
    <row r="1283" spans="2:4" x14ac:dyDescent="0.25">
      <c r="B1283">
        <f t="shared" ca="1" si="59"/>
        <v>42408.764942721595</v>
      </c>
      <c r="C1283">
        <f t="shared" ca="1" si="57"/>
        <v>0</v>
      </c>
      <c r="D1283">
        <f t="shared" ca="1" si="58"/>
        <v>2408.7649427215947</v>
      </c>
    </row>
    <row r="1284" spans="2:4" x14ac:dyDescent="0.25">
      <c r="B1284">
        <f t="shared" ca="1" si="59"/>
        <v>47504.051667404827</v>
      </c>
      <c r="C1284">
        <f t="shared" ca="1" si="57"/>
        <v>0</v>
      </c>
      <c r="D1284">
        <f t="shared" ca="1" si="58"/>
        <v>7504.0516674048267</v>
      </c>
    </row>
    <row r="1285" spans="2:4" x14ac:dyDescent="0.25">
      <c r="B1285">
        <f t="shared" ca="1" si="59"/>
        <v>33227.332425313405</v>
      </c>
      <c r="C1285">
        <f t="shared" ca="1" si="57"/>
        <v>6772.6675746865949</v>
      </c>
      <c r="D1285">
        <f t="shared" ca="1" si="58"/>
        <v>0</v>
      </c>
    </row>
    <row r="1286" spans="2:4" x14ac:dyDescent="0.25">
      <c r="B1286">
        <f t="shared" ca="1" si="59"/>
        <v>41208.968742980571</v>
      </c>
      <c r="C1286">
        <f t="shared" ca="1" si="57"/>
        <v>0</v>
      </c>
      <c r="D1286">
        <f t="shared" ca="1" si="58"/>
        <v>1208.9687429805708</v>
      </c>
    </row>
    <row r="1287" spans="2:4" x14ac:dyDescent="0.25">
      <c r="B1287">
        <f t="shared" ca="1" si="59"/>
        <v>44713.20915924677</v>
      </c>
      <c r="C1287">
        <f t="shared" ca="1" si="57"/>
        <v>0</v>
      </c>
      <c r="D1287">
        <f t="shared" ca="1" si="58"/>
        <v>4713.2091592467696</v>
      </c>
    </row>
    <row r="1288" spans="2:4" x14ac:dyDescent="0.25">
      <c r="B1288">
        <f t="shared" ca="1" si="59"/>
        <v>42169.597609510965</v>
      </c>
      <c r="C1288">
        <f t="shared" ca="1" si="57"/>
        <v>0</v>
      </c>
      <c r="D1288">
        <f t="shared" ca="1" si="58"/>
        <v>2169.5976095109654</v>
      </c>
    </row>
    <row r="1289" spans="2:4" x14ac:dyDescent="0.25">
      <c r="B1289">
        <f t="shared" ca="1" si="59"/>
        <v>40639.140633012415</v>
      </c>
      <c r="C1289">
        <f t="shared" ca="1" si="57"/>
        <v>0</v>
      </c>
      <c r="D1289">
        <f t="shared" ca="1" si="58"/>
        <v>639.14063301241549</v>
      </c>
    </row>
    <row r="1290" spans="2:4" x14ac:dyDescent="0.25">
      <c r="B1290">
        <f t="shared" ca="1" si="59"/>
        <v>54756.433941784097</v>
      </c>
      <c r="C1290">
        <f t="shared" ca="1" si="57"/>
        <v>0</v>
      </c>
      <c r="D1290">
        <f t="shared" ca="1" si="58"/>
        <v>14756.433941784097</v>
      </c>
    </row>
    <row r="1291" spans="2:4" x14ac:dyDescent="0.25">
      <c r="B1291">
        <f t="shared" ca="1" si="59"/>
        <v>38526.725612905488</v>
      </c>
      <c r="C1291">
        <f t="shared" ca="1" si="57"/>
        <v>1473.2743870945123</v>
      </c>
      <c r="D1291">
        <f t="shared" ca="1" si="58"/>
        <v>0</v>
      </c>
    </row>
    <row r="1292" spans="2:4" x14ac:dyDescent="0.25">
      <c r="B1292">
        <f t="shared" ca="1" si="59"/>
        <v>44867.423486695167</v>
      </c>
      <c r="C1292">
        <f t="shared" ref="C1292:C1355" ca="1" si="60">IF(MAX($B$2-B1292)&lt;0,0,$B$2-B1292)</f>
        <v>0</v>
      </c>
      <c r="D1292">
        <f t="shared" ref="D1292:D1355" ca="1" si="61">IF(MAX(B1292-$B$2)&lt;0,0,B1292-$B$2)</f>
        <v>4867.4234866951665</v>
      </c>
    </row>
    <row r="1293" spans="2:4" x14ac:dyDescent="0.25">
      <c r="B1293">
        <f t="shared" ref="B1293:B1356" ca="1" si="62">$B$1*EXP((($B$4-($B$3^2)/2)*$B$5+$B$3*SQRT($B$5)*NORMSINV(RAND())))</f>
        <v>51018.328404307882</v>
      </c>
      <c r="C1293">
        <f t="shared" ca="1" si="60"/>
        <v>0</v>
      </c>
      <c r="D1293">
        <f t="shared" ca="1" si="61"/>
        <v>11018.328404307882</v>
      </c>
    </row>
    <row r="1294" spans="2:4" x14ac:dyDescent="0.25">
      <c r="B1294">
        <f t="shared" ca="1" si="62"/>
        <v>52204.244811058365</v>
      </c>
      <c r="C1294">
        <f t="shared" ca="1" si="60"/>
        <v>0</v>
      </c>
      <c r="D1294">
        <f t="shared" ca="1" si="61"/>
        <v>12204.244811058365</v>
      </c>
    </row>
    <row r="1295" spans="2:4" x14ac:dyDescent="0.25">
      <c r="B1295">
        <f t="shared" ca="1" si="62"/>
        <v>44004.470145218052</v>
      </c>
      <c r="C1295">
        <f t="shared" ca="1" si="60"/>
        <v>0</v>
      </c>
      <c r="D1295">
        <f t="shared" ca="1" si="61"/>
        <v>4004.4701452180525</v>
      </c>
    </row>
    <row r="1296" spans="2:4" x14ac:dyDescent="0.25">
      <c r="B1296">
        <f t="shared" ca="1" si="62"/>
        <v>44994.731262077679</v>
      </c>
      <c r="C1296">
        <f t="shared" ca="1" si="60"/>
        <v>0</v>
      </c>
      <c r="D1296">
        <f t="shared" ca="1" si="61"/>
        <v>4994.7312620776793</v>
      </c>
    </row>
    <row r="1297" spans="2:4" x14ac:dyDescent="0.25">
      <c r="B1297">
        <f t="shared" ca="1" si="62"/>
        <v>44355.014254928625</v>
      </c>
      <c r="C1297">
        <f t="shared" ca="1" si="60"/>
        <v>0</v>
      </c>
      <c r="D1297">
        <f t="shared" ca="1" si="61"/>
        <v>4355.0142549286247</v>
      </c>
    </row>
    <row r="1298" spans="2:4" x14ac:dyDescent="0.25">
      <c r="B1298">
        <f t="shared" ca="1" si="62"/>
        <v>54250.881463246129</v>
      </c>
      <c r="C1298">
        <f t="shared" ca="1" si="60"/>
        <v>0</v>
      </c>
      <c r="D1298">
        <f t="shared" ca="1" si="61"/>
        <v>14250.881463246129</v>
      </c>
    </row>
    <row r="1299" spans="2:4" x14ac:dyDescent="0.25">
      <c r="B1299">
        <f t="shared" ca="1" si="62"/>
        <v>48226.301217510874</v>
      </c>
      <c r="C1299">
        <f t="shared" ca="1" si="60"/>
        <v>0</v>
      </c>
      <c r="D1299">
        <f t="shared" ca="1" si="61"/>
        <v>8226.3012175108743</v>
      </c>
    </row>
    <row r="1300" spans="2:4" x14ac:dyDescent="0.25">
      <c r="B1300">
        <f t="shared" ca="1" si="62"/>
        <v>41103.107165587091</v>
      </c>
      <c r="C1300">
        <f t="shared" ca="1" si="60"/>
        <v>0</v>
      </c>
      <c r="D1300">
        <f t="shared" ca="1" si="61"/>
        <v>1103.107165587091</v>
      </c>
    </row>
    <row r="1301" spans="2:4" x14ac:dyDescent="0.25">
      <c r="B1301">
        <f t="shared" ca="1" si="62"/>
        <v>43294.204258396632</v>
      </c>
      <c r="C1301">
        <f t="shared" ca="1" si="60"/>
        <v>0</v>
      </c>
      <c r="D1301">
        <f t="shared" ca="1" si="61"/>
        <v>3294.2042583966322</v>
      </c>
    </row>
    <row r="1302" spans="2:4" x14ac:dyDescent="0.25">
      <c r="B1302">
        <f t="shared" ca="1" si="62"/>
        <v>43179.79543008162</v>
      </c>
      <c r="C1302">
        <f t="shared" ca="1" si="60"/>
        <v>0</v>
      </c>
      <c r="D1302">
        <f t="shared" ca="1" si="61"/>
        <v>3179.79543008162</v>
      </c>
    </row>
    <row r="1303" spans="2:4" x14ac:dyDescent="0.25">
      <c r="B1303">
        <f t="shared" ca="1" si="62"/>
        <v>41008.638841813336</v>
      </c>
      <c r="C1303">
        <f t="shared" ca="1" si="60"/>
        <v>0</v>
      </c>
      <c r="D1303">
        <f t="shared" ca="1" si="61"/>
        <v>1008.6388418133356</v>
      </c>
    </row>
    <row r="1304" spans="2:4" x14ac:dyDescent="0.25">
      <c r="B1304">
        <f t="shared" ca="1" si="62"/>
        <v>44318.841412882015</v>
      </c>
      <c r="C1304">
        <f t="shared" ca="1" si="60"/>
        <v>0</v>
      </c>
      <c r="D1304">
        <f t="shared" ca="1" si="61"/>
        <v>4318.841412882015</v>
      </c>
    </row>
    <row r="1305" spans="2:4" x14ac:dyDescent="0.25">
      <c r="B1305">
        <f t="shared" ca="1" si="62"/>
        <v>49757.226575855471</v>
      </c>
      <c r="C1305">
        <f t="shared" ca="1" si="60"/>
        <v>0</v>
      </c>
      <c r="D1305">
        <f t="shared" ca="1" si="61"/>
        <v>9757.2265758554713</v>
      </c>
    </row>
    <row r="1306" spans="2:4" x14ac:dyDescent="0.25">
      <c r="B1306">
        <f t="shared" ca="1" si="62"/>
        <v>48770.769739583906</v>
      </c>
      <c r="C1306">
        <f t="shared" ca="1" si="60"/>
        <v>0</v>
      </c>
      <c r="D1306">
        <f t="shared" ca="1" si="61"/>
        <v>8770.7697395839059</v>
      </c>
    </row>
    <row r="1307" spans="2:4" x14ac:dyDescent="0.25">
      <c r="B1307">
        <f t="shared" ca="1" si="62"/>
        <v>45978.610919427585</v>
      </c>
      <c r="C1307">
        <f t="shared" ca="1" si="60"/>
        <v>0</v>
      </c>
      <c r="D1307">
        <f t="shared" ca="1" si="61"/>
        <v>5978.610919427585</v>
      </c>
    </row>
    <row r="1308" spans="2:4" x14ac:dyDescent="0.25">
      <c r="B1308">
        <f t="shared" ca="1" si="62"/>
        <v>49689.993898815563</v>
      </c>
      <c r="C1308">
        <f t="shared" ca="1" si="60"/>
        <v>0</v>
      </c>
      <c r="D1308">
        <f t="shared" ca="1" si="61"/>
        <v>9689.9938988155627</v>
      </c>
    </row>
    <row r="1309" spans="2:4" x14ac:dyDescent="0.25">
      <c r="B1309">
        <f t="shared" ca="1" si="62"/>
        <v>54323.497736954138</v>
      </c>
      <c r="C1309">
        <f t="shared" ca="1" si="60"/>
        <v>0</v>
      </c>
      <c r="D1309">
        <f t="shared" ca="1" si="61"/>
        <v>14323.497736954138</v>
      </c>
    </row>
    <row r="1310" spans="2:4" x14ac:dyDescent="0.25">
      <c r="B1310">
        <f t="shared" ca="1" si="62"/>
        <v>42275.349322166585</v>
      </c>
      <c r="C1310">
        <f t="shared" ca="1" si="60"/>
        <v>0</v>
      </c>
      <c r="D1310">
        <f t="shared" ca="1" si="61"/>
        <v>2275.3493221665849</v>
      </c>
    </row>
    <row r="1311" spans="2:4" x14ac:dyDescent="0.25">
      <c r="B1311">
        <f t="shared" ca="1" si="62"/>
        <v>52351.954606702231</v>
      </c>
      <c r="C1311">
        <f t="shared" ca="1" si="60"/>
        <v>0</v>
      </c>
      <c r="D1311">
        <f t="shared" ca="1" si="61"/>
        <v>12351.954606702231</v>
      </c>
    </row>
    <row r="1312" spans="2:4" x14ac:dyDescent="0.25">
      <c r="B1312">
        <f t="shared" ca="1" si="62"/>
        <v>38015.761530984462</v>
      </c>
      <c r="C1312">
        <f t="shared" ca="1" si="60"/>
        <v>1984.2384690155377</v>
      </c>
      <c r="D1312">
        <f t="shared" ca="1" si="61"/>
        <v>0</v>
      </c>
    </row>
    <row r="1313" spans="2:4" x14ac:dyDescent="0.25">
      <c r="B1313">
        <f t="shared" ca="1" si="62"/>
        <v>46773.577962493182</v>
      </c>
      <c r="C1313">
        <f t="shared" ca="1" si="60"/>
        <v>0</v>
      </c>
      <c r="D1313">
        <f t="shared" ca="1" si="61"/>
        <v>6773.577962493182</v>
      </c>
    </row>
    <row r="1314" spans="2:4" x14ac:dyDescent="0.25">
      <c r="B1314">
        <f t="shared" ca="1" si="62"/>
        <v>39916.41618518906</v>
      </c>
      <c r="C1314">
        <f t="shared" ca="1" si="60"/>
        <v>83.583814810939657</v>
      </c>
      <c r="D1314">
        <f t="shared" ca="1" si="61"/>
        <v>0</v>
      </c>
    </row>
    <row r="1315" spans="2:4" x14ac:dyDescent="0.25">
      <c r="B1315">
        <f t="shared" ca="1" si="62"/>
        <v>41754.979595624049</v>
      </c>
      <c r="C1315">
        <f t="shared" ca="1" si="60"/>
        <v>0</v>
      </c>
      <c r="D1315">
        <f t="shared" ca="1" si="61"/>
        <v>1754.9795956240487</v>
      </c>
    </row>
    <row r="1316" spans="2:4" x14ac:dyDescent="0.25">
      <c r="B1316">
        <f t="shared" ca="1" si="62"/>
        <v>41207.54768341282</v>
      </c>
      <c r="C1316">
        <f t="shared" ca="1" si="60"/>
        <v>0</v>
      </c>
      <c r="D1316">
        <f t="shared" ca="1" si="61"/>
        <v>1207.5476834128203</v>
      </c>
    </row>
    <row r="1317" spans="2:4" x14ac:dyDescent="0.25">
      <c r="B1317">
        <f t="shared" ca="1" si="62"/>
        <v>47654.400689484617</v>
      </c>
      <c r="C1317">
        <f t="shared" ca="1" si="60"/>
        <v>0</v>
      </c>
      <c r="D1317">
        <f t="shared" ca="1" si="61"/>
        <v>7654.400689484617</v>
      </c>
    </row>
    <row r="1318" spans="2:4" x14ac:dyDescent="0.25">
      <c r="B1318">
        <f t="shared" ca="1" si="62"/>
        <v>45759.170997489702</v>
      </c>
      <c r="C1318">
        <f t="shared" ca="1" si="60"/>
        <v>0</v>
      </c>
      <c r="D1318">
        <f t="shared" ca="1" si="61"/>
        <v>5759.1709974897021</v>
      </c>
    </row>
    <row r="1319" spans="2:4" x14ac:dyDescent="0.25">
      <c r="B1319">
        <f t="shared" ca="1" si="62"/>
        <v>36837.856828136799</v>
      </c>
      <c r="C1319">
        <f t="shared" ca="1" si="60"/>
        <v>3162.1431718632011</v>
      </c>
      <c r="D1319">
        <f t="shared" ca="1" si="61"/>
        <v>0</v>
      </c>
    </row>
    <row r="1320" spans="2:4" x14ac:dyDescent="0.25">
      <c r="B1320">
        <f t="shared" ca="1" si="62"/>
        <v>48930.3325895659</v>
      </c>
      <c r="C1320">
        <f t="shared" ca="1" si="60"/>
        <v>0</v>
      </c>
      <c r="D1320">
        <f t="shared" ca="1" si="61"/>
        <v>8930.3325895659</v>
      </c>
    </row>
    <row r="1321" spans="2:4" x14ac:dyDescent="0.25">
      <c r="B1321">
        <f t="shared" ca="1" si="62"/>
        <v>47388.170638053256</v>
      </c>
      <c r="C1321">
        <f t="shared" ca="1" si="60"/>
        <v>0</v>
      </c>
      <c r="D1321">
        <f t="shared" ca="1" si="61"/>
        <v>7388.170638053256</v>
      </c>
    </row>
    <row r="1322" spans="2:4" x14ac:dyDescent="0.25">
      <c r="B1322">
        <f t="shared" ca="1" si="62"/>
        <v>40040.483288430893</v>
      </c>
      <c r="C1322">
        <f t="shared" ca="1" si="60"/>
        <v>0</v>
      </c>
      <c r="D1322">
        <f t="shared" ca="1" si="61"/>
        <v>40.483288430892571</v>
      </c>
    </row>
    <row r="1323" spans="2:4" x14ac:dyDescent="0.25">
      <c r="B1323">
        <f t="shared" ca="1" si="62"/>
        <v>47398.637634491504</v>
      </c>
      <c r="C1323">
        <f t="shared" ca="1" si="60"/>
        <v>0</v>
      </c>
      <c r="D1323">
        <f t="shared" ca="1" si="61"/>
        <v>7398.6376344915043</v>
      </c>
    </row>
    <row r="1324" spans="2:4" x14ac:dyDescent="0.25">
      <c r="B1324">
        <f t="shared" ca="1" si="62"/>
        <v>39956.208683122037</v>
      </c>
      <c r="C1324">
        <f t="shared" ca="1" si="60"/>
        <v>43.791316877963254</v>
      </c>
      <c r="D1324">
        <f t="shared" ca="1" si="61"/>
        <v>0</v>
      </c>
    </row>
    <row r="1325" spans="2:4" x14ac:dyDescent="0.25">
      <c r="B1325">
        <f t="shared" ca="1" si="62"/>
        <v>42893.349469062865</v>
      </c>
      <c r="C1325">
        <f t="shared" ca="1" si="60"/>
        <v>0</v>
      </c>
      <c r="D1325">
        <f t="shared" ca="1" si="61"/>
        <v>2893.349469062865</v>
      </c>
    </row>
    <row r="1326" spans="2:4" x14ac:dyDescent="0.25">
      <c r="B1326">
        <f t="shared" ca="1" si="62"/>
        <v>41590.360606376649</v>
      </c>
      <c r="C1326">
        <f t="shared" ca="1" si="60"/>
        <v>0</v>
      </c>
      <c r="D1326">
        <f t="shared" ca="1" si="61"/>
        <v>1590.3606063766492</v>
      </c>
    </row>
    <row r="1327" spans="2:4" x14ac:dyDescent="0.25">
      <c r="B1327">
        <f t="shared" ca="1" si="62"/>
        <v>46172.928235233689</v>
      </c>
      <c r="C1327">
        <f t="shared" ca="1" si="60"/>
        <v>0</v>
      </c>
      <c r="D1327">
        <f t="shared" ca="1" si="61"/>
        <v>6172.9282352336886</v>
      </c>
    </row>
    <row r="1328" spans="2:4" x14ac:dyDescent="0.25">
      <c r="B1328">
        <f t="shared" ca="1" si="62"/>
        <v>44295.880548188281</v>
      </c>
      <c r="C1328">
        <f t="shared" ca="1" si="60"/>
        <v>0</v>
      </c>
      <c r="D1328">
        <f t="shared" ca="1" si="61"/>
        <v>4295.880548188281</v>
      </c>
    </row>
    <row r="1329" spans="2:4" x14ac:dyDescent="0.25">
      <c r="B1329">
        <f t="shared" ca="1" si="62"/>
        <v>47683.879730715838</v>
      </c>
      <c r="C1329">
        <f t="shared" ca="1" si="60"/>
        <v>0</v>
      </c>
      <c r="D1329">
        <f t="shared" ca="1" si="61"/>
        <v>7683.8797307158384</v>
      </c>
    </row>
    <row r="1330" spans="2:4" x14ac:dyDescent="0.25">
      <c r="B1330">
        <f t="shared" ca="1" si="62"/>
        <v>51722.387778397169</v>
      </c>
      <c r="C1330">
        <f t="shared" ca="1" si="60"/>
        <v>0</v>
      </c>
      <c r="D1330">
        <f t="shared" ca="1" si="61"/>
        <v>11722.387778397169</v>
      </c>
    </row>
    <row r="1331" spans="2:4" x14ac:dyDescent="0.25">
      <c r="B1331">
        <f t="shared" ca="1" si="62"/>
        <v>42147.677796243603</v>
      </c>
      <c r="C1331">
        <f t="shared" ca="1" si="60"/>
        <v>0</v>
      </c>
      <c r="D1331">
        <f t="shared" ca="1" si="61"/>
        <v>2147.6777962436026</v>
      </c>
    </row>
    <row r="1332" spans="2:4" x14ac:dyDescent="0.25">
      <c r="B1332">
        <f t="shared" ca="1" si="62"/>
        <v>49379.373363602586</v>
      </c>
      <c r="C1332">
        <f t="shared" ca="1" si="60"/>
        <v>0</v>
      </c>
      <c r="D1332">
        <f t="shared" ca="1" si="61"/>
        <v>9379.3733636025863</v>
      </c>
    </row>
    <row r="1333" spans="2:4" x14ac:dyDescent="0.25">
      <c r="B1333">
        <f t="shared" ca="1" si="62"/>
        <v>43194.576402806728</v>
      </c>
      <c r="C1333">
        <f t="shared" ca="1" si="60"/>
        <v>0</v>
      </c>
      <c r="D1333">
        <f t="shared" ca="1" si="61"/>
        <v>3194.5764028067279</v>
      </c>
    </row>
    <row r="1334" spans="2:4" x14ac:dyDescent="0.25">
      <c r="B1334">
        <f t="shared" ca="1" si="62"/>
        <v>48879.12215826349</v>
      </c>
      <c r="C1334">
        <f t="shared" ca="1" si="60"/>
        <v>0</v>
      </c>
      <c r="D1334">
        <f t="shared" ca="1" si="61"/>
        <v>8879.1221582634898</v>
      </c>
    </row>
    <row r="1335" spans="2:4" x14ac:dyDescent="0.25">
      <c r="B1335">
        <f t="shared" ca="1" si="62"/>
        <v>44940.154755810443</v>
      </c>
      <c r="C1335">
        <f t="shared" ca="1" si="60"/>
        <v>0</v>
      </c>
      <c r="D1335">
        <f t="shared" ca="1" si="61"/>
        <v>4940.154755810443</v>
      </c>
    </row>
    <row r="1336" spans="2:4" x14ac:dyDescent="0.25">
      <c r="B1336">
        <f t="shared" ca="1" si="62"/>
        <v>42079.881343319081</v>
      </c>
      <c r="C1336">
        <f t="shared" ca="1" si="60"/>
        <v>0</v>
      </c>
      <c r="D1336">
        <f t="shared" ca="1" si="61"/>
        <v>2079.8813433190808</v>
      </c>
    </row>
    <row r="1337" spans="2:4" x14ac:dyDescent="0.25">
      <c r="B1337">
        <f t="shared" ca="1" si="62"/>
        <v>48918.976736338111</v>
      </c>
      <c r="C1337">
        <f t="shared" ca="1" si="60"/>
        <v>0</v>
      </c>
      <c r="D1337">
        <f t="shared" ca="1" si="61"/>
        <v>8918.9767363381106</v>
      </c>
    </row>
    <row r="1338" spans="2:4" x14ac:dyDescent="0.25">
      <c r="B1338">
        <f t="shared" ca="1" si="62"/>
        <v>48093.526755722865</v>
      </c>
      <c r="C1338">
        <f t="shared" ca="1" si="60"/>
        <v>0</v>
      </c>
      <c r="D1338">
        <f t="shared" ca="1" si="61"/>
        <v>8093.5267557228653</v>
      </c>
    </row>
    <row r="1339" spans="2:4" x14ac:dyDescent="0.25">
      <c r="B1339">
        <f t="shared" ca="1" si="62"/>
        <v>51746.732035184003</v>
      </c>
      <c r="C1339">
        <f t="shared" ca="1" si="60"/>
        <v>0</v>
      </c>
      <c r="D1339">
        <f t="shared" ca="1" si="61"/>
        <v>11746.732035184003</v>
      </c>
    </row>
    <row r="1340" spans="2:4" x14ac:dyDescent="0.25">
      <c r="B1340">
        <f t="shared" ca="1" si="62"/>
        <v>47327.670886667096</v>
      </c>
      <c r="C1340">
        <f t="shared" ca="1" si="60"/>
        <v>0</v>
      </c>
      <c r="D1340">
        <f t="shared" ca="1" si="61"/>
        <v>7327.6708866670961</v>
      </c>
    </row>
    <row r="1341" spans="2:4" x14ac:dyDescent="0.25">
      <c r="B1341">
        <f t="shared" ca="1" si="62"/>
        <v>47747.366634588514</v>
      </c>
      <c r="C1341">
        <f t="shared" ca="1" si="60"/>
        <v>0</v>
      </c>
      <c r="D1341">
        <f t="shared" ca="1" si="61"/>
        <v>7747.366634588514</v>
      </c>
    </row>
    <row r="1342" spans="2:4" x14ac:dyDescent="0.25">
      <c r="B1342">
        <f t="shared" ca="1" si="62"/>
        <v>37499.889490144516</v>
      </c>
      <c r="C1342">
        <f t="shared" ca="1" si="60"/>
        <v>2500.1105098554835</v>
      </c>
      <c r="D1342">
        <f t="shared" ca="1" si="61"/>
        <v>0</v>
      </c>
    </row>
    <row r="1343" spans="2:4" x14ac:dyDescent="0.25">
      <c r="B1343">
        <f t="shared" ca="1" si="62"/>
        <v>49165.429198484198</v>
      </c>
      <c r="C1343">
        <f t="shared" ca="1" si="60"/>
        <v>0</v>
      </c>
      <c r="D1343">
        <f t="shared" ca="1" si="61"/>
        <v>9165.4291984841984</v>
      </c>
    </row>
    <row r="1344" spans="2:4" x14ac:dyDescent="0.25">
      <c r="B1344">
        <f t="shared" ca="1" si="62"/>
        <v>51732.916920920768</v>
      </c>
      <c r="C1344">
        <f t="shared" ca="1" si="60"/>
        <v>0</v>
      </c>
      <c r="D1344">
        <f t="shared" ca="1" si="61"/>
        <v>11732.916920920768</v>
      </c>
    </row>
    <row r="1345" spans="2:4" x14ac:dyDescent="0.25">
      <c r="B1345">
        <f t="shared" ca="1" si="62"/>
        <v>49562.13206708349</v>
      </c>
      <c r="C1345">
        <f t="shared" ca="1" si="60"/>
        <v>0</v>
      </c>
      <c r="D1345">
        <f t="shared" ca="1" si="61"/>
        <v>9562.1320670834903</v>
      </c>
    </row>
    <row r="1346" spans="2:4" x14ac:dyDescent="0.25">
      <c r="B1346">
        <f t="shared" ca="1" si="62"/>
        <v>36807.750560574808</v>
      </c>
      <c r="C1346">
        <f t="shared" ca="1" si="60"/>
        <v>3192.2494394251917</v>
      </c>
      <c r="D1346">
        <f t="shared" ca="1" si="61"/>
        <v>0</v>
      </c>
    </row>
    <row r="1347" spans="2:4" x14ac:dyDescent="0.25">
      <c r="B1347">
        <f t="shared" ca="1" si="62"/>
        <v>47099.833100554992</v>
      </c>
      <c r="C1347">
        <f t="shared" ca="1" si="60"/>
        <v>0</v>
      </c>
      <c r="D1347">
        <f t="shared" ca="1" si="61"/>
        <v>7099.8331005549917</v>
      </c>
    </row>
    <row r="1348" spans="2:4" x14ac:dyDescent="0.25">
      <c r="B1348">
        <f t="shared" ca="1" si="62"/>
        <v>51920.918059088581</v>
      </c>
      <c r="C1348">
        <f t="shared" ca="1" si="60"/>
        <v>0</v>
      </c>
      <c r="D1348">
        <f t="shared" ca="1" si="61"/>
        <v>11920.918059088581</v>
      </c>
    </row>
    <row r="1349" spans="2:4" x14ac:dyDescent="0.25">
      <c r="B1349">
        <f t="shared" ca="1" si="62"/>
        <v>40740.684274916224</v>
      </c>
      <c r="C1349">
        <f t="shared" ca="1" si="60"/>
        <v>0</v>
      </c>
      <c r="D1349">
        <f t="shared" ca="1" si="61"/>
        <v>740.68427491622424</v>
      </c>
    </row>
    <row r="1350" spans="2:4" x14ac:dyDescent="0.25">
      <c r="B1350">
        <f t="shared" ca="1" si="62"/>
        <v>44991.746565853507</v>
      </c>
      <c r="C1350">
        <f t="shared" ca="1" si="60"/>
        <v>0</v>
      </c>
      <c r="D1350">
        <f t="shared" ca="1" si="61"/>
        <v>4991.7465658535075</v>
      </c>
    </row>
    <row r="1351" spans="2:4" x14ac:dyDescent="0.25">
      <c r="B1351">
        <f t="shared" ca="1" si="62"/>
        <v>40954.291665053293</v>
      </c>
      <c r="C1351">
        <f t="shared" ca="1" si="60"/>
        <v>0</v>
      </c>
      <c r="D1351">
        <f t="shared" ca="1" si="61"/>
        <v>954.2916650532934</v>
      </c>
    </row>
    <row r="1352" spans="2:4" x14ac:dyDescent="0.25">
      <c r="B1352">
        <f t="shared" ca="1" si="62"/>
        <v>38967.800894175612</v>
      </c>
      <c r="C1352">
        <f t="shared" ca="1" si="60"/>
        <v>1032.1991058243875</v>
      </c>
      <c r="D1352">
        <f t="shared" ca="1" si="61"/>
        <v>0</v>
      </c>
    </row>
    <row r="1353" spans="2:4" x14ac:dyDescent="0.25">
      <c r="B1353">
        <f t="shared" ca="1" si="62"/>
        <v>45423.195259728178</v>
      </c>
      <c r="C1353">
        <f t="shared" ca="1" si="60"/>
        <v>0</v>
      </c>
      <c r="D1353">
        <f t="shared" ca="1" si="61"/>
        <v>5423.1952597281779</v>
      </c>
    </row>
    <row r="1354" spans="2:4" x14ac:dyDescent="0.25">
      <c r="B1354">
        <f t="shared" ca="1" si="62"/>
        <v>40092.749934706459</v>
      </c>
      <c r="C1354">
        <f t="shared" ca="1" si="60"/>
        <v>0</v>
      </c>
      <c r="D1354">
        <f t="shared" ca="1" si="61"/>
        <v>92.749934706458589</v>
      </c>
    </row>
    <row r="1355" spans="2:4" x14ac:dyDescent="0.25">
      <c r="B1355">
        <f t="shared" ca="1" si="62"/>
        <v>44106.066937697753</v>
      </c>
      <c r="C1355">
        <f t="shared" ca="1" si="60"/>
        <v>0</v>
      </c>
      <c r="D1355">
        <f t="shared" ca="1" si="61"/>
        <v>4106.066937697753</v>
      </c>
    </row>
    <row r="1356" spans="2:4" x14ac:dyDescent="0.25">
      <c r="B1356">
        <f t="shared" ca="1" si="62"/>
        <v>41587.6571639658</v>
      </c>
      <c r="C1356">
        <f t="shared" ref="C1356:C1419" ca="1" si="63">IF(MAX($B$2-B1356)&lt;0,0,$B$2-B1356)</f>
        <v>0</v>
      </c>
      <c r="D1356">
        <f t="shared" ref="D1356:D1419" ca="1" si="64">IF(MAX(B1356-$B$2)&lt;0,0,B1356-$B$2)</f>
        <v>1587.6571639657996</v>
      </c>
    </row>
    <row r="1357" spans="2:4" x14ac:dyDescent="0.25">
      <c r="B1357">
        <f t="shared" ref="B1357:B1420" ca="1" si="65">$B$1*EXP((($B$4-($B$3^2)/2)*$B$5+$B$3*SQRT($B$5)*NORMSINV(RAND())))</f>
        <v>41186.063635020932</v>
      </c>
      <c r="C1357">
        <f t="shared" ca="1" si="63"/>
        <v>0</v>
      </c>
      <c r="D1357">
        <f t="shared" ca="1" si="64"/>
        <v>1186.0636350209315</v>
      </c>
    </row>
    <row r="1358" spans="2:4" x14ac:dyDescent="0.25">
      <c r="B1358">
        <f t="shared" ca="1" si="65"/>
        <v>44220.647433260732</v>
      </c>
      <c r="C1358">
        <f t="shared" ca="1" si="63"/>
        <v>0</v>
      </c>
      <c r="D1358">
        <f t="shared" ca="1" si="64"/>
        <v>4220.6474332607322</v>
      </c>
    </row>
    <row r="1359" spans="2:4" x14ac:dyDescent="0.25">
      <c r="B1359">
        <f t="shared" ca="1" si="65"/>
        <v>49851.335725764366</v>
      </c>
      <c r="C1359">
        <f t="shared" ca="1" si="63"/>
        <v>0</v>
      </c>
      <c r="D1359">
        <f t="shared" ca="1" si="64"/>
        <v>9851.3357257643656</v>
      </c>
    </row>
    <row r="1360" spans="2:4" x14ac:dyDescent="0.25">
      <c r="B1360">
        <f t="shared" ca="1" si="65"/>
        <v>38485.357112201906</v>
      </c>
      <c r="C1360">
        <f t="shared" ca="1" si="63"/>
        <v>1514.6428877980943</v>
      </c>
      <c r="D1360">
        <f t="shared" ca="1" si="64"/>
        <v>0</v>
      </c>
    </row>
    <row r="1361" spans="2:4" x14ac:dyDescent="0.25">
      <c r="B1361">
        <f t="shared" ca="1" si="65"/>
        <v>40761.834380187167</v>
      </c>
      <c r="C1361">
        <f t="shared" ca="1" si="63"/>
        <v>0</v>
      </c>
      <c r="D1361">
        <f t="shared" ca="1" si="64"/>
        <v>761.83438018716697</v>
      </c>
    </row>
    <row r="1362" spans="2:4" x14ac:dyDescent="0.25">
      <c r="B1362">
        <f t="shared" ca="1" si="65"/>
        <v>41609.686205243706</v>
      </c>
      <c r="C1362">
        <f t="shared" ca="1" si="63"/>
        <v>0</v>
      </c>
      <c r="D1362">
        <f t="shared" ca="1" si="64"/>
        <v>1609.6862052437064</v>
      </c>
    </row>
    <row r="1363" spans="2:4" x14ac:dyDescent="0.25">
      <c r="B1363">
        <f t="shared" ca="1" si="65"/>
        <v>47507.662062101037</v>
      </c>
      <c r="C1363">
        <f t="shared" ca="1" si="63"/>
        <v>0</v>
      </c>
      <c r="D1363">
        <f t="shared" ca="1" si="64"/>
        <v>7507.662062101037</v>
      </c>
    </row>
    <row r="1364" spans="2:4" x14ac:dyDescent="0.25">
      <c r="B1364">
        <f t="shared" ca="1" si="65"/>
        <v>47763.677947536009</v>
      </c>
      <c r="C1364">
        <f t="shared" ca="1" si="63"/>
        <v>0</v>
      </c>
      <c r="D1364">
        <f t="shared" ca="1" si="64"/>
        <v>7763.677947536009</v>
      </c>
    </row>
    <row r="1365" spans="2:4" x14ac:dyDescent="0.25">
      <c r="B1365">
        <f t="shared" ca="1" si="65"/>
        <v>44069.105328172991</v>
      </c>
      <c r="C1365">
        <f t="shared" ca="1" si="63"/>
        <v>0</v>
      </c>
      <c r="D1365">
        <f t="shared" ca="1" si="64"/>
        <v>4069.105328172991</v>
      </c>
    </row>
    <row r="1366" spans="2:4" x14ac:dyDescent="0.25">
      <c r="B1366">
        <f t="shared" ca="1" si="65"/>
        <v>42758.230708143252</v>
      </c>
      <c r="C1366">
        <f t="shared" ca="1" si="63"/>
        <v>0</v>
      </c>
      <c r="D1366">
        <f t="shared" ca="1" si="64"/>
        <v>2758.2307081432518</v>
      </c>
    </row>
    <row r="1367" spans="2:4" x14ac:dyDescent="0.25">
      <c r="B1367">
        <f t="shared" ca="1" si="65"/>
        <v>45779.605263524536</v>
      </c>
      <c r="C1367">
        <f t="shared" ca="1" si="63"/>
        <v>0</v>
      </c>
      <c r="D1367">
        <f t="shared" ca="1" si="64"/>
        <v>5779.605263524536</v>
      </c>
    </row>
    <row r="1368" spans="2:4" x14ac:dyDescent="0.25">
      <c r="B1368">
        <f t="shared" ca="1" si="65"/>
        <v>46890.976430026771</v>
      </c>
      <c r="C1368">
        <f t="shared" ca="1" si="63"/>
        <v>0</v>
      </c>
      <c r="D1368">
        <f t="shared" ca="1" si="64"/>
        <v>6890.9764300267707</v>
      </c>
    </row>
    <row r="1369" spans="2:4" x14ac:dyDescent="0.25">
      <c r="B1369">
        <f t="shared" ca="1" si="65"/>
        <v>43696.179085163087</v>
      </c>
      <c r="C1369">
        <f t="shared" ca="1" si="63"/>
        <v>0</v>
      </c>
      <c r="D1369">
        <f t="shared" ca="1" si="64"/>
        <v>3696.1790851630867</v>
      </c>
    </row>
    <row r="1370" spans="2:4" x14ac:dyDescent="0.25">
      <c r="B1370">
        <f t="shared" ca="1" si="65"/>
        <v>46670.803268932781</v>
      </c>
      <c r="C1370">
        <f t="shared" ca="1" si="63"/>
        <v>0</v>
      </c>
      <c r="D1370">
        <f t="shared" ca="1" si="64"/>
        <v>6670.8032689327811</v>
      </c>
    </row>
    <row r="1371" spans="2:4" x14ac:dyDescent="0.25">
      <c r="B1371">
        <f t="shared" ca="1" si="65"/>
        <v>47018.113214163102</v>
      </c>
      <c r="C1371">
        <f t="shared" ca="1" si="63"/>
        <v>0</v>
      </c>
      <c r="D1371">
        <f t="shared" ca="1" si="64"/>
        <v>7018.1132141631024</v>
      </c>
    </row>
    <row r="1372" spans="2:4" x14ac:dyDescent="0.25">
      <c r="B1372">
        <f t="shared" ca="1" si="65"/>
        <v>42757.512898123772</v>
      </c>
      <c r="C1372">
        <f t="shared" ca="1" si="63"/>
        <v>0</v>
      </c>
      <c r="D1372">
        <f t="shared" ca="1" si="64"/>
        <v>2757.5128981237722</v>
      </c>
    </row>
    <row r="1373" spans="2:4" x14ac:dyDescent="0.25">
      <c r="B1373">
        <f t="shared" ca="1" si="65"/>
        <v>37240.43562496025</v>
      </c>
      <c r="C1373">
        <f t="shared" ca="1" si="63"/>
        <v>2759.5643750397503</v>
      </c>
      <c r="D1373">
        <f t="shared" ca="1" si="64"/>
        <v>0</v>
      </c>
    </row>
    <row r="1374" spans="2:4" x14ac:dyDescent="0.25">
      <c r="B1374">
        <f t="shared" ca="1" si="65"/>
        <v>47258.773179469848</v>
      </c>
      <c r="C1374">
        <f t="shared" ca="1" si="63"/>
        <v>0</v>
      </c>
      <c r="D1374">
        <f t="shared" ca="1" si="64"/>
        <v>7258.7731794698484</v>
      </c>
    </row>
    <row r="1375" spans="2:4" x14ac:dyDescent="0.25">
      <c r="B1375">
        <f t="shared" ca="1" si="65"/>
        <v>43771.429071369173</v>
      </c>
      <c r="C1375">
        <f t="shared" ca="1" si="63"/>
        <v>0</v>
      </c>
      <c r="D1375">
        <f t="shared" ca="1" si="64"/>
        <v>3771.4290713691735</v>
      </c>
    </row>
    <row r="1376" spans="2:4" x14ac:dyDescent="0.25">
      <c r="B1376">
        <f t="shared" ca="1" si="65"/>
        <v>39543.354261918699</v>
      </c>
      <c r="C1376">
        <f t="shared" ca="1" si="63"/>
        <v>456.64573808130081</v>
      </c>
      <c r="D1376">
        <f t="shared" ca="1" si="64"/>
        <v>0</v>
      </c>
    </row>
    <row r="1377" spans="2:4" x14ac:dyDescent="0.25">
      <c r="B1377">
        <f t="shared" ca="1" si="65"/>
        <v>45404.227749576872</v>
      </c>
      <c r="C1377">
        <f t="shared" ca="1" si="63"/>
        <v>0</v>
      </c>
      <c r="D1377">
        <f t="shared" ca="1" si="64"/>
        <v>5404.2277495768722</v>
      </c>
    </row>
    <row r="1378" spans="2:4" x14ac:dyDescent="0.25">
      <c r="B1378">
        <f t="shared" ca="1" si="65"/>
        <v>44370.375319896499</v>
      </c>
      <c r="C1378">
        <f t="shared" ca="1" si="63"/>
        <v>0</v>
      </c>
      <c r="D1378">
        <f t="shared" ca="1" si="64"/>
        <v>4370.3753198964987</v>
      </c>
    </row>
    <row r="1379" spans="2:4" x14ac:dyDescent="0.25">
      <c r="B1379">
        <f t="shared" ca="1" si="65"/>
        <v>46704.335366658786</v>
      </c>
      <c r="C1379">
        <f t="shared" ca="1" si="63"/>
        <v>0</v>
      </c>
      <c r="D1379">
        <f t="shared" ca="1" si="64"/>
        <v>6704.3353666587864</v>
      </c>
    </row>
    <row r="1380" spans="2:4" x14ac:dyDescent="0.25">
      <c r="B1380">
        <f t="shared" ca="1" si="65"/>
        <v>48918.16027746183</v>
      </c>
      <c r="C1380">
        <f t="shared" ca="1" si="63"/>
        <v>0</v>
      </c>
      <c r="D1380">
        <f t="shared" ca="1" si="64"/>
        <v>8918.1602774618295</v>
      </c>
    </row>
    <row r="1381" spans="2:4" x14ac:dyDescent="0.25">
      <c r="B1381">
        <f t="shared" ca="1" si="65"/>
        <v>47121.095967322472</v>
      </c>
      <c r="C1381">
        <f t="shared" ca="1" si="63"/>
        <v>0</v>
      </c>
      <c r="D1381">
        <f t="shared" ca="1" si="64"/>
        <v>7121.0959673224716</v>
      </c>
    </row>
    <row r="1382" spans="2:4" x14ac:dyDescent="0.25">
      <c r="B1382">
        <f t="shared" ca="1" si="65"/>
        <v>45866.277857893336</v>
      </c>
      <c r="C1382">
        <f t="shared" ca="1" si="63"/>
        <v>0</v>
      </c>
      <c r="D1382">
        <f t="shared" ca="1" si="64"/>
        <v>5866.2778578933357</v>
      </c>
    </row>
    <row r="1383" spans="2:4" x14ac:dyDescent="0.25">
      <c r="B1383">
        <f t="shared" ca="1" si="65"/>
        <v>45005.315066764597</v>
      </c>
      <c r="C1383">
        <f t="shared" ca="1" si="63"/>
        <v>0</v>
      </c>
      <c r="D1383">
        <f t="shared" ca="1" si="64"/>
        <v>5005.3150667645968</v>
      </c>
    </row>
    <row r="1384" spans="2:4" x14ac:dyDescent="0.25">
      <c r="B1384">
        <f t="shared" ca="1" si="65"/>
        <v>45326.324772157379</v>
      </c>
      <c r="C1384">
        <f t="shared" ca="1" si="63"/>
        <v>0</v>
      </c>
      <c r="D1384">
        <f t="shared" ca="1" si="64"/>
        <v>5326.3247721573789</v>
      </c>
    </row>
    <row r="1385" spans="2:4" x14ac:dyDescent="0.25">
      <c r="B1385">
        <f t="shared" ca="1" si="65"/>
        <v>48594.862170183587</v>
      </c>
      <c r="C1385">
        <f t="shared" ca="1" si="63"/>
        <v>0</v>
      </c>
      <c r="D1385">
        <f t="shared" ca="1" si="64"/>
        <v>8594.8621701835873</v>
      </c>
    </row>
    <row r="1386" spans="2:4" x14ac:dyDescent="0.25">
      <c r="B1386">
        <f t="shared" ca="1" si="65"/>
        <v>40896.64861360308</v>
      </c>
      <c r="C1386">
        <f t="shared" ca="1" si="63"/>
        <v>0</v>
      </c>
      <c r="D1386">
        <f t="shared" ca="1" si="64"/>
        <v>896.64861360307987</v>
      </c>
    </row>
    <row r="1387" spans="2:4" x14ac:dyDescent="0.25">
      <c r="B1387">
        <f t="shared" ca="1" si="65"/>
        <v>48606.608954576936</v>
      </c>
      <c r="C1387">
        <f t="shared" ca="1" si="63"/>
        <v>0</v>
      </c>
      <c r="D1387">
        <f t="shared" ca="1" si="64"/>
        <v>8606.6089545769355</v>
      </c>
    </row>
    <row r="1388" spans="2:4" x14ac:dyDescent="0.25">
      <c r="B1388">
        <f t="shared" ca="1" si="65"/>
        <v>44847.430233890125</v>
      </c>
      <c r="C1388">
        <f t="shared" ca="1" si="63"/>
        <v>0</v>
      </c>
      <c r="D1388">
        <f t="shared" ca="1" si="64"/>
        <v>4847.4302338901252</v>
      </c>
    </row>
    <row r="1389" spans="2:4" x14ac:dyDescent="0.25">
      <c r="B1389">
        <f t="shared" ca="1" si="65"/>
        <v>44272.701473079353</v>
      </c>
      <c r="C1389">
        <f t="shared" ca="1" si="63"/>
        <v>0</v>
      </c>
      <c r="D1389">
        <f t="shared" ca="1" si="64"/>
        <v>4272.7014730793526</v>
      </c>
    </row>
    <row r="1390" spans="2:4" x14ac:dyDescent="0.25">
      <c r="B1390">
        <f t="shared" ca="1" si="65"/>
        <v>42504.639496508345</v>
      </c>
      <c r="C1390">
        <f t="shared" ca="1" si="63"/>
        <v>0</v>
      </c>
      <c r="D1390">
        <f t="shared" ca="1" si="64"/>
        <v>2504.6394965083455</v>
      </c>
    </row>
    <row r="1391" spans="2:4" x14ac:dyDescent="0.25">
      <c r="B1391">
        <f t="shared" ca="1" si="65"/>
        <v>46407.696140200882</v>
      </c>
      <c r="C1391">
        <f t="shared" ca="1" si="63"/>
        <v>0</v>
      </c>
      <c r="D1391">
        <f t="shared" ca="1" si="64"/>
        <v>6407.6961402008819</v>
      </c>
    </row>
    <row r="1392" spans="2:4" x14ac:dyDescent="0.25">
      <c r="B1392">
        <f t="shared" ca="1" si="65"/>
        <v>45384.891600574163</v>
      </c>
      <c r="C1392">
        <f t="shared" ca="1" si="63"/>
        <v>0</v>
      </c>
      <c r="D1392">
        <f t="shared" ca="1" si="64"/>
        <v>5384.891600574163</v>
      </c>
    </row>
    <row r="1393" spans="2:4" x14ac:dyDescent="0.25">
      <c r="B1393">
        <f t="shared" ca="1" si="65"/>
        <v>42715.656648235527</v>
      </c>
      <c r="C1393">
        <f t="shared" ca="1" si="63"/>
        <v>0</v>
      </c>
      <c r="D1393">
        <f t="shared" ca="1" si="64"/>
        <v>2715.6566482355265</v>
      </c>
    </row>
    <row r="1394" spans="2:4" x14ac:dyDescent="0.25">
      <c r="B1394">
        <f t="shared" ca="1" si="65"/>
        <v>41219.037084013937</v>
      </c>
      <c r="C1394">
        <f t="shared" ca="1" si="63"/>
        <v>0</v>
      </c>
      <c r="D1394">
        <f t="shared" ca="1" si="64"/>
        <v>1219.0370840139367</v>
      </c>
    </row>
    <row r="1395" spans="2:4" x14ac:dyDescent="0.25">
      <c r="B1395">
        <f t="shared" ca="1" si="65"/>
        <v>41534.784720681186</v>
      </c>
      <c r="C1395">
        <f t="shared" ca="1" si="63"/>
        <v>0</v>
      </c>
      <c r="D1395">
        <f t="shared" ca="1" si="64"/>
        <v>1534.7847206811857</v>
      </c>
    </row>
    <row r="1396" spans="2:4" x14ac:dyDescent="0.25">
      <c r="B1396">
        <f t="shared" ca="1" si="65"/>
        <v>43628.560252375573</v>
      </c>
      <c r="C1396">
        <f t="shared" ca="1" si="63"/>
        <v>0</v>
      </c>
      <c r="D1396">
        <f t="shared" ca="1" si="64"/>
        <v>3628.5602523755733</v>
      </c>
    </row>
    <row r="1397" spans="2:4" x14ac:dyDescent="0.25">
      <c r="B1397">
        <f t="shared" ca="1" si="65"/>
        <v>46461.185602502817</v>
      </c>
      <c r="C1397">
        <f t="shared" ca="1" si="63"/>
        <v>0</v>
      </c>
      <c r="D1397">
        <f t="shared" ca="1" si="64"/>
        <v>6461.1856025028173</v>
      </c>
    </row>
    <row r="1398" spans="2:4" x14ac:dyDescent="0.25">
      <c r="B1398">
        <f t="shared" ca="1" si="65"/>
        <v>45467.475758297202</v>
      </c>
      <c r="C1398">
        <f t="shared" ca="1" si="63"/>
        <v>0</v>
      </c>
      <c r="D1398">
        <f t="shared" ca="1" si="64"/>
        <v>5467.4757582972015</v>
      </c>
    </row>
    <row r="1399" spans="2:4" x14ac:dyDescent="0.25">
      <c r="B1399">
        <f t="shared" ca="1" si="65"/>
        <v>44917.86979964748</v>
      </c>
      <c r="C1399">
        <f t="shared" ca="1" si="63"/>
        <v>0</v>
      </c>
      <c r="D1399">
        <f t="shared" ca="1" si="64"/>
        <v>4917.8697996474802</v>
      </c>
    </row>
    <row r="1400" spans="2:4" x14ac:dyDescent="0.25">
      <c r="B1400">
        <f t="shared" ca="1" si="65"/>
        <v>49122.976494704126</v>
      </c>
      <c r="C1400">
        <f t="shared" ca="1" si="63"/>
        <v>0</v>
      </c>
      <c r="D1400">
        <f t="shared" ca="1" si="64"/>
        <v>9122.9764947041258</v>
      </c>
    </row>
    <row r="1401" spans="2:4" x14ac:dyDescent="0.25">
      <c r="B1401">
        <f t="shared" ca="1" si="65"/>
        <v>51491.754785598736</v>
      </c>
      <c r="C1401">
        <f t="shared" ca="1" si="63"/>
        <v>0</v>
      </c>
      <c r="D1401">
        <f t="shared" ca="1" si="64"/>
        <v>11491.754785598736</v>
      </c>
    </row>
    <row r="1402" spans="2:4" x14ac:dyDescent="0.25">
      <c r="B1402">
        <f t="shared" ca="1" si="65"/>
        <v>39174.838714072393</v>
      </c>
      <c r="C1402">
        <f t="shared" ca="1" si="63"/>
        <v>825.16128592760651</v>
      </c>
      <c r="D1402">
        <f t="shared" ca="1" si="64"/>
        <v>0</v>
      </c>
    </row>
    <row r="1403" spans="2:4" x14ac:dyDescent="0.25">
      <c r="B1403">
        <f t="shared" ca="1" si="65"/>
        <v>43544.038803969321</v>
      </c>
      <c r="C1403">
        <f t="shared" ca="1" si="63"/>
        <v>0</v>
      </c>
      <c r="D1403">
        <f t="shared" ca="1" si="64"/>
        <v>3544.0388039693207</v>
      </c>
    </row>
    <row r="1404" spans="2:4" x14ac:dyDescent="0.25">
      <c r="B1404">
        <f t="shared" ca="1" si="65"/>
        <v>44577.096487514376</v>
      </c>
      <c r="C1404">
        <f t="shared" ca="1" si="63"/>
        <v>0</v>
      </c>
      <c r="D1404">
        <f t="shared" ca="1" si="64"/>
        <v>4577.0964875143763</v>
      </c>
    </row>
    <row r="1405" spans="2:4" x14ac:dyDescent="0.25">
      <c r="B1405">
        <f t="shared" ca="1" si="65"/>
        <v>39585.082859476846</v>
      </c>
      <c r="C1405">
        <f t="shared" ca="1" si="63"/>
        <v>414.91714052315365</v>
      </c>
      <c r="D1405">
        <f t="shared" ca="1" si="64"/>
        <v>0</v>
      </c>
    </row>
    <row r="1406" spans="2:4" x14ac:dyDescent="0.25">
      <c r="B1406">
        <f t="shared" ca="1" si="65"/>
        <v>41225.705954504425</v>
      </c>
      <c r="C1406">
        <f t="shared" ca="1" si="63"/>
        <v>0</v>
      </c>
      <c r="D1406">
        <f t="shared" ca="1" si="64"/>
        <v>1225.7059545044249</v>
      </c>
    </row>
    <row r="1407" spans="2:4" x14ac:dyDescent="0.25">
      <c r="B1407">
        <f t="shared" ca="1" si="65"/>
        <v>43395.710160367416</v>
      </c>
      <c r="C1407">
        <f t="shared" ca="1" si="63"/>
        <v>0</v>
      </c>
      <c r="D1407">
        <f t="shared" ca="1" si="64"/>
        <v>3395.7101603674164</v>
      </c>
    </row>
    <row r="1408" spans="2:4" x14ac:dyDescent="0.25">
      <c r="B1408">
        <f t="shared" ca="1" si="65"/>
        <v>40995.287235853895</v>
      </c>
      <c r="C1408">
        <f t="shared" ca="1" si="63"/>
        <v>0</v>
      </c>
      <c r="D1408">
        <f t="shared" ca="1" si="64"/>
        <v>995.28723585389525</v>
      </c>
    </row>
    <row r="1409" spans="2:4" x14ac:dyDescent="0.25">
      <c r="B1409">
        <f t="shared" ca="1" si="65"/>
        <v>47899.065501671423</v>
      </c>
      <c r="C1409">
        <f t="shared" ca="1" si="63"/>
        <v>0</v>
      </c>
      <c r="D1409">
        <f t="shared" ca="1" si="64"/>
        <v>7899.0655016714227</v>
      </c>
    </row>
    <row r="1410" spans="2:4" x14ac:dyDescent="0.25">
      <c r="B1410">
        <f t="shared" ca="1" si="65"/>
        <v>37440.596112975196</v>
      </c>
      <c r="C1410">
        <f t="shared" ca="1" si="63"/>
        <v>2559.4038870248041</v>
      </c>
      <c r="D1410">
        <f t="shared" ca="1" si="64"/>
        <v>0</v>
      </c>
    </row>
    <row r="1411" spans="2:4" x14ac:dyDescent="0.25">
      <c r="B1411">
        <f t="shared" ca="1" si="65"/>
        <v>50068.730779213292</v>
      </c>
      <c r="C1411">
        <f t="shared" ca="1" si="63"/>
        <v>0</v>
      </c>
      <c r="D1411">
        <f t="shared" ca="1" si="64"/>
        <v>10068.730779213292</v>
      </c>
    </row>
    <row r="1412" spans="2:4" x14ac:dyDescent="0.25">
      <c r="B1412">
        <f t="shared" ca="1" si="65"/>
        <v>48251.470716718846</v>
      </c>
      <c r="C1412">
        <f t="shared" ca="1" si="63"/>
        <v>0</v>
      </c>
      <c r="D1412">
        <f t="shared" ca="1" si="64"/>
        <v>8251.4707167188462</v>
      </c>
    </row>
    <row r="1413" spans="2:4" x14ac:dyDescent="0.25">
      <c r="B1413">
        <f t="shared" ca="1" si="65"/>
        <v>55147.230427592054</v>
      </c>
      <c r="C1413">
        <f t="shared" ca="1" si="63"/>
        <v>0</v>
      </c>
      <c r="D1413">
        <f t="shared" ca="1" si="64"/>
        <v>15147.230427592054</v>
      </c>
    </row>
    <row r="1414" spans="2:4" x14ac:dyDescent="0.25">
      <c r="B1414">
        <f t="shared" ca="1" si="65"/>
        <v>52542.425361888454</v>
      </c>
      <c r="C1414">
        <f t="shared" ca="1" si="63"/>
        <v>0</v>
      </c>
      <c r="D1414">
        <f t="shared" ca="1" si="64"/>
        <v>12542.425361888454</v>
      </c>
    </row>
    <row r="1415" spans="2:4" x14ac:dyDescent="0.25">
      <c r="B1415">
        <f t="shared" ca="1" si="65"/>
        <v>44023.241850427563</v>
      </c>
      <c r="C1415">
        <f t="shared" ca="1" si="63"/>
        <v>0</v>
      </c>
      <c r="D1415">
        <f t="shared" ca="1" si="64"/>
        <v>4023.2418504275629</v>
      </c>
    </row>
    <row r="1416" spans="2:4" x14ac:dyDescent="0.25">
      <c r="B1416">
        <f t="shared" ca="1" si="65"/>
        <v>49322.463862456512</v>
      </c>
      <c r="C1416">
        <f t="shared" ca="1" si="63"/>
        <v>0</v>
      </c>
      <c r="D1416">
        <f t="shared" ca="1" si="64"/>
        <v>9322.4638624565123</v>
      </c>
    </row>
    <row r="1417" spans="2:4" x14ac:dyDescent="0.25">
      <c r="B1417">
        <f t="shared" ca="1" si="65"/>
        <v>48064.909378015982</v>
      </c>
      <c r="C1417">
        <f t="shared" ca="1" si="63"/>
        <v>0</v>
      </c>
      <c r="D1417">
        <f t="shared" ca="1" si="64"/>
        <v>8064.9093780159819</v>
      </c>
    </row>
    <row r="1418" spans="2:4" x14ac:dyDescent="0.25">
      <c r="B1418">
        <f t="shared" ca="1" si="65"/>
        <v>46576.240503938214</v>
      </c>
      <c r="C1418">
        <f t="shared" ca="1" si="63"/>
        <v>0</v>
      </c>
      <c r="D1418">
        <f t="shared" ca="1" si="64"/>
        <v>6576.2405039382138</v>
      </c>
    </row>
    <row r="1419" spans="2:4" x14ac:dyDescent="0.25">
      <c r="B1419">
        <f t="shared" ca="1" si="65"/>
        <v>36890.346540611295</v>
      </c>
      <c r="C1419">
        <f t="shared" ca="1" si="63"/>
        <v>3109.6534593887045</v>
      </c>
      <c r="D1419">
        <f t="shared" ca="1" si="64"/>
        <v>0</v>
      </c>
    </row>
    <row r="1420" spans="2:4" x14ac:dyDescent="0.25">
      <c r="B1420">
        <f t="shared" ca="1" si="65"/>
        <v>44509.880953468062</v>
      </c>
      <c r="C1420">
        <f t="shared" ref="C1420:C1483" ca="1" si="66">IF(MAX($B$2-B1420)&lt;0,0,$B$2-B1420)</f>
        <v>0</v>
      </c>
      <c r="D1420">
        <f t="shared" ref="D1420:D1483" ca="1" si="67">IF(MAX(B1420-$B$2)&lt;0,0,B1420-$B$2)</f>
        <v>4509.8809534680622</v>
      </c>
    </row>
    <row r="1421" spans="2:4" x14ac:dyDescent="0.25">
      <c r="B1421">
        <f t="shared" ref="B1421:B1484" ca="1" si="68">$B$1*EXP((($B$4-($B$3^2)/2)*$B$5+$B$3*SQRT($B$5)*NORMSINV(RAND())))</f>
        <v>47168.919071725373</v>
      </c>
      <c r="C1421">
        <f t="shared" ca="1" si="66"/>
        <v>0</v>
      </c>
      <c r="D1421">
        <f t="shared" ca="1" si="67"/>
        <v>7168.9190717253732</v>
      </c>
    </row>
    <row r="1422" spans="2:4" x14ac:dyDescent="0.25">
      <c r="B1422">
        <f t="shared" ca="1" si="68"/>
        <v>39731.703621374676</v>
      </c>
      <c r="C1422">
        <f t="shared" ca="1" si="66"/>
        <v>268.296378625324</v>
      </c>
      <c r="D1422">
        <f t="shared" ca="1" si="67"/>
        <v>0</v>
      </c>
    </row>
    <row r="1423" spans="2:4" x14ac:dyDescent="0.25">
      <c r="B1423">
        <f t="shared" ca="1" si="68"/>
        <v>42620.372923030453</v>
      </c>
      <c r="C1423">
        <f t="shared" ca="1" si="66"/>
        <v>0</v>
      </c>
      <c r="D1423">
        <f t="shared" ca="1" si="67"/>
        <v>2620.3729230304525</v>
      </c>
    </row>
    <row r="1424" spans="2:4" x14ac:dyDescent="0.25">
      <c r="B1424">
        <f t="shared" ca="1" si="68"/>
        <v>38623.223559503705</v>
      </c>
      <c r="C1424">
        <f t="shared" ca="1" si="66"/>
        <v>1376.7764404962945</v>
      </c>
      <c r="D1424">
        <f t="shared" ca="1" si="67"/>
        <v>0</v>
      </c>
    </row>
    <row r="1425" spans="2:4" x14ac:dyDescent="0.25">
      <c r="B1425">
        <f t="shared" ca="1" si="68"/>
        <v>37961.204646945982</v>
      </c>
      <c r="C1425">
        <f t="shared" ca="1" si="66"/>
        <v>2038.7953530540181</v>
      </c>
      <c r="D1425">
        <f t="shared" ca="1" si="67"/>
        <v>0</v>
      </c>
    </row>
    <row r="1426" spans="2:4" x14ac:dyDescent="0.25">
      <c r="B1426">
        <f t="shared" ca="1" si="68"/>
        <v>42550.633574697982</v>
      </c>
      <c r="C1426">
        <f t="shared" ca="1" si="66"/>
        <v>0</v>
      </c>
      <c r="D1426">
        <f t="shared" ca="1" si="67"/>
        <v>2550.6335746979821</v>
      </c>
    </row>
    <row r="1427" spans="2:4" x14ac:dyDescent="0.25">
      <c r="B1427">
        <f t="shared" ca="1" si="68"/>
        <v>39583.14839687504</v>
      </c>
      <c r="C1427">
        <f t="shared" ca="1" si="66"/>
        <v>416.85160312496009</v>
      </c>
      <c r="D1427">
        <f t="shared" ca="1" si="67"/>
        <v>0</v>
      </c>
    </row>
    <row r="1428" spans="2:4" x14ac:dyDescent="0.25">
      <c r="B1428">
        <f t="shared" ca="1" si="68"/>
        <v>46561.151663613586</v>
      </c>
      <c r="C1428">
        <f t="shared" ca="1" si="66"/>
        <v>0</v>
      </c>
      <c r="D1428">
        <f t="shared" ca="1" si="67"/>
        <v>6561.1516636135857</v>
      </c>
    </row>
    <row r="1429" spans="2:4" x14ac:dyDescent="0.25">
      <c r="B1429">
        <f t="shared" ca="1" si="68"/>
        <v>49166.157648516215</v>
      </c>
      <c r="C1429">
        <f t="shared" ca="1" si="66"/>
        <v>0</v>
      </c>
      <c r="D1429">
        <f t="shared" ca="1" si="67"/>
        <v>9166.157648516215</v>
      </c>
    </row>
    <row r="1430" spans="2:4" x14ac:dyDescent="0.25">
      <c r="B1430">
        <f t="shared" ca="1" si="68"/>
        <v>44869.811606019641</v>
      </c>
      <c r="C1430">
        <f t="shared" ca="1" si="66"/>
        <v>0</v>
      </c>
      <c r="D1430">
        <f t="shared" ca="1" si="67"/>
        <v>4869.8116060196407</v>
      </c>
    </row>
    <row r="1431" spans="2:4" x14ac:dyDescent="0.25">
      <c r="B1431">
        <f t="shared" ca="1" si="68"/>
        <v>50401.325794489232</v>
      </c>
      <c r="C1431">
        <f t="shared" ca="1" si="66"/>
        <v>0</v>
      </c>
      <c r="D1431">
        <f t="shared" ca="1" si="67"/>
        <v>10401.325794489232</v>
      </c>
    </row>
    <row r="1432" spans="2:4" x14ac:dyDescent="0.25">
      <c r="B1432">
        <f t="shared" ca="1" si="68"/>
        <v>45264.412740089378</v>
      </c>
      <c r="C1432">
        <f t="shared" ca="1" si="66"/>
        <v>0</v>
      </c>
      <c r="D1432">
        <f t="shared" ca="1" si="67"/>
        <v>5264.4127400893776</v>
      </c>
    </row>
    <row r="1433" spans="2:4" x14ac:dyDescent="0.25">
      <c r="B1433">
        <f t="shared" ca="1" si="68"/>
        <v>42430.043845238011</v>
      </c>
      <c r="C1433">
        <f t="shared" ca="1" si="66"/>
        <v>0</v>
      </c>
      <c r="D1433">
        <f t="shared" ca="1" si="67"/>
        <v>2430.0438452380113</v>
      </c>
    </row>
    <row r="1434" spans="2:4" x14ac:dyDescent="0.25">
      <c r="B1434">
        <f t="shared" ca="1" si="68"/>
        <v>44659.740303358471</v>
      </c>
      <c r="C1434">
        <f t="shared" ca="1" si="66"/>
        <v>0</v>
      </c>
      <c r="D1434">
        <f t="shared" ca="1" si="67"/>
        <v>4659.7403033584706</v>
      </c>
    </row>
    <row r="1435" spans="2:4" x14ac:dyDescent="0.25">
      <c r="B1435">
        <f t="shared" ca="1" si="68"/>
        <v>45357.881387687834</v>
      </c>
      <c r="C1435">
        <f t="shared" ca="1" si="66"/>
        <v>0</v>
      </c>
      <c r="D1435">
        <f t="shared" ca="1" si="67"/>
        <v>5357.8813876878339</v>
      </c>
    </row>
    <row r="1436" spans="2:4" x14ac:dyDescent="0.25">
      <c r="B1436">
        <f t="shared" ca="1" si="68"/>
        <v>45242.32392561774</v>
      </c>
      <c r="C1436">
        <f t="shared" ca="1" si="66"/>
        <v>0</v>
      </c>
      <c r="D1436">
        <f t="shared" ca="1" si="67"/>
        <v>5242.3239256177403</v>
      </c>
    </row>
    <row r="1437" spans="2:4" x14ac:dyDescent="0.25">
      <c r="B1437">
        <f t="shared" ca="1" si="68"/>
        <v>41579.084161416919</v>
      </c>
      <c r="C1437">
        <f t="shared" ca="1" si="66"/>
        <v>0</v>
      </c>
      <c r="D1437">
        <f t="shared" ca="1" si="67"/>
        <v>1579.0841614169185</v>
      </c>
    </row>
    <row r="1438" spans="2:4" x14ac:dyDescent="0.25">
      <c r="B1438">
        <f t="shared" ca="1" si="68"/>
        <v>39030.742588672168</v>
      </c>
      <c r="C1438">
        <f t="shared" ca="1" si="66"/>
        <v>969.25741132783151</v>
      </c>
      <c r="D1438">
        <f t="shared" ca="1" si="67"/>
        <v>0</v>
      </c>
    </row>
    <row r="1439" spans="2:4" x14ac:dyDescent="0.25">
      <c r="B1439">
        <f t="shared" ca="1" si="68"/>
        <v>41557.735843521572</v>
      </c>
      <c r="C1439">
        <f t="shared" ca="1" si="66"/>
        <v>0</v>
      </c>
      <c r="D1439">
        <f t="shared" ca="1" si="67"/>
        <v>1557.735843521572</v>
      </c>
    </row>
    <row r="1440" spans="2:4" x14ac:dyDescent="0.25">
      <c r="B1440">
        <f t="shared" ca="1" si="68"/>
        <v>49163.939371319029</v>
      </c>
      <c r="C1440">
        <f t="shared" ca="1" si="66"/>
        <v>0</v>
      </c>
      <c r="D1440">
        <f t="shared" ca="1" si="67"/>
        <v>9163.9393713190293</v>
      </c>
    </row>
    <row r="1441" spans="2:4" x14ac:dyDescent="0.25">
      <c r="B1441">
        <f t="shared" ca="1" si="68"/>
        <v>48808.811568230019</v>
      </c>
      <c r="C1441">
        <f t="shared" ca="1" si="66"/>
        <v>0</v>
      </c>
      <c r="D1441">
        <f t="shared" ca="1" si="67"/>
        <v>8808.8115682300195</v>
      </c>
    </row>
    <row r="1442" spans="2:4" x14ac:dyDescent="0.25">
      <c r="B1442">
        <f t="shared" ca="1" si="68"/>
        <v>45582.658652988925</v>
      </c>
      <c r="C1442">
        <f t="shared" ca="1" si="66"/>
        <v>0</v>
      </c>
      <c r="D1442">
        <f t="shared" ca="1" si="67"/>
        <v>5582.6586529889246</v>
      </c>
    </row>
    <row r="1443" spans="2:4" x14ac:dyDescent="0.25">
      <c r="B1443">
        <f t="shared" ca="1" si="68"/>
        <v>42028.81583460304</v>
      </c>
      <c r="C1443">
        <f t="shared" ca="1" si="66"/>
        <v>0</v>
      </c>
      <c r="D1443">
        <f t="shared" ca="1" si="67"/>
        <v>2028.8158346030395</v>
      </c>
    </row>
    <row r="1444" spans="2:4" x14ac:dyDescent="0.25">
      <c r="B1444">
        <f t="shared" ca="1" si="68"/>
        <v>43454.012220924975</v>
      </c>
      <c r="C1444">
        <f t="shared" ca="1" si="66"/>
        <v>0</v>
      </c>
      <c r="D1444">
        <f t="shared" ca="1" si="67"/>
        <v>3454.0122209249748</v>
      </c>
    </row>
    <row r="1445" spans="2:4" x14ac:dyDescent="0.25">
      <c r="B1445">
        <f t="shared" ca="1" si="68"/>
        <v>54941.496202381088</v>
      </c>
      <c r="C1445">
        <f t="shared" ca="1" si="66"/>
        <v>0</v>
      </c>
      <c r="D1445">
        <f t="shared" ca="1" si="67"/>
        <v>14941.496202381088</v>
      </c>
    </row>
    <row r="1446" spans="2:4" x14ac:dyDescent="0.25">
      <c r="B1446">
        <f t="shared" ca="1" si="68"/>
        <v>45597.175160115803</v>
      </c>
      <c r="C1446">
        <f t="shared" ca="1" si="66"/>
        <v>0</v>
      </c>
      <c r="D1446">
        <f t="shared" ca="1" si="67"/>
        <v>5597.175160115803</v>
      </c>
    </row>
    <row r="1447" spans="2:4" x14ac:dyDescent="0.25">
      <c r="B1447">
        <f t="shared" ca="1" si="68"/>
        <v>42652.575631509957</v>
      </c>
      <c r="C1447">
        <f t="shared" ca="1" si="66"/>
        <v>0</v>
      </c>
      <c r="D1447">
        <f t="shared" ca="1" si="67"/>
        <v>2652.575631509957</v>
      </c>
    </row>
    <row r="1448" spans="2:4" x14ac:dyDescent="0.25">
      <c r="B1448">
        <f t="shared" ca="1" si="68"/>
        <v>43368.003415083484</v>
      </c>
      <c r="C1448">
        <f t="shared" ca="1" si="66"/>
        <v>0</v>
      </c>
      <c r="D1448">
        <f t="shared" ca="1" si="67"/>
        <v>3368.0034150834836</v>
      </c>
    </row>
    <row r="1449" spans="2:4" x14ac:dyDescent="0.25">
      <c r="B1449">
        <f t="shared" ca="1" si="68"/>
        <v>47983.095311802215</v>
      </c>
      <c r="C1449">
        <f t="shared" ca="1" si="66"/>
        <v>0</v>
      </c>
      <c r="D1449">
        <f t="shared" ca="1" si="67"/>
        <v>7983.0953118022153</v>
      </c>
    </row>
    <row r="1450" spans="2:4" x14ac:dyDescent="0.25">
      <c r="B1450">
        <f t="shared" ca="1" si="68"/>
        <v>38381.304840223187</v>
      </c>
      <c r="C1450">
        <f t="shared" ca="1" si="66"/>
        <v>1618.6951597768129</v>
      </c>
      <c r="D1450">
        <f t="shared" ca="1" si="67"/>
        <v>0</v>
      </c>
    </row>
    <row r="1451" spans="2:4" x14ac:dyDescent="0.25">
      <c r="B1451">
        <f t="shared" ca="1" si="68"/>
        <v>47522.231931494505</v>
      </c>
      <c r="C1451">
        <f t="shared" ca="1" si="66"/>
        <v>0</v>
      </c>
      <c r="D1451">
        <f t="shared" ca="1" si="67"/>
        <v>7522.2319314945053</v>
      </c>
    </row>
    <row r="1452" spans="2:4" x14ac:dyDescent="0.25">
      <c r="B1452">
        <f t="shared" ca="1" si="68"/>
        <v>42187.647661467905</v>
      </c>
      <c r="C1452">
        <f t="shared" ca="1" si="66"/>
        <v>0</v>
      </c>
      <c r="D1452">
        <f t="shared" ca="1" si="67"/>
        <v>2187.647661467905</v>
      </c>
    </row>
    <row r="1453" spans="2:4" x14ac:dyDescent="0.25">
      <c r="B1453">
        <f t="shared" ca="1" si="68"/>
        <v>44061.97254007552</v>
      </c>
      <c r="C1453">
        <f t="shared" ca="1" si="66"/>
        <v>0</v>
      </c>
      <c r="D1453">
        <f t="shared" ca="1" si="67"/>
        <v>4061.9725400755196</v>
      </c>
    </row>
    <row r="1454" spans="2:4" x14ac:dyDescent="0.25">
      <c r="B1454">
        <f t="shared" ca="1" si="68"/>
        <v>55266.275359228741</v>
      </c>
      <c r="C1454">
        <f t="shared" ca="1" si="66"/>
        <v>0</v>
      </c>
      <c r="D1454">
        <f t="shared" ca="1" si="67"/>
        <v>15266.275359228741</v>
      </c>
    </row>
    <row r="1455" spans="2:4" x14ac:dyDescent="0.25">
      <c r="B1455">
        <f t="shared" ca="1" si="68"/>
        <v>49545.090144820693</v>
      </c>
      <c r="C1455">
        <f t="shared" ca="1" si="66"/>
        <v>0</v>
      </c>
      <c r="D1455">
        <f t="shared" ca="1" si="67"/>
        <v>9545.0901448206932</v>
      </c>
    </row>
    <row r="1456" spans="2:4" x14ac:dyDescent="0.25">
      <c r="B1456">
        <f t="shared" ca="1" si="68"/>
        <v>46795.650864697207</v>
      </c>
      <c r="C1456">
        <f t="shared" ca="1" si="66"/>
        <v>0</v>
      </c>
      <c r="D1456">
        <f t="shared" ca="1" si="67"/>
        <v>6795.650864697207</v>
      </c>
    </row>
    <row r="1457" spans="2:4" x14ac:dyDescent="0.25">
      <c r="B1457">
        <f t="shared" ca="1" si="68"/>
        <v>46020.590168287337</v>
      </c>
      <c r="C1457">
        <f t="shared" ca="1" si="66"/>
        <v>0</v>
      </c>
      <c r="D1457">
        <f t="shared" ca="1" si="67"/>
        <v>6020.5901682873373</v>
      </c>
    </row>
    <row r="1458" spans="2:4" x14ac:dyDescent="0.25">
      <c r="B1458">
        <f t="shared" ca="1" si="68"/>
        <v>36581.230316463458</v>
      </c>
      <c r="C1458">
        <f t="shared" ca="1" si="66"/>
        <v>3418.7696835365423</v>
      </c>
      <c r="D1458">
        <f t="shared" ca="1" si="67"/>
        <v>0</v>
      </c>
    </row>
    <row r="1459" spans="2:4" x14ac:dyDescent="0.25">
      <c r="B1459">
        <f t="shared" ca="1" si="68"/>
        <v>42698.832523902238</v>
      </c>
      <c r="C1459">
        <f t="shared" ca="1" si="66"/>
        <v>0</v>
      </c>
      <c r="D1459">
        <f t="shared" ca="1" si="67"/>
        <v>2698.8325239022379</v>
      </c>
    </row>
    <row r="1460" spans="2:4" x14ac:dyDescent="0.25">
      <c r="B1460">
        <f t="shared" ca="1" si="68"/>
        <v>52008.607053727465</v>
      </c>
      <c r="C1460">
        <f t="shared" ca="1" si="66"/>
        <v>0</v>
      </c>
      <c r="D1460">
        <f t="shared" ca="1" si="67"/>
        <v>12008.607053727465</v>
      </c>
    </row>
    <row r="1461" spans="2:4" x14ac:dyDescent="0.25">
      <c r="B1461">
        <f t="shared" ca="1" si="68"/>
        <v>47186.002516306864</v>
      </c>
      <c r="C1461">
        <f t="shared" ca="1" si="66"/>
        <v>0</v>
      </c>
      <c r="D1461">
        <f t="shared" ca="1" si="67"/>
        <v>7186.002516306864</v>
      </c>
    </row>
    <row r="1462" spans="2:4" x14ac:dyDescent="0.25">
      <c r="B1462">
        <f t="shared" ca="1" si="68"/>
        <v>44234.881758038289</v>
      </c>
      <c r="C1462">
        <f t="shared" ca="1" si="66"/>
        <v>0</v>
      </c>
      <c r="D1462">
        <f t="shared" ca="1" si="67"/>
        <v>4234.8817580382893</v>
      </c>
    </row>
    <row r="1463" spans="2:4" x14ac:dyDescent="0.25">
      <c r="B1463">
        <f t="shared" ca="1" si="68"/>
        <v>39827.553481209245</v>
      </c>
      <c r="C1463">
        <f t="shared" ca="1" si="66"/>
        <v>172.44651879075536</v>
      </c>
      <c r="D1463">
        <f t="shared" ca="1" si="67"/>
        <v>0</v>
      </c>
    </row>
    <row r="1464" spans="2:4" x14ac:dyDescent="0.25">
      <c r="B1464">
        <f t="shared" ca="1" si="68"/>
        <v>42913.368760985009</v>
      </c>
      <c r="C1464">
        <f t="shared" ca="1" si="66"/>
        <v>0</v>
      </c>
      <c r="D1464">
        <f t="shared" ca="1" si="67"/>
        <v>2913.3687609850094</v>
      </c>
    </row>
    <row r="1465" spans="2:4" x14ac:dyDescent="0.25">
      <c r="B1465">
        <f t="shared" ca="1" si="68"/>
        <v>45732.408825083869</v>
      </c>
      <c r="C1465">
        <f t="shared" ca="1" si="66"/>
        <v>0</v>
      </c>
      <c r="D1465">
        <f t="shared" ca="1" si="67"/>
        <v>5732.4088250838686</v>
      </c>
    </row>
    <row r="1466" spans="2:4" x14ac:dyDescent="0.25">
      <c r="B1466">
        <f t="shared" ca="1" si="68"/>
        <v>39554.319655723368</v>
      </c>
      <c r="C1466">
        <f t="shared" ca="1" si="66"/>
        <v>445.68034427663224</v>
      </c>
      <c r="D1466">
        <f t="shared" ca="1" si="67"/>
        <v>0</v>
      </c>
    </row>
    <row r="1467" spans="2:4" x14ac:dyDescent="0.25">
      <c r="B1467">
        <f t="shared" ca="1" si="68"/>
        <v>49010.39379561774</v>
      </c>
      <c r="C1467">
        <f t="shared" ca="1" si="66"/>
        <v>0</v>
      </c>
      <c r="D1467">
        <f t="shared" ca="1" si="67"/>
        <v>9010.3937956177397</v>
      </c>
    </row>
    <row r="1468" spans="2:4" x14ac:dyDescent="0.25">
      <c r="B1468">
        <f t="shared" ca="1" si="68"/>
        <v>46392.155221343288</v>
      </c>
      <c r="C1468">
        <f t="shared" ca="1" si="66"/>
        <v>0</v>
      </c>
      <c r="D1468">
        <f t="shared" ca="1" si="67"/>
        <v>6392.1552213432878</v>
      </c>
    </row>
    <row r="1469" spans="2:4" x14ac:dyDescent="0.25">
      <c r="B1469">
        <f t="shared" ca="1" si="68"/>
        <v>46247.07522781461</v>
      </c>
      <c r="C1469">
        <f t="shared" ca="1" si="66"/>
        <v>0</v>
      </c>
      <c r="D1469">
        <f t="shared" ca="1" si="67"/>
        <v>6247.0752278146101</v>
      </c>
    </row>
    <row r="1470" spans="2:4" x14ac:dyDescent="0.25">
      <c r="B1470">
        <f t="shared" ca="1" si="68"/>
        <v>50265.655210073375</v>
      </c>
      <c r="C1470">
        <f t="shared" ca="1" si="66"/>
        <v>0</v>
      </c>
      <c r="D1470">
        <f t="shared" ca="1" si="67"/>
        <v>10265.655210073375</v>
      </c>
    </row>
    <row r="1471" spans="2:4" x14ac:dyDescent="0.25">
      <c r="B1471">
        <f t="shared" ca="1" si="68"/>
        <v>44312.034241367415</v>
      </c>
      <c r="C1471">
        <f t="shared" ca="1" si="66"/>
        <v>0</v>
      </c>
      <c r="D1471">
        <f t="shared" ca="1" si="67"/>
        <v>4312.0342413674152</v>
      </c>
    </row>
    <row r="1472" spans="2:4" x14ac:dyDescent="0.25">
      <c r="B1472">
        <f t="shared" ca="1" si="68"/>
        <v>49336.29844642918</v>
      </c>
      <c r="C1472">
        <f t="shared" ca="1" si="66"/>
        <v>0</v>
      </c>
      <c r="D1472">
        <f t="shared" ca="1" si="67"/>
        <v>9336.2984464291803</v>
      </c>
    </row>
    <row r="1473" spans="2:4" x14ac:dyDescent="0.25">
      <c r="B1473">
        <f t="shared" ca="1" si="68"/>
        <v>41951.882779471038</v>
      </c>
      <c r="C1473">
        <f t="shared" ca="1" si="66"/>
        <v>0</v>
      </c>
      <c r="D1473">
        <f t="shared" ca="1" si="67"/>
        <v>1951.8827794710378</v>
      </c>
    </row>
    <row r="1474" spans="2:4" x14ac:dyDescent="0.25">
      <c r="B1474">
        <f t="shared" ca="1" si="68"/>
        <v>39656.541919052819</v>
      </c>
      <c r="C1474">
        <f t="shared" ca="1" si="66"/>
        <v>343.45808094718086</v>
      </c>
      <c r="D1474">
        <f t="shared" ca="1" si="67"/>
        <v>0</v>
      </c>
    </row>
    <row r="1475" spans="2:4" x14ac:dyDescent="0.25">
      <c r="B1475">
        <f t="shared" ca="1" si="68"/>
        <v>45279.890320864433</v>
      </c>
      <c r="C1475">
        <f t="shared" ca="1" si="66"/>
        <v>0</v>
      </c>
      <c r="D1475">
        <f t="shared" ca="1" si="67"/>
        <v>5279.8903208644333</v>
      </c>
    </row>
    <row r="1476" spans="2:4" x14ac:dyDescent="0.25">
      <c r="B1476">
        <f t="shared" ca="1" si="68"/>
        <v>45329.362189709267</v>
      </c>
      <c r="C1476">
        <f t="shared" ca="1" si="66"/>
        <v>0</v>
      </c>
      <c r="D1476">
        <f t="shared" ca="1" si="67"/>
        <v>5329.3621897092671</v>
      </c>
    </row>
    <row r="1477" spans="2:4" x14ac:dyDescent="0.25">
      <c r="B1477">
        <f t="shared" ca="1" si="68"/>
        <v>46184.196245504107</v>
      </c>
      <c r="C1477">
        <f t="shared" ca="1" si="66"/>
        <v>0</v>
      </c>
      <c r="D1477">
        <f t="shared" ca="1" si="67"/>
        <v>6184.1962455041066</v>
      </c>
    </row>
    <row r="1478" spans="2:4" x14ac:dyDescent="0.25">
      <c r="B1478">
        <f t="shared" ca="1" si="68"/>
        <v>51997.84817284577</v>
      </c>
      <c r="C1478">
        <f t="shared" ca="1" si="66"/>
        <v>0</v>
      </c>
      <c r="D1478">
        <f t="shared" ca="1" si="67"/>
        <v>11997.84817284577</v>
      </c>
    </row>
    <row r="1479" spans="2:4" x14ac:dyDescent="0.25">
      <c r="B1479">
        <f t="shared" ca="1" si="68"/>
        <v>45411.000320238149</v>
      </c>
      <c r="C1479">
        <f t="shared" ca="1" si="66"/>
        <v>0</v>
      </c>
      <c r="D1479">
        <f t="shared" ca="1" si="67"/>
        <v>5411.0003202381486</v>
      </c>
    </row>
    <row r="1480" spans="2:4" x14ac:dyDescent="0.25">
      <c r="B1480">
        <f t="shared" ca="1" si="68"/>
        <v>50847.265477236215</v>
      </c>
      <c r="C1480">
        <f t="shared" ca="1" si="66"/>
        <v>0</v>
      </c>
      <c r="D1480">
        <f t="shared" ca="1" si="67"/>
        <v>10847.265477236215</v>
      </c>
    </row>
    <row r="1481" spans="2:4" x14ac:dyDescent="0.25">
      <c r="B1481">
        <f t="shared" ca="1" si="68"/>
        <v>42910.634115963068</v>
      </c>
      <c r="C1481">
        <f t="shared" ca="1" si="66"/>
        <v>0</v>
      </c>
      <c r="D1481">
        <f t="shared" ca="1" si="67"/>
        <v>2910.6341159630683</v>
      </c>
    </row>
    <row r="1482" spans="2:4" x14ac:dyDescent="0.25">
      <c r="B1482">
        <f t="shared" ca="1" si="68"/>
        <v>43669.196697606349</v>
      </c>
      <c r="C1482">
        <f t="shared" ca="1" si="66"/>
        <v>0</v>
      </c>
      <c r="D1482">
        <f t="shared" ca="1" si="67"/>
        <v>3669.1966976063486</v>
      </c>
    </row>
    <row r="1483" spans="2:4" x14ac:dyDescent="0.25">
      <c r="B1483">
        <f t="shared" ca="1" si="68"/>
        <v>47711.548416029749</v>
      </c>
      <c r="C1483">
        <f t="shared" ca="1" si="66"/>
        <v>0</v>
      </c>
      <c r="D1483">
        <f t="shared" ca="1" si="67"/>
        <v>7711.5484160297492</v>
      </c>
    </row>
    <row r="1484" spans="2:4" x14ac:dyDescent="0.25">
      <c r="B1484">
        <f t="shared" ca="1" si="68"/>
        <v>42178.678172829641</v>
      </c>
      <c r="C1484">
        <f t="shared" ref="C1484:C1547" ca="1" si="69">IF(MAX($B$2-B1484)&lt;0,0,$B$2-B1484)</f>
        <v>0</v>
      </c>
      <c r="D1484">
        <f t="shared" ref="D1484:D1547" ca="1" si="70">IF(MAX(B1484-$B$2)&lt;0,0,B1484-$B$2)</f>
        <v>2178.678172829641</v>
      </c>
    </row>
    <row r="1485" spans="2:4" x14ac:dyDescent="0.25">
      <c r="B1485">
        <f t="shared" ref="B1485:B1548" ca="1" si="71">$B$1*EXP((($B$4-($B$3^2)/2)*$B$5+$B$3*SQRT($B$5)*NORMSINV(RAND())))</f>
        <v>47115.552602700089</v>
      </c>
      <c r="C1485">
        <f t="shared" ca="1" si="69"/>
        <v>0</v>
      </c>
      <c r="D1485">
        <f t="shared" ca="1" si="70"/>
        <v>7115.5526027000888</v>
      </c>
    </row>
    <row r="1486" spans="2:4" x14ac:dyDescent="0.25">
      <c r="B1486">
        <f t="shared" ca="1" si="71"/>
        <v>46543.779919344408</v>
      </c>
      <c r="C1486">
        <f t="shared" ca="1" si="69"/>
        <v>0</v>
      </c>
      <c r="D1486">
        <f t="shared" ca="1" si="70"/>
        <v>6543.779919344408</v>
      </c>
    </row>
    <row r="1487" spans="2:4" x14ac:dyDescent="0.25">
      <c r="B1487">
        <f t="shared" ca="1" si="71"/>
        <v>49185.300565785554</v>
      </c>
      <c r="C1487">
        <f t="shared" ca="1" si="69"/>
        <v>0</v>
      </c>
      <c r="D1487">
        <f t="shared" ca="1" si="70"/>
        <v>9185.3005657855538</v>
      </c>
    </row>
    <row r="1488" spans="2:4" x14ac:dyDescent="0.25">
      <c r="B1488">
        <f t="shared" ca="1" si="71"/>
        <v>43305.498062222054</v>
      </c>
      <c r="C1488">
        <f t="shared" ca="1" si="69"/>
        <v>0</v>
      </c>
      <c r="D1488">
        <f t="shared" ca="1" si="70"/>
        <v>3305.4980622220537</v>
      </c>
    </row>
    <row r="1489" spans="2:4" x14ac:dyDescent="0.25">
      <c r="B1489">
        <f t="shared" ca="1" si="71"/>
        <v>39952.186591226382</v>
      </c>
      <c r="C1489">
        <f t="shared" ca="1" si="69"/>
        <v>47.813408773617994</v>
      </c>
      <c r="D1489">
        <f t="shared" ca="1" si="70"/>
        <v>0</v>
      </c>
    </row>
    <row r="1490" spans="2:4" x14ac:dyDescent="0.25">
      <c r="B1490">
        <f t="shared" ca="1" si="71"/>
        <v>51109.251061141673</v>
      </c>
      <c r="C1490">
        <f t="shared" ca="1" si="69"/>
        <v>0</v>
      </c>
      <c r="D1490">
        <f t="shared" ca="1" si="70"/>
        <v>11109.251061141673</v>
      </c>
    </row>
    <row r="1491" spans="2:4" x14ac:dyDescent="0.25">
      <c r="B1491">
        <f t="shared" ca="1" si="71"/>
        <v>48475.79983243809</v>
      </c>
      <c r="C1491">
        <f t="shared" ca="1" si="69"/>
        <v>0</v>
      </c>
      <c r="D1491">
        <f t="shared" ca="1" si="70"/>
        <v>8475.7998324380897</v>
      </c>
    </row>
    <row r="1492" spans="2:4" x14ac:dyDescent="0.25">
      <c r="B1492">
        <f t="shared" ca="1" si="71"/>
        <v>36936.977280398598</v>
      </c>
      <c r="C1492">
        <f t="shared" ca="1" si="69"/>
        <v>3063.0227196014021</v>
      </c>
      <c r="D1492">
        <f t="shared" ca="1" si="70"/>
        <v>0</v>
      </c>
    </row>
    <row r="1493" spans="2:4" x14ac:dyDescent="0.25">
      <c r="B1493">
        <f t="shared" ca="1" si="71"/>
        <v>45184.982279023468</v>
      </c>
      <c r="C1493">
        <f t="shared" ca="1" si="69"/>
        <v>0</v>
      </c>
      <c r="D1493">
        <f t="shared" ca="1" si="70"/>
        <v>5184.9822790234684</v>
      </c>
    </row>
    <row r="1494" spans="2:4" x14ac:dyDescent="0.25">
      <c r="B1494">
        <f t="shared" ca="1" si="71"/>
        <v>42913.879326451235</v>
      </c>
      <c r="C1494">
        <f t="shared" ca="1" si="69"/>
        <v>0</v>
      </c>
      <c r="D1494">
        <f t="shared" ca="1" si="70"/>
        <v>2913.8793264512351</v>
      </c>
    </row>
    <row r="1495" spans="2:4" x14ac:dyDescent="0.25">
      <c r="B1495">
        <f t="shared" ca="1" si="71"/>
        <v>51556.204524392029</v>
      </c>
      <c r="C1495">
        <f t="shared" ca="1" si="69"/>
        <v>0</v>
      </c>
      <c r="D1495">
        <f t="shared" ca="1" si="70"/>
        <v>11556.204524392029</v>
      </c>
    </row>
    <row r="1496" spans="2:4" x14ac:dyDescent="0.25">
      <c r="B1496">
        <f t="shared" ca="1" si="71"/>
        <v>44943.456990497725</v>
      </c>
      <c r="C1496">
        <f t="shared" ca="1" si="69"/>
        <v>0</v>
      </c>
      <c r="D1496">
        <f t="shared" ca="1" si="70"/>
        <v>4943.4569904977252</v>
      </c>
    </row>
    <row r="1497" spans="2:4" x14ac:dyDescent="0.25">
      <c r="B1497">
        <f t="shared" ca="1" si="71"/>
        <v>36194.295312845541</v>
      </c>
      <c r="C1497">
        <f t="shared" ca="1" si="69"/>
        <v>3805.704687154459</v>
      </c>
      <c r="D1497">
        <f t="shared" ca="1" si="70"/>
        <v>0</v>
      </c>
    </row>
    <row r="1498" spans="2:4" x14ac:dyDescent="0.25">
      <c r="B1498">
        <f t="shared" ca="1" si="71"/>
        <v>42011.995728599941</v>
      </c>
      <c r="C1498">
        <f t="shared" ca="1" si="69"/>
        <v>0</v>
      </c>
      <c r="D1498">
        <f t="shared" ca="1" si="70"/>
        <v>2011.9957285999408</v>
      </c>
    </row>
    <row r="1499" spans="2:4" x14ac:dyDescent="0.25">
      <c r="B1499">
        <f t="shared" ca="1" si="71"/>
        <v>49080.274996243847</v>
      </c>
      <c r="C1499">
        <f t="shared" ca="1" si="69"/>
        <v>0</v>
      </c>
      <c r="D1499">
        <f t="shared" ca="1" si="70"/>
        <v>9080.2749962438465</v>
      </c>
    </row>
    <row r="1500" spans="2:4" x14ac:dyDescent="0.25">
      <c r="B1500">
        <f t="shared" ca="1" si="71"/>
        <v>48043.233522857081</v>
      </c>
      <c r="C1500">
        <f t="shared" ca="1" si="69"/>
        <v>0</v>
      </c>
      <c r="D1500">
        <f t="shared" ca="1" si="70"/>
        <v>8043.233522857081</v>
      </c>
    </row>
    <row r="1501" spans="2:4" x14ac:dyDescent="0.25">
      <c r="B1501">
        <f t="shared" ca="1" si="71"/>
        <v>45585.720492319168</v>
      </c>
      <c r="C1501">
        <f t="shared" ca="1" si="69"/>
        <v>0</v>
      </c>
      <c r="D1501">
        <f t="shared" ca="1" si="70"/>
        <v>5585.7204923191675</v>
      </c>
    </row>
    <row r="1502" spans="2:4" x14ac:dyDescent="0.25">
      <c r="B1502">
        <f t="shared" ca="1" si="71"/>
        <v>41116.042091907599</v>
      </c>
      <c r="C1502">
        <f t="shared" ca="1" si="69"/>
        <v>0</v>
      </c>
      <c r="D1502">
        <f t="shared" ca="1" si="70"/>
        <v>1116.0420919075987</v>
      </c>
    </row>
    <row r="1503" spans="2:4" x14ac:dyDescent="0.25">
      <c r="B1503">
        <f t="shared" ca="1" si="71"/>
        <v>45681.182627117181</v>
      </c>
      <c r="C1503">
        <f t="shared" ca="1" si="69"/>
        <v>0</v>
      </c>
      <c r="D1503">
        <f t="shared" ca="1" si="70"/>
        <v>5681.1826271171813</v>
      </c>
    </row>
    <row r="1504" spans="2:4" x14ac:dyDescent="0.25">
      <c r="B1504">
        <f t="shared" ca="1" si="71"/>
        <v>42776.575266034328</v>
      </c>
      <c r="C1504">
        <f t="shared" ca="1" si="69"/>
        <v>0</v>
      </c>
      <c r="D1504">
        <f t="shared" ca="1" si="70"/>
        <v>2776.5752660343278</v>
      </c>
    </row>
    <row r="1505" spans="2:4" x14ac:dyDescent="0.25">
      <c r="B1505">
        <f t="shared" ca="1" si="71"/>
        <v>47568.55409144835</v>
      </c>
      <c r="C1505">
        <f t="shared" ca="1" si="69"/>
        <v>0</v>
      </c>
      <c r="D1505">
        <f t="shared" ca="1" si="70"/>
        <v>7568.5540914483499</v>
      </c>
    </row>
    <row r="1506" spans="2:4" x14ac:dyDescent="0.25">
      <c r="B1506">
        <f t="shared" ca="1" si="71"/>
        <v>50814.658101543188</v>
      </c>
      <c r="C1506">
        <f t="shared" ca="1" si="69"/>
        <v>0</v>
      </c>
      <c r="D1506">
        <f t="shared" ca="1" si="70"/>
        <v>10814.658101543188</v>
      </c>
    </row>
    <row r="1507" spans="2:4" x14ac:dyDescent="0.25">
      <c r="B1507">
        <f t="shared" ca="1" si="71"/>
        <v>37893.878981791306</v>
      </c>
      <c r="C1507">
        <f t="shared" ca="1" si="69"/>
        <v>2106.1210182086943</v>
      </c>
      <c r="D1507">
        <f t="shared" ca="1" si="70"/>
        <v>0</v>
      </c>
    </row>
    <row r="1508" spans="2:4" x14ac:dyDescent="0.25">
      <c r="B1508">
        <f t="shared" ca="1" si="71"/>
        <v>45755.043415594315</v>
      </c>
      <c r="C1508">
        <f t="shared" ca="1" si="69"/>
        <v>0</v>
      </c>
      <c r="D1508">
        <f t="shared" ca="1" si="70"/>
        <v>5755.0434155943149</v>
      </c>
    </row>
    <row r="1509" spans="2:4" x14ac:dyDescent="0.25">
      <c r="B1509">
        <f t="shared" ca="1" si="71"/>
        <v>36161.183839888799</v>
      </c>
      <c r="C1509">
        <f t="shared" ca="1" si="69"/>
        <v>3838.8161601112006</v>
      </c>
      <c r="D1509">
        <f t="shared" ca="1" si="70"/>
        <v>0</v>
      </c>
    </row>
    <row r="1510" spans="2:4" x14ac:dyDescent="0.25">
      <c r="B1510">
        <f t="shared" ca="1" si="71"/>
        <v>44983.674541714987</v>
      </c>
      <c r="C1510">
        <f t="shared" ca="1" si="69"/>
        <v>0</v>
      </c>
      <c r="D1510">
        <f t="shared" ca="1" si="70"/>
        <v>4983.6745417149868</v>
      </c>
    </row>
    <row r="1511" spans="2:4" x14ac:dyDescent="0.25">
      <c r="B1511">
        <f t="shared" ca="1" si="71"/>
        <v>40424.429099085508</v>
      </c>
      <c r="C1511">
        <f t="shared" ca="1" si="69"/>
        <v>0</v>
      </c>
      <c r="D1511">
        <f t="shared" ca="1" si="70"/>
        <v>424.42909908550791</v>
      </c>
    </row>
    <row r="1512" spans="2:4" x14ac:dyDescent="0.25">
      <c r="B1512">
        <f t="shared" ca="1" si="71"/>
        <v>44319.360080784965</v>
      </c>
      <c r="C1512">
        <f t="shared" ca="1" si="69"/>
        <v>0</v>
      </c>
      <c r="D1512">
        <f t="shared" ca="1" si="70"/>
        <v>4319.3600807849652</v>
      </c>
    </row>
    <row r="1513" spans="2:4" x14ac:dyDescent="0.25">
      <c r="B1513">
        <f t="shared" ca="1" si="71"/>
        <v>44076.999457437894</v>
      </c>
      <c r="C1513">
        <f t="shared" ca="1" si="69"/>
        <v>0</v>
      </c>
      <c r="D1513">
        <f t="shared" ca="1" si="70"/>
        <v>4076.9994574378943</v>
      </c>
    </row>
    <row r="1514" spans="2:4" x14ac:dyDescent="0.25">
      <c r="B1514">
        <f t="shared" ca="1" si="71"/>
        <v>48182.425791507427</v>
      </c>
      <c r="C1514">
        <f t="shared" ca="1" si="69"/>
        <v>0</v>
      </c>
      <c r="D1514">
        <f t="shared" ca="1" si="70"/>
        <v>8182.4257915074268</v>
      </c>
    </row>
    <row r="1515" spans="2:4" x14ac:dyDescent="0.25">
      <c r="B1515">
        <f t="shared" ca="1" si="71"/>
        <v>44729.0302532856</v>
      </c>
      <c r="C1515">
        <f t="shared" ca="1" si="69"/>
        <v>0</v>
      </c>
      <c r="D1515">
        <f t="shared" ca="1" si="70"/>
        <v>4729.0302532856003</v>
      </c>
    </row>
    <row r="1516" spans="2:4" x14ac:dyDescent="0.25">
      <c r="B1516">
        <f t="shared" ca="1" si="71"/>
        <v>42728.38779009859</v>
      </c>
      <c r="C1516">
        <f t="shared" ca="1" si="69"/>
        <v>0</v>
      </c>
      <c r="D1516">
        <f t="shared" ca="1" si="70"/>
        <v>2728.3877900985899</v>
      </c>
    </row>
    <row r="1517" spans="2:4" x14ac:dyDescent="0.25">
      <c r="B1517">
        <f t="shared" ca="1" si="71"/>
        <v>48142.870856698559</v>
      </c>
      <c r="C1517">
        <f t="shared" ca="1" si="69"/>
        <v>0</v>
      </c>
      <c r="D1517">
        <f t="shared" ca="1" si="70"/>
        <v>8142.8708566985588</v>
      </c>
    </row>
    <row r="1518" spans="2:4" x14ac:dyDescent="0.25">
      <c r="B1518">
        <f t="shared" ca="1" si="71"/>
        <v>44748.127657430472</v>
      </c>
      <c r="C1518">
        <f t="shared" ca="1" si="69"/>
        <v>0</v>
      </c>
      <c r="D1518">
        <f t="shared" ca="1" si="70"/>
        <v>4748.127657430472</v>
      </c>
    </row>
    <row r="1519" spans="2:4" x14ac:dyDescent="0.25">
      <c r="B1519">
        <f t="shared" ca="1" si="71"/>
        <v>38048.516779347447</v>
      </c>
      <c r="C1519">
        <f t="shared" ca="1" si="69"/>
        <v>1951.4832206525534</v>
      </c>
      <c r="D1519">
        <f t="shared" ca="1" si="70"/>
        <v>0</v>
      </c>
    </row>
    <row r="1520" spans="2:4" x14ac:dyDescent="0.25">
      <c r="B1520">
        <f t="shared" ca="1" si="71"/>
        <v>43340.042919360007</v>
      </c>
      <c r="C1520">
        <f t="shared" ca="1" si="69"/>
        <v>0</v>
      </c>
      <c r="D1520">
        <f t="shared" ca="1" si="70"/>
        <v>3340.0429193600066</v>
      </c>
    </row>
    <row r="1521" spans="2:4" x14ac:dyDescent="0.25">
      <c r="B1521">
        <f t="shared" ca="1" si="71"/>
        <v>35824.632345810016</v>
      </c>
      <c r="C1521">
        <f t="shared" ca="1" si="69"/>
        <v>4175.367654189984</v>
      </c>
      <c r="D1521">
        <f t="shared" ca="1" si="70"/>
        <v>0</v>
      </c>
    </row>
    <row r="1522" spans="2:4" x14ac:dyDescent="0.25">
      <c r="B1522">
        <f t="shared" ca="1" si="71"/>
        <v>46603.855774896387</v>
      </c>
      <c r="C1522">
        <f t="shared" ca="1" si="69"/>
        <v>0</v>
      </c>
      <c r="D1522">
        <f t="shared" ca="1" si="70"/>
        <v>6603.8557748963867</v>
      </c>
    </row>
    <row r="1523" spans="2:4" x14ac:dyDescent="0.25">
      <c r="B1523">
        <f t="shared" ca="1" si="71"/>
        <v>49433.089135612194</v>
      </c>
      <c r="C1523">
        <f t="shared" ca="1" si="69"/>
        <v>0</v>
      </c>
      <c r="D1523">
        <f t="shared" ca="1" si="70"/>
        <v>9433.0891356121938</v>
      </c>
    </row>
    <row r="1524" spans="2:4" x14ac:dyDescent="0.25">
      <c r="B1524">
        <f t="shared" ca="1" si="71"/>
        <v>44393.6919514943</v>
      </c>
      <c r="C1524">
        <f t="shared" ca="1" si="69"/>
        <v>0</v>
      </c>
      <c r="D1524">
        <f t="shared" ca="1" si="70"/>
        <v>4393.6919514943002</v>
      </c>
    </row>
    <row r="1525" spans="2:4" x14ac:dyDescent="0.25">
      <c r="B1525">
        <f t="shared" ca="1" si="71"/>
        <v>44082.240568413152</v>
      </c>
      <c r="C1525">
        <f t="shared" ca="1" si="69"/>
        <v>0</v>
      </c>
      <c r="D1525">
        <f t="shared" ca="1" si="70"/>
        <v>4082.2405684131518</v>
      </c>
    </row>
    <row r="1526" spans="2:4" x14ac:dyDescent="0.25">
      <c r="B1526">
        <f t="shared" ca="1" si="71"/>
        <v>44706.63827903667</v>
      </c>
      <c r="C1526">
        <f t="shared" ca="1" si="69"/>
        <v>0</v>
      </c>
      <c r="D1526">
        <f t="shared" ca="1" si="70"/>
        <v>4706.6382790366697</v>
      </c>
    </row>
    <row r="1527" spans="2:4" x14ac:dyDescent="0.25">
      <c r="B1527">
        <f t="shared" ca="1" si="71"/>
        <v>49320.791849581103</v>
      </c>
      <c r="C1527">
        <f t="shared" ca="1" si="69"/>
        <v>0</v>
      </c>
      <c r="D1527">
        <f t="shared" ca="1" si="70"/>
        <v>9320.7918495811027</v>
      </c>
    </row>
    <row r="1528" spans="2:4" x14ac:dyDescent="0.25">
      <c r="B1528">
        <f t="shared" ca="1" si="71"/>
        <v>44248.952630803025</v>
      </c>
      <c r="C1528">
        <f t="shared" ca="1" si="69"/>
        <v>0</v>
      </c>
      <c r="D1528">
        <f t="shared" ca="1" si="70"/>
        <v>4248.9526308030254</v>
      </c>
    </row>
    <row r="1529" spans="2:4" x14ac:dyDescent="0.25">
      <c r="B1529">
        <f t="shared" ca="1" si="71"/>
        <v>39558.912868065658</v>
      </c>
      <c r="C1529">
        <f t="shared" ca="1" si="69"/>
        <v>441.08713193434232</v>
      </c>
      <c r="D1529">
        <f t="shared" ca="1" si="70"/>
        <v>0</v>
      </c>
    </row>
    <row r="1530" spans="2:4" x14ac:dyDescent="0.25">
      <c r="B1530">
        <f t="shared" ca="1" si="71"/>
        <v>38847.860772806976</v>
      </c>
      <c r="C1530">
        <f t="shared" ca="1" si="69"/>
        <v>1152.1392271930235</v>
      </c>
      <c r="D1530">
        <f t="shared" ca="1" si="70"/>
        <v>0</v>
      </c>
    </row>
    <row r="1531" spans="2:4" x14ac:dyDescent="0.25">
      <c r="B1531">
        <f t="shared" ca="1" si="71"/>
        <v>50023.984917527901</v>
      </c>
      <c r="C1531">
        <f t="shared" ca="1" si="69"/>
        <v>0</v>
      </c>
      <c r="D1531">
        <f t="shared" ca="1" si="70"/>
        <v>10023.984917527901</v>
      </c>
    </row>
    <row r="1532" spans="2:4" x14ac:dyDescent="0.25">
      <c r="B1532">
        <f t="shared" ca="1" si="71"/>
        <v>45508.751523223051</v>
      </c>
      <c r="C1532">
        <f t="shared" ca="1" si="69"/>
        <v>0</v>
      </c>
      <c r="D1532">
        <f t="shared" ca="1" si="70"/>
        <v>5508.7515232230508</v>
      </c>
    </row>
    <row r="1533" spans="2:4" x14ac:dyDescent="0.25">
      <c r="B1533">
        <f t="shared" ca="1" si="71"/>
        <v>41859.655501954854</v>
      </c>
      <c r="C1533">
        <f t="shared" ca="1" si="69"/>
        <v>0</v>
      </c>
      <c r="D1533">
        <f t="shared" ca="1" si="70"/>
        <v>1859.6555019548541</v>
      </c>
    </row>
    <row r="1534" spans="2:4" x14ac:dyDescent="0.25">
      <c r="B1534">
        <f t="shared" ca="1" si="71"/>
        <v>44630.599967570037</v>
      </c>
      <c r="C1534">
        <f t="shared" ca="1" si="69"/>
        <v>0</v>
      </c>
      <c r="D1534">
        <f t="shared" ca="1" si="70"/>
        <v>4630.5999675700368</v>
      </c>
    </row>
    <row r="1535" spans="2:4" x14ac:dyDescent="0.25">
      <c r="B1535">
        <f t="shared" ca="1" si="71"/>
        <v>44878.887736272714</v>
      </c>
      <c r="C1535">
        <f t="shared" ca="1" si="69"/>
        <v>0</v>
      </c>
      <c r="D1535">
        <f t="shared" ca="1" si="70"/>
        <v>4878.8877362727144</v>
      </c>
    </row>
    <row r="1536" spans="2:4" x14ac:dyDescent="0.25">
      <c r="B1536">
        <f t="shared" ca="1" si="71"/>
        <v>50100.959829637701</v>
      </c>
      <c r="C1536">
        <f t="shared" ca="1" si="69"/>
        <v>0</v>
      </c>
      <c r="D1536">
        <f t="shared" ca="1" si="70"/>
        <v>10100.959829637701</v>
      </c>
    </row>
    <row r="1537" spans="2:4" x14ac:dyDescent="0.25">
      <c r="B1537">
        <f t="shared" ca="1" si="71"/>
        <v>46383.40395341588</v>
      </c>
      <c r="C1537">
        <f t="shared" ca="1" si="69"/>
        <v>0</v>
      </c>
      <c r="D1537">
        <f t="shared" ca="1" si="70"/>
        <v>6383.4039534158801</v>
      </c>
    </row>
    <row r="1538" spans="2:4" x14ac:dyDescent="0.25">
      <c r="B1538">
        <f t="shared" ca="1" si="71"/>
        <v>57880.771611220625</v>
      </c>
      <c r="C1538">
        <f t="shared" ca="1" si="69"/>
        <v>0</v>
      </c>
      <c r="D1538">
        <f t="shared" ca="1" si="70"/>
        <v>17880.771611220625</v>
      </c>
    </row>
    <row r="1539" spans="2:4" x14ac:dyDescent="0.25">
      <c r="B1539">
        <f t="shared" ca="1" si="71"/>
        <v>49942.691195050858</v>
      </c>
      <c r="C1539">
        <f t="shared" ca="1" si="69"/>
        <v>0</v>
      </c>
      <c r="D1539">
        <f t="shared" ca="1" si="70"/>
        <v>9942.6911950508584</v>
      </c>
    </row>
    <row r="1540" spans="2:4" x14ac:dyDescent="0.25">
      <c r="B1540">
        <f t="shared" ca="1" si="71"/>
        <v>40149.110442153666</v>
      </c>
      <c r="C1540">
        <f t="shared" ca="1" si="69"/>
        <v>0</v>
      </c>
      <c r="D1540">
        <f t="shared" ca="1" si="70"/>
        <v>149.11044215366564</v>
      </c>
    </row>
    <row r="1541" spans="2:4" x14ac:dyDescent="0.25">
      <c r="B1541">
        <f t="shared" ca="1" si="71"/>
        <v>49732.626562221194</v>
      </c>
      <c r="C1541">
        <f t="shared" ca="1" si="69"/>
        <v>0</v>
      </c>
      <c r="D1541">
        <f t="shared" ca="1" si="70"/>
        <v>9732.626562221194</v>
      </c>
    </row>
    <row r="1542" spans="2:4" x14ac:dyDescent="0.25">
      <c r="B1542">
        <f t="shared" ca="1" si="71"/>
        <v>36387.109877335453</v>
      </c>
      <c r="C1542">
        <f t="shared" ca="1" si="69"/>
        <v>3612.8901226645467</v>
      </c>
      <c r="D1542">
        <f t="shared" ca="1" si="70"/>
        <v>0</v>
      </c>
    </row>
    <row r="1543" spans="2:4" x14ac:dyDescent="0.25">
      <c r="B1543">
        <f t="shared" ca="1" si="71"/>
        <v>43735.304795450153</v>
      </c>
      <c r="C1543">
        <f t="shared" ca="1" si="69"/>
        <v>0</v>
      </c>
      <c r="D1543">
        <f t="shared" ca="1" si="70"/>
        <v>3735.3047954501526</v>
      </c>
    </row>
    <row r="1544" spans="2:4" x14ac:dyDescent="0.25">
      <c r="B1544">
        <f t="shared" ca="1" si="71"/>
        <v>51276.620398546576</v>
      </c>
      <c r="C1544">
        <f t="shared" ca="1" si="69"/>
        <v>0</v>
      </c>
      <c r="D1544">
        <f t="shared" ca="1" si="70"/>
        <v>11276.620398546576</v>
      </c>
    </row>
    <row r="1545" spans="2:4" x14ac:dyDescent="0.25">
      <c r="B1545">
        <f t="shared" ca="1" si="71"/>
        <v>41311.139802084879</v>
      </c>
      <c r="C1545">
        <f t="shared" ca="1" si="69"/>
        <v>0</v>
      </c>
      <c r="D1545">
        <f t="shared" ca="1" si="70"/>
        <v>1311.1398020848792</v>
      </c>
    </row>
    <row r="1546" spans="2:4" x14ac:dyDescent="0.25">
      <c r="B1546">
        <f t="shared" ca="1" si="71"/>
        <v>48514.775601207693</v>
      </c>
      <c r="C1546">
        <f t="shared" ca="1" si="69"/>
        <v>0</v>
      </c>
      <c r="D1546">
        <f t="shared" ca="1" si="70"/>
        <v>8514.7756012076934</v>
      </c>
    </row>
    <row r="1547" spans="2:4" x14ac:dyDescent="0.25">
      <c r="B1547">
        <f t="shared" ca="1" si="71"/>
        <v>49387.754728380743</v>
      </c>
      <c r="C1547">
        <f t="shared" ca="1" si="69"/>
        <v>0</v>
      </c>
      <c r="D1547">
        <f t="shared" ca="1" si="70"/>
        <v>9387.7547283807435</v>
      </c>
    </row>
    <row r="1548" spans="2:4" x14ac:dyDescent="0.25">
      <c r="B1548">
        <f t="shared" ca="1" si="71"/>
        <v>42926.297330264715</v>
      </c>
      <c r="C1548">
        <f t="shared" ref="C1548:C1611" ca="1" si="72">IF(MAX($B$2-B1548)&lt;0,0,$B$2-B1548)</f>
        <v>0</v>
      </c>
      <c r="D1548">
        <f t="shared" ref="D1548:D1611" ca="1" si="73">IF(MAX(B1548-$B$2)&lt;0,0,B1548-$B$2)</f>
        <v>2926.2973302647151</v>
      </c>
    </row>
    <row r="1549" spans="2:4" x14ac:dyDescent="0.25">
      <c r="B1549">
        <f t="shared" ref="B1549:B1612" ca="1" si="74">$B$1*EXP((($B$4-($B$3^2)/2)*$B$5+$B$3*SQRT($B$5)*NORMSINV(RAND())))</f>
        <v>43646.035014654015</v>
      </c>
      <c r="C1549">
        <f t="shared" ca="1" si="72"/>
        <v>0</v>
      </c>
      <c r="D1549">
        <f t="shared" ca="1" si="73"/>
        <v>3646.035014654015</v>
      </c>
    </row>
    <row r="1550" spans="2:4" x14ac:dyDescent="0.25">
      <c r="B1550">
        <f t="shared" ca="1" si="74"/>
        <v>39789.680872159421</v>
      </c>
      <c r="C1550">
        <f t="shared" ca="1" si="72"/>
        <v>210.31912784057931</v>
      </c>
      <c r="D1550">
        <f t="shared" ca="1" si="73"/>
        <v>0</v>
      </c>
    </row>
    <row r="1551" spans="2:4" x14ac:dyDescent="0.25">
      <c r="B1551">
        <f t="shared" ca="1" si="74"/>
        <v>40311.43774304197</v>
      </c>
      <c r="C1551">
        <f t="shared" ca="1" si="72"/>
        <v>0</v>
      </c>
      <c r="D1551">
        <f t="shared" ca="1" si="73"/>
        <v>311.43774304196995</v>
      </c>
    </row>
    <row r="1552" spans="2:4" x14ac:dyDescent="0.25">
      <c r="B1552">
        <f t="shared" ca="1" si="74"/>
        <v>45822.356891396157</v>
      </c>
      <c r="C1552">
        <f t="shared" ca="1" si="72"/>
        <v>0</v>
      </c>
      <c r="D1552">
        <f t="shared" ca="1" si="73"/>
        <v>5822.3568913961572</v>
      </c>
    </row>
    <row r="1553" spans="2:4" x14ac:dyDescent="0.25">
      <c r="B1553">
        <f t="shared" ca="1" si="74"/>
        <v>39772.851419740124</v>
      </c>
      <c r="C1553">
        <f t="shared" ca="1" si="72"/>
        <v>227.14858025987633</v>
      </c>
      <c r="D1553">
        <f t="shared" ca="1" si="73"/>
        <v>0</v>
      </c>
    </row>
    <row r="1554" spans="2:4" x14ac:dyDescent="0.25">
      <c r="B1554">
        <f t="shared" ca="1" si="74"/>
        <v>52185.810479812004</v>
      </c>
      <c r="C1554">
        <f t="shared" ca="1" si="72"/>
        <v>0</v>
      </c>
      <c r="D1554">
        <f t="shared" ca="1" si="73"/>
        <v>12185.810479812004</v>
      </c>
    </row>
    <row r="1555" spans="2:4" x14ac:dyDescent="0.25">
      <c r="B1555">
        <f t="shared" ca="1" si="74"/>
        <v>51568.877384555657</v>
      </c>
      <c r="C1555">
        <f t="shared" ca="1" si="72"/>
        <v>0</v>
      </c>
      <c r="D1555">
        <f t="shared" ca="1" si="73"/>
        <v>11568.877384555657</v>
      </c>
    </row>
    <row r="1556" spans="2:4" x14ac:dyDescent="0.25">
      <c r="B1556">
        <f t="shared" ca="1" si="74"/>
        <v>46381.655127009028</v>
      </c>
      <c r="C1556">
        <f t="shared" ca="1" si="72"/>
        <v>0</v>
      </c>
      <c r="D1556">
        <f t="shared" ca="1" si="73"/>
        <v>6381.6551270090276</v>
      </c>
    </row>
    <row r="1557" spans="2:4" x14ac:dyDescent="0.25">
      <c r="B1557">
        <f t="shared" ca="1" si="74"/>
        <v>48367.694102059322</v>
      </c>
      <c r="C1557">
        <f t="shared" ca="1" si="72"/>
        <v>0</v>
      </c>
      <c r="D1557">
        <f t="shared" ca="1" si="73"/>
        <v>8367.6941020593222</v>
      </c>
    </row>
    <row r="1558" spans="2:4" x14ac:dyDescent="0.25">
      <c r="B1558">
        <f t="shared" ca="1" si="74"/>
        <v>44087.693109439315</v>
      </c>
      <c r="C1558">
        <f t="shared" ca="1" si="72"/>
        <v>0</v>
      </c>
      <c r="D1558">
        <f t="shared" ca="1" si="73"/>
        <v>4087.6931094393149</v>
      </c>
    </row>
    <row r="1559" spans="2:4" x14ac:dyDescent="0.25">
      <c r="B1559">
        <f t="shared" ca="1" si="74"/>
        <v>45709.222943154971</v>
      </c>
      <c r="C1559">
        <f t="shared" ca="1" si="72"/>
        <v>0</v>
      </c>
      <c r="D1559">
        <f t="shared" ca="1" si="73"/>
        <v>5709.2229431549713</v>
      </c>
    </row>
    <row r="1560" spans="2:4" x14ac:dyDescent="0.25">
      <c r="B1560">
        <f t="shared" ca="1" si="74"/>
        <v>43690.664865285064</v>
      </c>
      <c r="C1560">
        <f t="shared" ca="1" si="72"/>
        <v>0</v>
      </c>
      <c r="D1560">
        <f t="shared" ca="1" si="73"/>
        <v>3690.6648652850636</v>
      </c>
    </row>
    <row r="1561" spans="2:4" x14ac:dyDescent="0.25">
      <c r="B1561">
        <f t="shared" ca="1" si="74"/>
        <v>45884.27990958486</v>
      </c>
      <c r="C1561">
        <f t="shared" ca="1" si="72"/>
        <v>0</v>
      </c>
      <c r="D1561">
        <f t="shared" ca="1" si="73"/>
        <v>5884.2799095848604</v>
      </c>
    </row>
    <row r="1562" spans="2:4" x14ac:dyDescent="0.25">
      <c r="B1562">
        <f t="shared" ca="1" si="74"/>
        <v>46760.359105340525</v>
      </c>
      <c r="C1562">
        <f t="shared" ca="1" si="72"/>
        <v>0</v>
      </c>
      <c r="D1562">
        <f t="shared" ca="1" si="73"/>
        <v>6760.3591053405253</v>
      </c>
    </row>
    <row r="1563" spans="2:4" x14ac:dyDescent="0.25">
      <c r="B1563">
        <f t="shared" ca="1" si="74"/>
        <v>44785.017988442873</v>
      </c>
      <c r="C1563">
        <f t="shared" ca="1" si="72"/>
        <v>0</v>
      </c>
      <c r="D1563">
        <f t="shared" ca="1" si="73"/>
        <v>4785.0179884428726</v>
      </c>
    </row>
    <row r="1564" spans="2:4" x14ac:dyDescent="0.25">
      <c r="B1564">
        <f t="shared" ca="1" si="74"/>
        <v>43689.937939797783</v>
      </c>
      <c r="C1564">
        <f t="shared" ca="1" si="72"/>
        <v>0</v>
      </c>
      <c r="D1564">
        <f t="shared" ca="1" si="73"/>
        <v>3689.9379397977827</v>
      </c>
    </row>
    <row r="1565" spans="2:4" x14ac:dyDescent="0.25">
      <c r="B1565">
        <f t="shared" ca="1" si="74"/>
        <v>46993.322366292916</v>
      </c>
      <c r="C1565">
        <f t="shared" ca="1" si="72"/>
        <v>0</v>
      </c>
      <c r="D1565">
        <f t="shared" ca="1" si="73"/>
        <v>6993.3223662929158</v>
      </c>
    </row>
    <row r="1566" spans="2:4" x14ac:dyDescent="0.25">
      <c r="B1566">
        <f t="shared" ca="1" si="74"/>
        <v>34934.042845772565</v>
      </c>
      <c r="C1566">
        <f t="shared" ca="1" si="72"/>
        <v>5065.9571542274352</v>
      </c>
      <c r="D1566">
        <f t="shared" ca="1" si="73"/>
        <v>0</v>
      </c>
    </row>
    <row r="1567" spans="2:4" x14ac:dyDescent="0.25">
      <c r="B1567">
        <f t="shared" ca="1" si="74"/>
        <v>45014.351681071217</v>
      </c>
      <c r="C1567">
        <f t="shared" ca="1" si="72"/>
        <v>0</v>
      </c>
      <c r="D1567">
        <f t="shared" ca="1" si="73"/>
        <v>5014.3516810712172</v>
      </c>
    </row>
    <row r="1568" spans="2:4" x14ac:dyDescent="0.25">
      <c r="B1568">
        <f t="shared" ca="1" si="74"/>
        <v>48545.352581874897</v>
      </c>
      <c r="C1568">
        <f t="shared" ca="1" si="72"/>
        <v>0</v>
      </c>
      <c r="D1568">
        <f t="shared" ca="1" si="73"/>
        <v>8545.3525818748967</v>
      </c>
    </row>
    <row r="1569" spans="2:4" x14ac:dyDescent="0.25">
      <c r="B1569">
        <f t="shared" ca="1" si="74"/>
        <v>45168.471764995746</v>
      </c>
      <c r="C1569">
        <f t="shared" ca="1" si="72"/>
        <v>0</v>
      </c>
      <c r="D1569">
        <f t="shared" ca="1" si="73"/>
        <v>5168.4717649957456</v>
      </c>
    </row>
    <row r="1570" spans="2:4" x14ac:dyDescent="0.25">
      <c r="B1570">
        <f t="shared" ca="1" si="74"/>
        <v>42062.332453275543</v>
      </c>
      <c r="C1570">
        <f t="shared" ca="1" si="72"/>
        <v>0</v>
      </c>
      <c r="D1570">
        <f t="shared" ca="1" si="73"/>
        <v>2062.3324532755432</v>
      </c>
    </row>
    <row r="1571" spans="2:4" x14ac:dyDescent="0.25">
      <c r="B1571">
        <f t="shared" ca="1" si="74"/>
        <v>45552.647699537585</v>
      </c>
      <c r="C1571">
        <f t="shared" ca="1" si="72"/>
        <v>0</v>
      </c>
      <c r="D1571">
        <f t="shared" ca="1" si="73"/>
        <v>5552.6476995375851</v>
      </c>
    </row>
    <row r="1572" spans="2:4" x14ac:dyDescent="0.25">
      <c r="B1572">
        <f t="shared" ca="1" si="74"/>
        <v>47302.932320710388</v>
      </c>
      <c r="C1572">
        <f t="shared" ca="1" si="72"/>
        <v>0</v>
      </c>
      <c r="D1572">
        <f t="shared" ca="1" si="73"/>
        <v>7302.932320710388</v>
      </c>
    </row>
    <row r="1573" spans="2:4" x14ac:dyDescent="0.25">
      <c r="B1573">
        <f t="shared" ca="1" si="74"/>
        <v>39967.307899852924</v>
      </c>
      <c r="C1573">
        <f t="shared" ca="1" si="72"/>
        <v>32.692100147076417</v>
      </c>
      <c r="D1573">
        <f t="shared" ca="1" si="73"/>
        <v>0</v>
      </c>
    </row>
    <row r="1574" spans="2:4" x14ac:dyDescent="0.25">
      <c r="B1574">
        <f t="shared" ca="1" si="74"/>
        <v>37540.362795948779</v>
      </c>
      <c r="C1574">
        <f t="shared" ca="1" si="72"/>
        <v>2459.6372040512215</v>
      </c>
      <c r="D1574">
        <f t="shared" ca="1" si="73"/>
        <v>0</v>
      </c>
    </row>
    <row r="1575" spans="2:4" x14ac:dyDescent="0.25">
      <c r="B1575">
        <f t="shared" ca="1" si="74"/>
        <v>51989.655867890557</v>
      </c>
      <c r="C1575">
        <f t="shared" ca="1" si="72"/>
        <v>0</v>
      </c>
      <c r="D1575">
        <f t="shared" ca="1" si="73"/>
        <v>11989.655867890557</v>
      </c>
    </row>
    <row r="1576" spans="2:4" x14ac:dyDescent="0.25">
      <c r="B1576">
        <f t="shared" ca="1" si="74"/>
        <v>43063.60096813026</v>
      </c>
      <c r="C1576">
        <f t="shared" ca="1" si="72"/>
        <v>0</v>
      </c>
      <c r="D1576">
        <f t="shared" ca="1" si="73"/>
        <v>3063.6009681302603</v>
      </c>
    </row>
    <row r="1577" spans="2:4" x14ac:dyDescent="0.25">
      <c r="B1577">
        <f t="shared" ca="1" si="74"/>
        <v>44577.503855798277</v>
      </c>
      <c r="C1577">
        <f t="shared" ca="1" si="72"/>
        <v>0</v>
      </c>
      <c r="D1577">
        <f t="shared" ca="1" si="73"/>
        <v>4577.5038557982771</v>
      </c>
    </row>
    <row r="1578" spans="2:4" x14ac:dyDescent="0.25">
      <c r="B1578">
        <f t="shared" ca="1" si="74"/>
        <v>42856.160546117775</v>
      </c>
      <c r="C1578">
        <f t="shared" ca="1" si="72"/>
        <v>0</v>
      </c>
      <c r="D1578">
        <f t="shared" ca="1" si="73"/>
        <v>2856.1605461177751</v>
      </c>
    </row>
    <row r="1579" spans="2:4" x14ac:dyDescent="0.25">
      <c r="B1579">
        <f t="shared" ca="1" si="74"/>
        <v>51352.006016590058</v>
      </c>
      <c r="C1579">
        <f t="shared" ca="1" si="72"/>
        <v>0</v>
      </c>
      <c r="D1579">
        <f t="shared" ca="1" si="73"/>
        <v>11352.006016590058</v>
      </c>
    </row>
    <row r="1580" spans="2:4" x14ac:dyDescent="0.25">
      <c r="B1580">
        <f t="shared" ca="1" si="74"/>
        <v>44175.732559804208</v>
      </c>
      <c r="C1580">
        <f t="shared" ca="1" si="72"/>
        <v>0</v>
      </c>
      <c r="D1580">
        <f t="shared" ca="1" si="73"/>
        <v>4175.732559804208</v>
      </c>
    </row>
    <row r="1581" spans="2:4" x14ac:dyDescent="0.25">
      <c r="B1581">
        <f t="shared" ca="1" si="74"/>
        <v>38272.802089366531</v>
      </c>
      <c r="C1581">
        <f t="shared" ca="1" si="72"/>
        <v>1727.1979106334693</v>
      </c>
      <c r="D1581">
        <f t="shared" ca="1" si="73"/>
        <v>0</v>
      </c>
    </row>
    <row r="1582" spans="2:4" x14ac:dyDescent="0.25">
      <c r="B1582">
        <f t="shared" ca="1" si="74"/>
        <v>41837.208976587128</v>
      </c>
      <c r="C1582">
        <f t="shared" ca="1" si="72"/>
        <v>0</v>
      </c>
      <c r="D1582">
        <f t="shared" ca="1" si="73"/>
        <v>1837.2089765871278</v>
      </c>
    </row>
    <row r="1583" spans="2:4" x14ac:dyDescent="0.25">
      <c r="B1583">
        <f t="shared" ca="1" si="74"/>
        <v>43718.353914680396</v>
      </c>
      <c r="C1583">
        <f t="shared" ca="1" si="72"/>
        <v>0</v>
      </c>
      <c r="D1583">
        <f t="shared" ca="1" si="73"/>
        <v>3718.353914680396</v>
      </c>
    </row>
    <row r="1584" spans="2:4" x14ac:dyDescent="0.25">
      <c r="B1584">
        <f t="shared" ca="1" si="74"/>
        <v>45825.030959057229</v>
      </c>
      <c r="C1584">
        <f t="shared" ca="1" si="72"/>
        <v>0</v>
      </c>
      <c r="D1584">
        <f t="shared" ca="1" si="73"/>
        <v>5825.0309590572288</v>
      </c>
    </row>
    <row r="1585" spans="2:4" x14ac:dyDescent="0.25">
      <c r="B1585">
        <f t="shared" ca="1" si="74"/>
        <v>54850.155542144385</v>
      </c>
      <c r="C1585">
        <f t="shared" ca="1" si="72"/>
        <v>0</v>
      </c>
      <c r="D1585">
        <f t="shared" ca="1" si="73"/>
        <v>14850.155542144385</v>
      </c>
    </row>
    <row r="1586" spans="2:4" x14ac:dyDescent="0.25">
      <c r="B1586">
        <f t="shared" ca="1" si="74"/>
        <v>46215.244747662022</v>
      </c>
      <c r="C1586">
        <f t="shared" ca="1" si="72"/>
        <v>0</v>
      </c>
      <c r="D1586">
        <f t="shared" ca="1" si="73"/>
        <v>6215.2447476620218</v>
      </c>
    </row>
    <row r="1587" spans="2:4" x14ac:dyDescent="0.25">
      <c r="B1587">
        <f t="shared" ca="1" si="74"/>
        <v>49948.801269344716</v>
      </c>
      <c r="C1587">
        <f t="shared" ca="1" si="72"/>
        <v>0</v>
      </c>
      <c r="D1587">
        <f t="shared" ca="1" si="73"/>
        <v>9948.8012693447163</v>
      </c>
    </row>
    <row r="1588" spans="2:4" x14ac:dyDescent="0.25">
      <c r="B1588">
        <f t="shared" ca="1" si="74"/>
        <v>45053.245158236365</v>
      </c>
      <c r="C1588">
        <f t="shared" ca="1" si="72"/>
        <v>0</v>
      </c>
      <c r="D1588">
        <f t="shared" ca="1" si="73"/>
        <v>5053.2451582363647</v>
      </c>
    </row>
    <row r="1589" spans="2:4" x14ac:dyDescent="0.25">
      <c r="B1589">
        <f t="shared" ca="1" si="74"/>
        <v>39971.21402901267</v>
      </c>
      <c r="C1589">
        <f t="shared" ca="1" si="72"/>
        <v>28.785970987330074</v>
      </c>
      <c r="D1589">
        <f t="shared" ca="1" si="73"/>
        <v>0</v>
      </c>
    </row>
    <row r="1590" spans="2:4" x14ac:dyDescent="0.25">
      <c r="B1590">
        <f t="shared" ca="1" si="74"/>
        <v>43286.959903081093</v>
      </c>
      <c r="C1590">
        <f t="shared" ca="1" si="72"/>
        <v>0</v>
      </c>
      <c r="D1590">
        <f t="shared" ca="1" si="73"/>
        <v>3286.9599030810932</v>
      </c>
    </row>
    <row r="1591" spans="2:4" x14ac:dyDescent="0.25">
      <c r="B1591">
        <f t="shared" ca="1" si="74"/>
        <v>45154.63059604774</v>
      </c>
      <c r="C1591">
        <f t="shared" ca="1" si="72"/>
        <v>0</v>
      </c>
      <c r="D1591">
        <f t="shared" ca="1" si="73"/>
        <v>5154.6305960477403</v>
      </c>
    </row>
    <row r="1592" spans="2:4" x14ac:dyDescent="0.25">
      <c r="B1592">
        <f t="shared" ca="1" si="74"/>
        <v>44388.242338978962</v>
      </c>
      <c r="C1592">
        <f t="shared" ca="1" si="72"/>
        <v>0</v>
      </c>
      <c r="D1592">
        <f t="shared" ca="1" si="73"/>
        <v>4388.2423389789619</v>
      </c>
    </row>
    <row r="1593" spans="2:4" x14ac:dyDescent="0.25">
      <c r="B1593">
        <f t="shared" ca="1" si="74"/>
        <v>42136.507485017253</v>
      </c>
      <c r="C1593">
        <f t="shared" ca="1" si="72"/>
        <v>0</v>
      </c>
      <c r="D1593">
        <f t="shared" ca="1" si="73"/>
        <v>2136.5074850172532</v>
      </c>
    </row>
    <row r="1594" spans="2:4" x14ac:dyDescent="0.25">
      <c r="B1594">
        <f t="shared" ca="1" si="74"/>
        <v>40086.567872838874</v>
      </c>
      <c r="C1594">
        <f t="shared" ca="1" si="72"/>
        <v>0</v>
      </c>
      <c r="D1594">
        <f t="shared" ca="1" si="73"/>
        <v>86.567872838873882</v>
      </c>
    </row>
    <row r="1595" spans="2:4" x14ac:dyDescent="0.25">
      <c r="B1595">
        <f t="shared" ca="1" si="74"/>
        <v>49760.776198666063</v>
      </c>
      <c r="C1595">
        <f t="shared" ca="1" si="72"/>
        <v>0</v>
      </c>
      <c r="D1595">
        <f t="shared" ca="1" si="73"/>
        <v>9760.7761986660626</v>
      </c>
    </row>
    <row r="1596" spans="2:4" x14ac:dyDescent="0.25">
      <c r="B1596">
        <f t="shared" ca="1" si="74"/>
        <v>40541.558403524796</v>
      </c>
      <c r="C1596">
        <f t="shared" ca="1" si="72"/>
        <v>0</v>
      </c>
      <c r="D1596">
        <f t="shared" ca="1" si="73"/>
        <v>541.55840352479572</v>
      </c>
    </row>
    <row r="1597" spans="2:4" x14ac:dyDescent="0.25">
      <c r="B1597">
        <f t="shared" ca="1" si="74"/>
        <v>45294.175994381265</v>
      </c>
      <c r="C1597">
        <f t="shared" ca="1" si="72"/>
        <v>0</v>
      </c>
      <c r="D1597">
        <f t="shared" ca="1" si="73"/>
        <v>5294.1759943812649</v>
      </c>
    </row>
    <row r="1598" spans="2:4" x14ac:dyDescent="0.25">
      <c r="B1598">
        <f t="shared" ca="1" si="74"/>
        <v>50724.722315989813</v>
      </c>
      <c r="C1598">
        <f t="shared" ca="1" si="72"/>
        <v>0</v>
      </c>
      <c r="D1598">
        <f t="shared" ca="1" si="73"/>
        <v>10724.722315989813</v>
      </c>
    </row>
    <row r="1599" spans="2:4" x14ac:dyDescent="0.25">
      <c r="B1599">
        <f t="shared" ca="1" si="74"/>
        <v>43931.542681479244</v>
      </c>
      <c r="C1599">
        <f t="shared" ca="1" si="72"/>
        <v>0</v>
      </c>
      <c r="D1599">
        <f t="shared" ca="1" si="73"/>
        <v>3931.5426814792445</v>
      </c>
    </row>
    <row r="1600" spans="2:4" x14ac:dyDescent="0.25">
      <c r="B1600">
        <f t="shared" ca="1" si="74"/>
        <v>45839.160974693827</v>
      </c>
      <c r="C1600">
        <f t="shared" ca="1" si="72"/>
        <v>0</v>
      </c>
      <c r="D1600">
        <f t="shared" ca="1" si="73"/>
        <v>5839.1609746938266</v>
      </c>
    </row>
    <row r="1601" spans="2:4" x14ac:dyDescent="0.25">
      <c r="B1601">
        <f t="shared" ca="1" si="74"/>
        <v>40710.069857587267</v>
      </c>
      <c r="C1601">
        <f t="shared" ca="1" si="72"/>
        <v>0</v>
      </c>
      <c r="D1601">
        <f t="shared" ca="1" si="73"/>
        <v>710.0698575872666</v>
      </c>
    </row>
    <row r="1602" spans="2:4" x14ac:dyDescent="0.25">
      <c r="B1602">
        <f t="shared" ca="1" si="74"/>
        <v>46472.844977539193</v>
      </c>
      <c r="C1602">
        <f t="shared" ca="1" si="72"/>
        <v>0</v>
      </c>
      <c r="D1602">
        <f t="shared" ca="1" si="73"/>
        <v>6472.8449775391928</v>
      </c>
    </row>
    <row r="1603" spans="2:4" x14ac:dyDescent="0.25">
      <c r="B1603">
        <f t="shared" ca="1" si="74"/>
        <v>45497.336943141308</v>
      </c>
      <c r="C1603">
        <f t="shared" ca="1" si="72"/>
        <v>0</v>
      </c>
      <c r="D1603">
        <f t="shared" ca="1" si="73"/>
        <v>5497.3369431413084</v>
      </c>
    </row>
    <row r="1604" spans="2:4" x14ac:dyDescent="0.25">
      <c r="B1604">
        <f t="shared" ca="1" si="74"/>
        <v>46033.533298926719</v>
      </c>
      <c r="C1604">
        <f t="shared" ca="1" si="72"/>
        <v>0</v>
      </c>
      <c r="D1604">
        <f t="shared" ca="1" si="73"/>
        <v>6033.533298926719</v>
      </c>
    </row>
    <row r="1605" spans="2:4" x14ac:dyDescent="0.25">
      <c r="B1605">
        <f t="shared" ca="1" si="74"/>
        <v>49073.241705262983</v>
      </c>
      <c r="C1605">
        <f t="shared" ca="1" si="72"/>
        <v>0</v>
      </c>
      <c r="D1605">
        <f t="shared" ca="1" si="73"/>
        <v>9073.2417052629826</v>
      </c>
    </row>
    <row r="1606" spans="2:4" x14ac:dyDescent="0.25">
      <c r="B1606">
        <f t="shared" ca="1" si="74"/>
        <v>46329.727812127247</v>
      </c>
      <c r="C1606">
        <f t="shared" ca="1" si="72"/>
        <v>0</v>
      </c>
      <c r="D1606">
        <f t="shared" ca="1" si="73"/>
        <v>6329.7278121272466</v>
      </c>
    </row>
    <row r="1607" spans="2:4" x14ac:dyDescent="0.25">
      <c r="B1607">
        <f t="shared" ca="1" si="74"/>
        <v>43433.056161932873</v>
      </c>
      <c r="C1607">
        <f t="shared" ca="1" si="72"/>
        <v>0</v>
      </c>
      <c r="D1607">
        <f t="shared" ca="1" si="73"/>
        <v>3433.0561619328728</v>
      </c>
    </row>
    <row r="1608" spans="2:4" x14ac:dyDescent="0.25">
      <c r="B1608">
        <f t="shared" ca="1" si="74"/>
        <v>44891.335000013838</v>
      </c>
      <c r="C1608">
        <f t="shared" ca="1" si="72"/>
        <v>0</v>
      </c>
      <c r="D1608">
        <f t="shared" ca="1" si="73"/>
        <v>4891.335000013838</v>
      </c>
    </row>
    <row r="1609" spans="2:4" x14ac:dyDescent="0.25">
      <c r="B1609">
        <f t="shared" ca="1" si="74"/>
        <v>48493.081928139065</v>
      </c>
      <c r="C1609">
        <f t="shared" ca="1" si="72"/>
        <v>0</v>
      </c>
      <c r="D1609">
        <f t="shared" ca="1" si="73"/>
        <v>8493.081928139065</v>
      </c>
    </row>
    <row r="1610" spans="2:4" x14ac:dyDescent="0.25">
      <c r="B1610">
        <f t="shared" ca="1" si="74"/>
        <v>54424.882941458156</v>
      </c>
      <c r="C1610">
        <f t="shared" ca="1" si="72"/>
        <v>0</v>
      </c>
      <c r="D1610">
        <f t="shared" ca="1" si="73"/>
        <v>14424.882941458156</v>
      </c>
    </row>
    <row r="1611" spans="2:4" x14ac:dyDescent="0.25">
      <c r="B1611">
        <f t="shared" ca="1" si="74"/>
        <v>55172.132397187808</v>
      </c>
      <c r="C1611">
        <f t="shared" ca="1" si="72"/>
        <v>0</v>
      </c>
      <c r="D1611">
        <f t="shared" ca="1" si="73"/>
        <v>15172.132397187808</v>
      </c>
    </row>
    <row r="1612" spans="2:4" x14ac:dyDescent="0.25">
      <c r="B1612">
        <f t="shared" ca="1" si="74"/>
        <v>39405.161271896781</v>
      </c>
      <c r="C1612">
        <f t="shared" ref="C1612:C1675" ca="1" si="75">IF(MAX($B$2-B1612)&lt;0,0,$B$2-B1612)</f>
        <v>594.83872810321918</v>
      </c>
      <c r="D1612">
        <f t="shared" ref="D1612:D1675" ca="1" si="76">IF(MAX(B1612-$B$2)&lt;0,0,B1612-$B$2)</f>
        <v>0</v>
      </c>
    </row>
    <row r="1613" spans="2:4" x14ac:dyDescent="0.25">
      <c r="B1613">
        <f t="shared" ref="B1613:B1676" ca="1" si="77">$B$1*EXP((($B$4-($B$3^2)/2)*$B$5+$B$3*SQRT($B$5)*NORMSINV(RAND())))</f>
        <v>51002.228710721909</v>
      </c>
      <c r="C1613">
        <f t="shared" ca="1" si="75"/>
        <v>0</v>
      </c>
      <c r="D1613">
        <f t="shared" ca="1" si="76"/>
        <v>11002.228710721909</v>
      </c>
    </row>
    <row r="1614" spans="2:4" x14ac:dyDescent="0.25">
      <c r="B1614">
        <f t="shared" ca="1" si="77"/>
        <v>38910.014798405587</v>
      </c>
      <c r="C1614">
        <f t="shared" ca="1" si="75"/>
        <v>1089.9852015944125</v>
      </c>
      <c r="D1614">
        <f t="shared" ca="1" si="76"/>
        <v>0</v>
      </c>
    </row>
    <row r="1615" spans="2:4" x14ac:dyDescent="0.25">
      <c r="B1615">
        <f t="shared" ca="1" si="77"/>
        <v>48866.665446068357</v>
      </c>
      <c r="C1615">
        <f t="shared" ca="1" si="75"/>
        <v>0</v>
      </c>
      <c r="D1615">
        <f t="shared" ca="1" si="76"/>
        <v>8866.6654460683567</v>
      </c>
    </row>
    <row r="1616" spans="2:4" x14ac:dyDescent="0.25">
      <c r="B1616">
        <f t="shared" ca="1" si="77"/>
        <v>42407.231276200844</v>
      </c>
      <c r="C1616">
        <f t="shared" ca="1" si="75"/>
        <v>0</v>
      </c>
      <c r="D1616">
        <f t="shared" ca="1" si="76"/>
        <v>2407.2312762008441</v>
      </c>
    </row>
    <row r="1617" spans="2:4" x14ac:dyDescent="0.25">
      <c r="B1617">
        <f t="shared" ca="1" si="77"/>
        <v>49600.640020809224</v>
      </c>
      <c r="C1617">
        <f t="shared" ca="1" si="75"/>
        <v>0</v>
      </c>
      <c r="D1617">
        <f t="shared" ca="1" si="76"/>
        <v>9600.6400208092236</v>
      </c>
    </row>
    <row r="1618" spans="2:4" x14ac:dyDescent="0.25">
      <c r="B1618">
        <f t="shared" ca="1" si="77"/>
        <v>37129.615902976613</v>
      </c>
      <c r="C1618">
        <f t="shared" ca="1" si="75"/>
        <v>2870.3840970233869</v>
      </c>
      <c r="D1618">
        <f t="shared" ca="1" si="76"/>
        <v>0</v>
      </c>
    </row>
    <row r="1619" spans="2:4" x14ac:dyDescent="0.25">
      <c r="B1619">
        <f t="shared" ca="1" si="77"/>
        <v>47316.734374501189</v>
      </c>
      <c r="C1619">
        <f t="shared" ca="1" si="75"/>
        <v>0</v>
      </c>
      <c r="D1619">
        <f t="shared" ca="1" si="76"/>
        <v>7316.7343745011894</v>
      </c>
    </row>
    <row r="1620" spans="2:4" x14ac:dyDescent="0.25">
      <c r="B1620">
        <f t="shared" ca="1" si="77"/>
        <v>48036.086607900674</v>
      </c>
      <c r="C1620">
        <f t="shared" ca="1" si="75"/>
        <v>0</v>
      </c>
      <c r="D1620">
        <f t="shared" ca="1" si="76"/>
        <v>8036.0866079006737</v>
      </c>
    </row>
    <row r="1621" spans="2:4" x14ac:dyDescent="0.25">
      <c r="B1621">
        <f t="shared" ca="1" si="77"/>
        <v>51876.985766364087</v>
      </c>
      <c r="C1621">
        <f t="shared" ca="1" si="75"/>
        <v>0</v>
      </c>
      <c r="D1621">
        <f t="shared" ca="1" si="76"/>
        <v>11876.985766364087</v>
      </c>
    </row>
    <row r="1622" spans="2:4" x14ac:dyDescent="0.25">
      <c r="B1622">
        <f t="shared" ca="1" si="77"/>
        <v>51646.668694138098</v>
      </c>
      <c r="C1622">
        <f t="shared" ca="1" si="75"/>
        <v>0</v>
      </c>
      <c r="D1622">
        <f t="shared" ca="1" si="76"/>
        <v>11646.668694138098</v>
      </c>
    </row>
    <row r="1623" spans="2:4" x14ac:dyDescent="0.25">
      <c r="B1623">
        <f t="shared" ca="1" si="77"/>
        <v>53916.614119592137</v>
      </c>
      <c r="C1623">
        <f t="shared" ca="1" si="75"/>
        <v>0</v>
      </c>
      <c r="D1623">
        <f t="shared" ca="1" si="76"/>
        <v>13916.614119592137</v>
      </c>
    </row>
    <row r="1624" spans="2:4" x14ac:dyDescent="0.25">
      <c r="B1624">
        <f t="shared" ca="1" si="77"/>
        <v>42522.51036223035</v>
      </c>
      <c r="C1624">
        <f t="shared" ca="1" si="75"/>
        <v>0</v>
      </c>
      <c r="D1624">
        <f t="shared" ca="1" si="76"/>
        <v>2522.5103622303504</v>
      </c>
    </row>
    <row r="1625" spans="2:4" x14ac:dyDescent="0.25">
      <c r="B1625">
        <f t="shared" ca="1" si="77"/>
        <v>49708.266070169448</v>
      </c>
      <c r="C1625">
        <f t="shared" ca="1" si="75"/>
        <v>0</v>
      </c>
      <c r="D1625">
        <f t="shared" ca="1" si="76"/>
        <v>9708.2660701694476</v>
      </c>
    </row>
    <row r="1626" spans="2:4" x14ac:dyDescent="0.25">
      <c r="B1626">
        <f t="shared" ca="1" si="77"/>
        <v>41958.379481954122</v>
      </c>
      <c r="C1626">
        <f t="shared" ca="1" si="75"/>
        <v>0</v>
      </c>
      <c r="D1626">
        <f t="shared" ca="1" si="76"/>
        <v>1958.3794819541217</v>
      </c>
    </row>
    <row r="1627" spans="2:4" x14ac:dyDescent="0.25">
      <c r="B1627">
        <f t="shared" ca="1" si="77"/>
        <v>32487.660855038735</v>
      </c>
      <c r="C1627">
        <f t="shared" ca="1" si="75"/>
        <v>7512.3391449612645</v>
      </c>
      <c r="D1627">
        <f t="shared" ca="1" si="76"/>
        <v>0</v>
      </c>
    </row>
    <row r="1628" spans="2:4" x14ac:dyDescent="0.25">
      <c r="B1628">
        <f t="shared" ca="1" si="77"/>
        <v>51014.917355979916</v>
      </c>
      <c r="C1628">
        <f t="shared" ca="1" si="75"/>
        <v>0</v>
      </c>
      <c r="D1628">
        <f t="shared" ca="1" si="76"/>
        <v>11014.917355979916</v>
      </c>
    </row>
    <row r="1629" spans="2:4" x14ac:dyDescent="0.25">
      <c r="B1629">
        <f t="shared" ca="1" si="77"/>
        <v>45158.631511353531</v>
      </c>
      <c r="C1629">
        <f t="shared" ca="1" si="75"/>
        <v>0</v>
      </c>
      <c r="D1629">
        <f t="shared" ca="1" si="76"/>
        <v>5158.6315113535311</v>
      </c>
    </row>
    <row r="1630" spans="2:4" x14ac:dyDescent="0.25">
      <c r="B1630">
        <f t="shared" ca="1" si="77"/>
        <v>48597.599970135925</v>
      </c>
      <c r="C1630">
        <f t="shared" ca="1" si="75"/>
        <v>0</v>
      </c>
      <c r="D1630">
        <f t="shared" ca="1" si="76"/>
        <v>8597.5999701359251</v>
      </c>
    </row>
    <row r="1631" spans="2:4" x14ac:dyDescent="0.25">
      <c r="B1631">
        <f t="shared" ca="1" si="77"/>
        <v>48169.423304553558</v>
      </c>
      <c r="C1631">
        <f t="shared" ca="1" si="75"/>
        <v>0</v>
      </c>
      <c r="D1631">
        <f t="shared" ca="1" si="76"/>
        <v>8169.4233045535584</v>
      </c>
    </row>
    <row r="1632" spans="2:4" x14ac:dyDescent="0.25">
      <c r="B1632">
        <f t="shared" ca="1" si="77"/>
        <v>42039.57034972524</v>
      </c>
      <c r="C1632">
        <f t="shared" ca="1" si="75"/>
        <v>0</v>
      </c>
      <c r="D1632">
        <f t="shared" ca="1" si="76"/>
        <v>2039.5703497252398</v>
      </c>
    </row>
    <row r="1633" spans="2:4" x14ac:dyDescent="0.25">
      <c r="B1633">
        <f t="shared" ca="1" si="77"/>
        <v>45348.12997533138</v>
      </c>
      <c r="C1633">
        <f t="shared" ca="1" si="75"/>
        <v>0</v>
      </c>
      <c r="D1633">
        <f t="shared" ca="1" si="76"/>
        <v>5348.1299753313797</v>
      </c>
    </row>
    <row r="1634" spans="2:4" x14ac:dyDescent="0.25">
      <c r="B1634">
        <f t="shared" ca="1" si="77"/>
        <v>40545.342316431786</v>
      </c>
      <c r="C1634">
        <f t="shared" ca="1" si="75"/>
        <v>0</v>
      </c>
      <c r="D1634">
        <f t="shared" ca="1" si="76"/>
        <v>545.34231643178646</v>
      </c>
    </row>
    <row r="1635" spans="2:4" x14ac:dyDescent="0.25">
      <c r="B1635">
        <f t="shared" ca="1" si="77"/>
        <v>40986.158533570851</v>
      </c>
      <c r="C1635">
        <f t="shared" ca="1" si="75"/>
        <v>0</v>
      </c>
      <c r="D1635">
        <f t="shared" ca="1" si="76"/>
        <v>986.15853357085143</v>
      </c>
    </row>
    <row r="1636" spans="2:4" x14ac:dyDescent="0.25">
      <c r="B1636">
        <f t="shared" ca="1" si="77"/>
        <v>40230.383666524889</v>
      </c>
      <c r="C1636">
        <f t="shared" ca="1" si="75"/>
        <v>0</v>
      </c>
      <c r="D1636">
        <f t="shared" ca="1" si="76"/>
        <v>230.38366652488912</v>
      </c>
    </row>
    <row r="1637" spans="2:4" x14ac:dyDescent="0.25">
      <c r="B1637">
        <f t="shared" ca="1" si="77"/>
        <v>40227.710135920155</v>
      </c>
      <c r="C1637">
        <f t="shared" ca="1" si="75"/>
        <v>0</v>
      </c>
      <c r="D1637">
        <f t="shared" ca="1" si="76"/>
        <v>227.71013592015515</v>
      </c>
    </row>
    <row r="1638" spans="2:4" x14ac:dyDescent="0.25">
      <c r="B1638">
        <f t="shared" ca="1" si="77"/>
        <v>39052.419473654663</v>
      </c>
      <c r="C1638">
        <f t="shared" ca="1" si="75"/>
        <v>947.58052634533669</v>
      </c>
      <c r="D1638">
        <f t="shared" ca="1" si="76"/>
        <v>0</v>
      </c>
    </row>
    <row r="1639" spans="2:4" x14ac:dyDescent="0.25">
      <c r="B1639">
        <f t="shared" ca="1" si="77"/>
        <v>47811.396840766858</v>
      </c>
      <c r="C1639">
        <f t="shared" ca="1" si="75"/>
        <v>0</v>
      </c>
      <c r="D1639">
        <f t="shared" ca="1" si="76"/>
        <v>7811.3968407668581</v>
      </c>
    </row>
    <row r="1640" spans="2:4" x14ac:dyDescent="0.25">
      <c r="B1640">
        <f t="shared" ca="1" si="77"/>
        <v>41036.898405167201</v>
      </c>
      <c r="C1640">
        <f t="shared" ca="1" si="75"/>
        <v>0</v>
      </c>
      <c r="D1640">
        <f t="shared" ca="1" si="76"/>
        <v>1036.8984051672014</v>
      </c>
    </row>
    <row r="1641" spans="2:4" x14ac:dyDescent="0.25">
      <c r="B1641">
        <f t="shared" ca="1" si="77"/>
        <v>38008.664790884242</v>
      </c>
      <c r="C1641">
        <f t="shared" ca="1" si="75"/>
        <v>1991.3352091157576</v>
      </c>
      <c r="D1641">
        <f t="shared" ca="1" si="76"/>
        <v>0</v>
      </c>
    </row>
    <row r="1642" spans="2:4" x14ac:dyDescent="0.25">
      <c r="B1642">
        <f t="shared" ca="1" si="77"/>
        <v>48266.559086903508</v>
      </c>
      <c r="C1642">
        <f t="shared" ca="1" si="75"/>
        <v>0</v>
      </c>
      <c r="D1642">
        <f t="shared" ca="1" si="76"/>
        <v>8266.5590869035077</v>
      </c>
    </row>
    <row r="1643" spans="2:4" x14ac:dyDescent="0.25">
      <c r="B1643">
        <f t="shared" ca="1" si="77"/>
        <v>37418.865635211841</v>
      </c>
      <c r="C1643">
        <f t="shared" ca="1" si="75"/>
        <v>2581.1343647881586</v>
      </c>
      <c r="D1643">
        <f t="shared" ca="1" si="76"/>
        <v>0</v>
      </c>
    </row>
    <row r="1644" spans="2:4" x14ac:dyDescent="0.25">
      <c r="B1644">
        <f t="shared" ca="1" si="77"/>
        <v>43484.815248615741</v>
      </c>
      <c r="C1644">
        <f t="shared" ca="1" si="75"/>
        <v>0</v>
      </c>
      <c r="D1644">
        <f t="shared" ca="1" si="76"/>
        <v>3484.8152486157414</v>
      </c>
    </row>
    <row r="1645" spans="2:4" x14ac:dyDescent="0.25">
      <c r="B1645">
        <f t="shared" ca="1" si="77"/>
        <v>50588.030608129629</v>
      </c>
      <c r="C1645">
        <f t="shared" ca="1" si="75"/>
        <v>0</v>
      </c>
      <c r="D1645">
        <f t="shared" ca="1" si="76"/>
        <v>10588.030608129629</v>
      </c>
    </row>
    <row r="1646" spans="2:4" x14ac:dyDescent="0.25">
      <c r="B1646">
        <f t="shared" ca="1" si="77"/>
        <v>50903.897784329733</v>
      </c>
      <c r="C1646">
        <f t="shared" ca="1" si="75"/>
        <v>0</v>
      </c>
      <c r="D1646">
        <f t="shared" ca="1" si="76"/>
        <v>10903.897784329733</v>
      </c>
    </row>
    <row r="1647" spans="2:4" x14ac:dyDescent="0.25">
      <c r="B1647">
        <f t="shared" ca="1" si="77"/>
        <v>44256.85340368485</v>
      </c>
      <c r="C1647">
        <f t="shared" ca="1" si="75"/>
        <v>0</v>
      </c>
      <c r="D1647">
        <f t="shared" ca="1" si="76"/>
        <v>4256.8534036848505</v>
      </c>
    </row>
    <row r="1648" spans="2:4" x14ac:dyDescent="0.25">
      <c r="B1648">
        <f t="shared" ca="1" si="77"/>
        <v>42672.19280195445</v>
      </c>
      <c r="C1648">
        <f t="shared" ca="1" si="75"/>
        <v>0</v>
      </c>
      <c r="D1648">
        <f t="shared" ca="1" si="76"/>
        <v>2672.1928019544503</v>
      </c>
    </row>
    <row r="1649" spans="2:4" x14ac:dyDescent="0.25">
      <c r="B1649">
        <f t="shared" ca="1" si="77"/>
        <v>44562.496925128129</v>
      </c>
      <c r="C1649">
        <f t="shared" ca="1" si="75"/>
        <v>0</v>
      </c>
      <c r="D1649">
        <f t="shared" ca="1" si="76"/>
        <v>4562.4969251281291</v>
      </c>
    </row>
    <row r="1650" spans="2:4" x14ac:dyDescent="0.25">
      <c r="B1650">
        <f t="shared" ca="1" si="77"/>
        <v>42068.600349604923</v>
      </c>
      <c r="C1650">
        <f t="shared" ca="1" si="75"/>
        <v>0</v>
      </c>
      <c r="D1650">
        <f t="shared" ca="1" si="76"/>
        <v>2068.6003496049234</v>
      </c>
    </row>
    <row r="1651" spans="2:4" x14ac:dyDescent="0.25">
      <c r="B1651">
        <f t="shared" ca="1" si="77"/>
        <v>39255.485194094079</v>
      </c>
      <c r="C1651">
        <f t="shared" ca="1" si="75"/>
        <v>744.51480590592109</v>
      </c>
      <c r="D1651">
        <f t="shared" ca="1" si="76"/>
        <v>0</v>
      </c>
    </row>
    <row r="1652" spans="2:4" x14ac:dyDescent="0.25">
      <c r="B1652">
        <f t="shared" ca="1" si="77"/>
        <v>41440.319304018369</v>
      </c>
      <c r="C1652">
        <f t="shared" ca="1" si="75"/>
        <v>0</v>
      </c>
      <c r="D1652">
        <f t="shared" ca="1" si="76"/>
        <v>1440.3193040183687</v>
      </c>
    </row>
    <row r="1653" spans="2:4" x14ac:dyDescent="0.25">
      <c r="B1653">
        <f t="shared" ca="1" si="77"/>
        <v>44083.410794333598</v>
      </c>
      <c r="C1653">
        <f t="shared" ca="1" si="75"/>
        <v>0</v>
      </c>
      <c r="D1653">
        <f t="shared" ca="1" si="76"/>
        <v>4083.4107943335985</v>
      </c>
    </row>
    <row r="1654" spans="2:4" x14ac:dyDescent="0.25">
      <c r="B1654">
        <f t="shared" ca="1" si="77"/>
        <v>42290.844372321582</v>
      </c>
      <c r="C1654">
        <f t="shared" ca="1" si="75"/>
        <v>0</v>
      </c>
      <c r="D1654">
        <f t="shared" ca="1" si="76"/>
        <v>2290.8443723215823</v>
      </c>
    </row>
    <row r="1655" spans="2:4" x14ac:dyDescent="0.25">
      <c r="B1655">
        <f t="shared" ca="1" si="77"/>
        <v>39846.522206151152</v>
      </c>
      <c r="C1655">
        <f t="shared" ca="1" si="75"/>
        <v>153.4777938488478</v>
      </c>
      <c r="D1655">
        <f t="shared" ca="1" si="76"/>
        <v>0</v>
      </c>
    </row>
    <row r="1656" spans="2:4" x14ac:dyDescent="0.25">
      <c r="B1656">
        <f t="shared" ca="1" si="77"/>
        <v>44989.098654874753</v>
      </c>
      <c r="C1656">
        <f t="shared" ca="1" si="75"/>
        <v>0</v>
      </c>
      <c r="D1656">
        <f t="shared" ca="1" si="76"/>
        <v>4989.0986548747533</v>
      </c>
    </row>
    <row r="1657" spans="2:4" x14ac:dyDescent="0.25">
      <c r="B1657">
        <f t="shared" ca="1" si="77"/>
        <v>38013.707792248679</v>
      </c>
      <c r="C1657">
        <f t="shared" ca="1" si="75"/>
        <v>1986.2922077513213</v>
      </c>
      <c r="D1657">
        <f t="shared" ca="1" si="76"/>
        <v>0</v>
      </c>
    </row>
    <row r="1658" spans="2:4" x14ac:dyDescent="0.25">
      <c r="B1658">
        <f t="shared" ca="1" si="77"/>
        <v>52412.817252252935</v>
      </c>
      <c r="C1658">
        <f t="shared" ca="1" si="75"/>
        <v>0</v>
      </c>
      <c r="D1658">
        <f t="shared" ca="1" si="76"/>
        <v>12412.817252252935</v>
      </c>
    </row>
    <row r="1659" spans="2:4" x14ac:dyDescent="0.25">
      <c r="B1659">
        <f t="shared" ca="1" si="77"/>
        <v>51332.726342805792</v>
      </c>
      <c r="C1659">
        <f t="shared" ca="1" si="75"/>
        <v>0</v>
      </c>
      <c r="D1659">
        <f t="shared" ca="1" si="76"/>
        <v>11332.726342805792</v>
      </c>
    </row>
    <row r="1660" spans="2:4" x14ac:dyDescent="0.25">
      <c r="B1660">
        <f t="shared" ca="1" si="77"/>
        <v>40527.990856329197</v>
      </c>
      <c r="C1660">
        <f t="shared" ca="1" si="75"/>
        <v>0</v>
      </c>
      <c r="D1660">
        <f t="shared" ca="1" si="76"/>
        <v>527.99085632919741</v>
      </c>
    </row>
    <row r="1661" spans="2:4" x14ac:dyDescent="0.25">
      <c r="B1661">
        <f t="shared" ca="1" si="77"/>
        <v>39722.086313845575</v>
      </c>
      <c r="C1661">
        <f t="shared" ca="1" si="75"/>
        <v>277.91368615442479</v>
      </c>
      <c r="D1661">
        <f t="shared" ca="1" si="76"/>
        <v>0</v>
      </c>
    </row>
    <row r="1662" spans="2:4" x14ac:dyDescent="0.25">
      <c r="B1662">
        <f t="shared" ca="1" si="77"/>
        <v>45770.49859633662</v>
      </c>
      <c r="C1662">
        <f t="shared" ca="1" si="75"/>
        <v>0</v>
      </c>
      <c r="D1662">
        <f t="shared" ca="1" si="76"/>
        <v>5770.4985963366198</v>
      </c>
    </row>
    <row r="1663" spans="2:4" x14ac:dyDescent="0.25">
      <c r="B1663">
        <f t="shared" ca="1" si="77"/>
        <v>42633.805198696769</v>
      </c>
      <c r="C1663">
        <f t="shared" ca="1" si="75"/>
        <v>0</v>
      </c>
      <c r="D1663">
        <f t="shared" ca="1" si="76"/>
        <v>2633.8051986967694</v>
      </c>
    </row>
    <row r="1664" spans="2:4" x14ac:dyDescent="0.25">
      <c r="B1664">
        <f t="shared" ca="1" si="77"/>
        <v>40988.513711692874</v>
      </c>
      <c r="C1664">
        <f t="shared" ca="1" si="75"/>
        <v>0</v>
      </c>
      <c r="D1664">
        <f t="shared" ca="1" si="76"/>
        <v>988.51371169287449</v>
      </c>
    </row>
    <row r="1665" spans="2:4" x14ac:dyDescent="0.25">
      <c r="B1665">
        <f t="shared" ca="1" si="77"/>
        <v>45088.012376212515</v>
      </c>
      <c r="C1665">
        <f t="shared" ca="1" si="75"/>
        <v>0</v>
      </c>
      <c r="D1665">
        <f t="shared" ca="1" si="76"/>
        <v>5088.0123762125149</v>
      </c>
    </row>
    <row r="1666" spans="2:4" x14ac:dyDescent="0.25">
      <c r="B1666">
        <f t="shared" ca="1" si="77"/>
        <v>51474.80995769627</v>
      </c>
      <c r="C1666">
        <f t="shared" ca="1" si="75"/>
        <v>0</v>
      </c>
      <c r="D1666">
        <f t="shared" ca="1" si="76"/>
        <v>11474.80995769627</v>
      </c>
    </row>
    <row r="1667" spans="2:4" x14ac:dyDescent="0.25">
      <c r="B1667">
        <f t="shared" ca="1" si="77"/>
        <v>43925.515956972951</v>
      </c>
      <c r="C1667">
        <f t="shared" ca="1" si="75"/>
        <v>0</v>
      </c>
      <c r="D1667">
        <f t="shared" ca="1" si="76"/>
        <v>3925.5159569729512</v>
      </c>
    </row>
    <row r="1668" spans="2:4" x14ac:dyDescent="0.25">
      <c r="B1668">
        <f t="shared" ca="1" si="77"/>
        <v>48240.255134097941</v>
      </c>
      <c r="C1668">
        <f t="shared" ca="1" si="75"/>
        <v>0</v>
      </c>
      <c r="D1668">
        <f t="shared" ca="1" si="76"/>
        <v>8240.2551340979408</v>
      </c>
    </row>
    <row r="1669" spans="2:4" x14ac:dyDescent="0.25">
      <c r="B1669">
        <f t="shared" ca="1" si="77"/>
        <v>43641.999076026586</v>
      </c>
      <c r="C1669">
        <f t="shared" ca="1" si="75"/>
        <v>0</v>
      </c>
      <c r="D1669">
        <f t="shared" ca="1" si="76"/>
        <v>3641.9990760265864</v>
      </c>
    </row>
    <row r="1670" spans="2:4" x14ac:dyDescent="0.25">
      <c r="B1670">
        <f t="shared" ca="1" si="77"/>
        <v>42020.157195268162</v>
      </c>
      <c r="C1670">
        <f t="shared" ca="1" si="75"/>
        <v>0</v>
      </c>
      <c r="D1670">
        <f t="shared" ca="1" si="76"/>
        <v>2020.1571952681625</v>
      </c>
    </row>
    <row r="1671" spans="2:4" x14ac:dyDescent="0.25">
      <c r="B1671">
        <f t="shared" ca="1" si="77"/>
        <v>44510.93315871113</v>
      </c>
      <c r="C1671">
        <f t="shared" ca="1" si="75"/>
        <v>0</v>
      </c>
      <c r="D1671">
        <f t="shared" ca="1" si="76"/>
        <v>4510.9331587111301</v>
      </c>
    </row>
    <row r="1672" spans="2:4" x14ac:dyDescent="0.25">
      <c r="B1672">
        <f t="shared" ca="1" si="77"/>
        <v>45060.965586064049</v>
      </c>
      <c r="C1672">
        <f t="shared" ca="1" si="75"/>
        <v>0</v>
      </c>
      <c r="D1672">
        <f t="shared" ca="1" si="76"/>
        <v>5060.9655860640487</v>
      </c>
    </row>
    <row r="1673" spans="2:4" x14ac:dyDescent="0.25">
      <c r="B1673">
        <f t="shared" ca="1" si="77"/>
        <v>43336.102743955642</v>
      </c>
      <c r="C1673">
        <f t="shared" ca="1" si="75"/>
        <v>0</v>
      </c>
      <c r="D1673">
        <f t="shared" ca="1" si="76"/>
        <v>3336.1027439556419</v>
      </c>
    </row>
    <row r="1674" spans="2:4" x14ac:dyDescent="0.25">
      <c r="B1674">
        <f t="shared" ca="1" si="77"/>
        <v>53747.936782629738</v>
      </c>
      <c r="C1674">
        <f t="shared" ca="1" si="75"/>
        <v>0</v>
      </c>
      <c r="D1674">
        <f t="shared" ca="1" si="76"/>
        <v>13747.936782629738</v>
      </c>
    </row>
    <row r="1675" spans="2:4" x14ac:dyDescent="0.25">
      <c r="B1675">
        <f t="shared" ca="1" si="77"/>
        <v>49938.592193482997</v>
      </c>
      <c r="C1675">
        <f t="shared" ca="1" si="75"/>
        <v>0</v>
      </c>
      <c r="D1675">
        <f t="shared" ca="1" si="76"/>
        <v>9938.5921934829967</v>
      </c>
    </row>
    <row r="1676" spans="2:4" x14ac:dyDescent="0.25">
      <c r="B1676">
        <f t="shared" ca="1" si="77"/>
        <v>36048.342991421421</v>
      </c>
      <c r="C1676">
        <f t="shared" ref="C1676:C1739" ca="1" si="78">IF(MAX($B$2-B1676)&lt;0,0,$B$2-B1676)</f>
        <v>3951.6570085785788</v>
      </c>
      <c r="D1676">
        <f t="shared" ref="D1676:D1739" ca="1" si="79">IF(MAX(B1676-$B$2)&lt;0,0,B1676-$B$2)</f>
        <v>0</v>
      </c>
    </row>
    <row r="1677" spans="2:4" x14ac:dyDescent="0.25">
      <c r="B1677">
        <f t="shared" ref="B1677:B1740" ca="1" si="80">$B$1*EXP((($B$4-($B$3^2)/2)*$B$5+$B$3*SQRT($B$5)*NORMSINV(RAND())))</f>
        <v>35305.797844301072</v>
      </c>
      <c r="C1677">
        <f t="shared" ca="1" si="78"/>
        <v>4694.2021556989275</v>
      </c>
      <c r="D1677">
        <f t="shared" ca="1" si="79"/>
        <v>0</v>
      </c>
    </row>
    <row r="1678" spans="2:4" x14ac:dyDescent="0.25">
      <c r="B1678">
        <f t="shared" ca="1" si="80"/>
        <v>38341.697876572056</v>
      </c>
      <c r="C1678">
        <f t="shared" ca="1" si="78"/>
        <v>1658.302123427944</v>
      </c>
      <c r="D1678">
        <f t="shared" ca="1" si="79"/>
        <v>0</v>
      </c>
    </row>
    <row r="1679" spans="2:4" x14ac:dyDescent="0.25">
      <c r="B1679">
        <f t="shared" ca="1" si="80"/>
        <v>39990.630445998802</v>
      </c>
      <c r="C1679">
        <f t="shared" ca="1" si="78"/>
        <v>9.3695540011976846</v>
      </c>
      <c r="D1679">
        <f t="shared" ca="1" si="79"/>
        <v>0</v>
      </c>
    </row>
    <row r="1680" spans="2:4" x14ac:dyDescent="0.25">
      <c r="B1680">
        <f t="shared" ca="1" si="80"/>
        <v>39738.059333774734</v>
      </c>
      <c r="C1680">
        <f t="shared" ca="1" si="78"/>
        <v>261.94066622526589</v>
      </c>
      <c r="D1680">
        <f t="shared" ca="1" si="79"/>
        <v>0</v>
      </c>
    </row>
    <row r="1681" spans="2:4" x14ac:dyDescent="0.25">
      <c r="B1681">
        <f t="shared" ca="1" si="80"/>
        <v>41106.811854540683</v>
      </c>
      <c r="C1681">
        <f t="shared" ca="1" si="78"/>
        <v>0</v>
      </c>
      <c r="D1681">
        <f t="shared" ca="1" si="79"/>
        <v>1106.8118545406833</v>
      </c>
    </row>
    <row r="1682" spans="2:4" x14ac:dyDescent="0.25">
      <c r="B1682">
        <f t="shared" ca="1" si="80"/>
        <v>45759.401041970792</v>
      </c>
      <c r="C1682">
        <f t="shared" ca="1" si="78"/>
        <v>0</v>
      </c>
      <c r="D1682">
        <f t="shared" ca="1" si="79"/>
        <v>5759.401041970792</v>
      </c>
    </row>
    <row r="1683" spans="2:4" x14ac:dyDescent="0.25">
      <c r="B1683">
        <f t="shared" ca="1" si="80"/>
        <v>41987.12617399056</v>
      </c>
      <c r="C1683">
        <f t="shared" ca="1" si="78"/>
        <v>0</v>
      </c>
      <c r="D1683">
        <f t="shared" ca="1" si="79"/>
        <v>1987.1261739905603</v>
      </c>
    </row>
    <row r="1684" spans="2:4" x14ac:dyDescent="0.25">
      <c r="B1684">
        <f t="shared" ca="1" si="80"/>
        <v>41187.309733089467</v>
      </c>
      <c r="C1684">
        <f t="shared" ca="1" si="78"/>
        <v>0</v>
      </c>
      <c r="D1684">
        <f t="shared" ca="1" si="79"/>
        <v>1187.309733089467</v>
      </c>
    </row>
    <row r="1685" spans="2:4" x14ac:dyDescent="0.25">
      <c r="B1685">
        <f t="shared" ca="1" si="80"/>
        <v>45385.171980939682</v>
      </c>
      <c r="C1685">
        <f t="shared" ca="1" si="78"/>
        <v>0</v>
      </c>
      <c r="D1685">
        <f t="shared" ca="1" si="79"/>
        <v>5385.1719809396818</v>
      </c>
    </row>
    <row r="1686" spans="2:4" x14ac:dyDescent="0.25">
      <c r="B1686">
        <f t="shared" ca="1" si="80"/>
        <v>41194.449399668069</v>
      </c>
      <c r="C1686">
        <f t="shared" ca="1" si="78"/>
        <v>0</v>
      </c>
      <c r="D1686">
        <f t="shared" ca="1" si="79"/>
        <v>1194.4493996680685</v>
      </c>
    </row>
    <row r="1687" spans="2:4" x14ac:dyDescent="0.25">
      <c r="B1687">
        <f t="shared" ca="1" si="80"/>
        <v>55279.815064655595</v>
      </c>
      <c r="C1687">
        <f t="shared" ca="1" si="78"/>
        <v>0</v>
      </c>
      <c r="D1687">
        <f t="shared" ca="1" si="79"/>
        <v>15279.815064655595</v>
      </c>
    </row>
    <row r="1688" spans="2:4" x14ac:dyDescent="0.25">
      <c r="B1688">
        <f t="shared" ca="1" si="80"/>
        <v>40925.078955064055</v>
      </c>
      <c r="C1688">
        <f t="shared" ca="1" si="78"/>
        <v>0</v>
      </c>
      <c r="D1688">
        <f t="shared" ca="1" si="79"/>
        <v>925.07895506405475</v>
      </c>
    </row>
    <row r="1689" spans="2:4" x14ac:dyDescent="0.25">
      <c r="B1689">
        <f t="shared" ca="1" si="80"/>
        <v>42679.347378288614</v>
      </c>
      <c r="C1689">
        <f t="shared" ca="1" si="78"/>
        <v>0</v>
      </c>
      <c r="D1689">
        <f t="shared" ca="1" si="79"/>
        <v>2679.347378288614</v>
      </c>
    </row>
    <row r="1690" spans="2:4" x14ac:dyDescent="0.25">
      <c r="B1690">
        <f t="shared" ca="1" si="80"/>
        <v>43520.818192776598</v>
      </c>
      <c r="C1690">
        <f t="shared" ca="1" si="78"/>
        <v>0</v>
      </c>
      <c r="D1690">
        <f t="shared" ca="1" si="79"/>
        <v>3520.8181927765982</v>
      </c>
    </row>
    <row r="1691" spans="2:4" x14ac:dyDescent="0.25">
      <c r="B1691">
        <f t="shared" ca="1" si="80"/>
        <v>49615.093889659933</v>
      </c>
      <c r="C1691">
        <f t="shared" ca="1" si="78"/>
        <v>0</v>
      </c>
      <c r="D1691">
        <f t="shared" ca="1" si="79"/>
        <v>9615.0938896599328</v>
      </c>
    </row>
    <row r="1692" spans="2:4" x14ac:dyDescent="0.25">
      <c r="B1692">
        <f t="shared" ca="1" si="80"/>
        <v>43985.149568975226</v>
      </c>
      <c r="C1692">
        <f t="shared" ca="1" si="78"/>
        <v>0</v>
      </c>
      <c r="D1692">
        <f t="shared" ca="1" si="79"/>
        <v>3985.1495689752264</v>
      </c>
    </row>
    <row r="1693" spans="2:4" x14ac:dyDescent="0.25">
      <c r="B1693">
        <f t="shared" ca="1" si="80"/>
        <v>45778.479420537427</v>
      </c>
      <c r="C1693">
        <f t="shared" ca="1" si="78"/>
        <v>0</v>
      </c>
      <c r="D1693">
        <f t="shared" ca="1" si="79"/>
        <v>5778.4794205374274</v>
      </c>
    </row>
    <row r="1694" spans="2:4" x14ac:dyDescent="0.25">
      <c r="B1694">
        <f t="shared" ca="1" si="80"/>
        <v>45406.752375323253</v>
      </c>
      <c r="C1694">
        <f t="shared" ca="1" si="78"/>
        <v>0</v>
      </c>
      <c r="D1694">
        <f t="shared" ca="1" si="79"/>
        <v>5406.7523753232526</v>
      </c>
    </row>
    <row r="1695" spans="2:4" x14ac:dyDescent="0.25">
      <c r="B1695">
        <f t="shared" ca="1" si="80"/>
        <v>42830.036207519181</v>
      </c>
      <c r="C1695">
        <f t="shared" ca="1" si="78"/>
        <v>0</v>
      </c>
      <c r="D1695">
        <f t="shared" ca="1" si="79"/>
        <v>2830.0362075191806</v>
      </c>
    </row>
    <row r="1696" spans="2:4" x14ac:dyDescent="0.25">
      <c r="B1696">
        <f t="shared" ca="1" si="80"/>
        <v>48981.615200496533</v>
      </c>
      <c r="C1696">
        <f t="shared" ca="1" si="78"/>
        <v>0</v>
      </c>
      <c r="D1696">
        <f t="shared" ca="1" si="79"/>
        <v>8981.6152004965334</v>
      </c>
    </row>
    <row r="1697" spans="2:4" x14ac:dyDescent="0.25">
      <c r="B1697">
        <f t="shared" ca="1" si="80"/>
        <v>45475.102995598616</v>
      </c>
      <c r="C1697">
        <f t="shared" ca="1" si="78"/>
        <v>0</v>
      </c>
      <c r="D1697">
        <f t="shared" ca="1" si="79"/>
        <v>5475.102995598616</v>
      </c>
    </row>
    <row r="1698" spans="2:4" x14ac:dyDescent="0.25">
      <c r="B1698">
        <f t="shared" ca="1" si="80"/>
        <v>43368.206067225139</v>
      </c>
      <c r="C1698">
        <f t="shared" ca="1" si="78"/>
        <v>0</v>
      </c>
      <c r="D1698">
        <f t="shared" ca="1" si="79"/>
        <v>3368.2060672251391</v>
      </c>
    </row>
    <row r="1699" spans="2:4" x14ac:dyDescent="0.25">
      <c r="B1699">
        <f t="shared" ca="1" si="80"/>
        <v>44057.763383974867</v>
      </c>
      <c r="C1699">
        <f t="shared" ca="1" si="78"/>
        <v>0</v>
      </c>
      <c r="D1699">
        <f t="shared" ca="1" si="79"/>
        <v>4057.7633839748669</v>
      </c>
    </row>
    <row r="1700" spans="2:4" x14ac:dyDescent="0.25">
      <c r="B1700">
        <f t="shared" ca="1" si="80"/>
        <v>41752.087671621128</v>
      </c>
      <c r="C1700">
        <f t="shared" ca="1" si="78"/>
        <v>0</v>
      </c>
      <c r="D1700">
        <f t="shared" ca="1" si="79"/>
        <v>1752.0876716211278</v>
      </c>
    </row>
    <row r="1701" spans="2:4" x14ac:dyDescent="0.25">
      <c r="B1701">
        <f t="shared" ca="1" si="80"/>
        <v>32560.424849655185</v>
      </c>
      <c r="C1701">
        <f t="shared" ca="1" si="78"/>
        <v>7439.5751503448155</v>
      </c>
      <c r="D1701">
        <f t="shared" ca="1" si="79"/>
        <v>0</v>
      </c>
    </row>
    <row r="1702" spans="2:4" x14ac:dyDescent="0.25">
      <c r="B1702">
        <f t="shared" ca="1" si="80"/>
        <v>45872.517996709132</v>
      </c>
      <c r="C1702">
        <f t="shared" ca="1" si="78"/>
        <v>0</v>
      </c>
      <c r="D1702">
        <f t="shared" ca="1" si="79"/>
        <v>5872.5179967091317</v>
      </c>
    </row>
    <row r="1703" spans="2:4" x14ac:dyDescent="0.25">
      <c r="B1703">
        <f t="shared" ca="1" si="80"/>
        <v>51580.008669321469</v>
      </c>
      <c r="C1703">
        <f t="shared" ca="1" si="78"/>
        <v>0</v>
      </c>
      <c r="D1703">
        <f t="shared" ca="1" si="79"/>
        <v>11580.008669321469</v>
      </c>
    </row>
    <row r="1704" spans="2:4" x14ac:dyDescent="0.25">
      <c r="B1704">
        <f t="shared" ca="1" si="80"/>
        <v>52502.006331190671</v>
      </c>
      <c r="C1704">
        <f t="shared" ca="1" si="78"/>
        <v>0</v>
      </c>
      <c r="D1704">
        <f t="shared" ca="1" si="79"/>
        <v>12502.006331190671</v>
      </c>
    </row>
    <row r="1705" spans="2:4" x14ac:dyDescent="0.25">
      <c r="B1705">
        <f t="shared" ca="1" si="80"/>
        <v>46502.303304465546</v>
      </c>
      <c r="C1705">
        <f t="shared" ca="1" si="78"/>
        <v>0</v>
      </c>
      <c r="D1705">
        <f t="shared" ca="1" si="79"/>
        <v>6502.3033044655458</v>
      </c>
    </row>
    <row r="1706" spans="2:4" x14ac:dyDescent="0.25">
      <c r="B1706">
        <f t="shared" ca="1" si="80"/>
        <v>41243.654905089679</v>
      </c>
      <c r="C1706">
        <f t="shared" ca="1" si="78"/>
        <v>0</v>
      </c>
      <c r="D1706">
        <f t="shared" ca="1" si="79"/>
        <v>1243.6549050896792</v>
      </c>
    </row>
    <row r="1707" spans="2:4" x14ac:dyDescent="0.25">
      <c r="B1707">
        <f t="shared" ca="1" si="80"/>
        <v>41291.206901276557</v>
      </c>
      <c r="C1707">
        <f t="shared" ca="1" si="78"/>
        <v>0</v>
      </c>
      <c r="D1707">
        <f t="shared" ca="1" si="79"/>
        <v>1291.2069012765569</v>
      </c>
    </row>
    <row r="1708" spans="2:4" x14ac:dyDescent="0.25">
      <c r="B1708">
        <f t="shared" ca="1" si="80"/>
        <v>49688.75822312064</v>
      </c>
      <c r="C1708">
        <f t="shared" ca="1" si="78"/>
        <v>0</v>
      </c>
      <c r="D1708">
        <f t="shared" ca="1" si="79"/>
        <v>9688.7582231206397</v>
      </c>
    </row>
    <row r="1709" spans="2:4" x14ac:dyDescent="0.25">
      <c r="B1709">
        <f t="shared" ca="1" si="80"/>
        <v>39328.765015391124</v>
      </c>
      <c r="C1709">
        <f t="shared" ca="1" si="78"/>
        <v>671.2349846088764</v>
      </c>
      <c r="D1709">
        <f t="shared" ca="1" si="79"/>
        <v>0</v>
      </c>
    </row>
    <row r="1710" spans="2:4" x14ac:dyDescent="0.25">
      <c r="B1710">
        <f t="shared" ca="1" si="80"/>
        <v>50101.813866274097</v>
      </c>
      <c r="C1710">
        <f t="shared" ca="1" si="78"/>
        <v>0</v>
      </c>
      <c r="D1710">
        <f t="shared" ca="1" si="79"/>
        <v>10101.813866274097</v>
      </c>
    </row>
    <row r="1711" spans="2:4" x14ac:dyDescent="0.25">
      <c r="B1711">
        <f t="shared" ca="1" si="80"/>
        <v>39230.059763713209</v>
      </c>
      <c r="C1711">
        <f t="shared" ca="1" si="78"/>
        <v>769.94023628679133</v>
      </c>
      <c r="D1711">
        <f t="shared" ca="1" si="79"/>
        <v>0</v>
      </c>
    </row>
    <row r="1712" spans="2:4" x14ac:dyDescent="0.25">
      <c r="B1712">
        <f t="shared" ca="1" si="80"/>
        <v>46475.019031039694</v>
      </c>
      <c r="C1712">
        <f t="shared" ca="1" si="78"/>
        <v>0</v>
      </c>
      <c r="D1712">
        <f t="shared" ca="1" si="79"/>
        <v>6475.0190310396938</v>
      </c>
    </row>
    <row r="1713" spans="2:4" x14ac:dyDescent="0.25">
      <c r="B1713">
        <f t="shared" ca="1" si="80"/>
        <v>46261.671423332882</v>
      </c>
      <c r="C1713">
        <f t="shared" ca="1" si="78"/>
        <v>0</v>
      </c>
      <c r="D1713">
        <f t="shared" ca="1" si="79"/>
        <v>6261.6714233328821</v>
      </c>
    </row>
    <row r="1714" spans="2:4" x14ac:dyDescent="0.25">
      <c r="B1714">
        <f t="shared" ca="1" si="80"/>
        <v>39286.726155598837</v>
      </c>
      <c r="C1714">
        <f t="shared" ca="1" si="78"/>
        <v>713.27384440116293</v>
      </c>
      <c r="D1714">
        <f t="shared" ca="1" si="79"/>
        <v>0</v>
      </c>
    </row>
    <row r="1715" spans="2:4" x14ac:dyDescent="0.25">
      <c r="B1715">
        <f t="shared" ca="1" si="80"/>
        <v>49793.672803035581</v>
      </c>
      <c r="C1715">
        <f t="shared" ca="1" si="78"/>
        <v>0</v>
      </c>
      <c r="D1715">
        <f t="shared" ca="1" si="79"/>
        <v>9793.6728030355807</v>
      </c>
    </row>
    <row r="1716" spans="2:4" x14ac:dyDescent="0.25">
      <c r="B1716">
        <f t="shared" ca="1" si="80"/>
        <v>40290.5336314296</v>
      </c>
      <c r="C1716">
        <f t="shared" ca="1" si="78"/>
        <v>0</v>
      </c>
      <c r="D1716">
        <f t="shared" ca="1" si="79"/>
        <v>290.53363142960006</v>
      </c>
    </row>
    <row r="1717" spans="2:4" x14ac:dyDescent="0.25">
      <c r="B1717">
        <f t="shared" ca="1" si="80"/>
        <v>44627.545261092317</v>
      </c>
      <c r="C1717">
        <f t="shared" ca="1" si="78"/>
        <v>0</v>
      </c>
      <c r="D1717">
        <f t="shared" ca="1" si="79"/>
        <v>4627.5452610923167</v>
      </c>
    </row>
    <row r="1718" spans="2:4" x14ac:dyDescent="0.25">
      <c r="B1718">
        <f t="shared" ca="1" si="80"/>
        <v>49759.40164037019</v>
      </c>
      <c r="C1718">
        <f t="shared" ca="1" si="78"/>
        <v>0</v>
      </c>
      <c r="D1718">
        <f t="shared" ca="1" si="79"/>
        <v>9759.4016403701899</v>
      </c>
    </row>
    <row r="1719" spans="2:4" x14ac:dyDescent="0.25">
      <c r="B1719">
        <f t="shared" ca="1" si="80"/>
        <v>44759.104854608471</v>
      </c>
      <c r="C1719">
        <f t="shared" ca="1" si="78"/>
        <v>0</v>
      </c>
      <c r="D1719">
        <f t="shared" ca="1" si="79"/>
        <v>4759.1048546084712</v>
      </c>
    </row>
    <row r="1720" spans="2:4" x14ac:dyDescent="0.25">
      <c r="B1720">
        <f t="shared" ca="1" si="80"/>
        <v>40317.806300712662</v>
      </c>
      <c r="C1720">
        <f t="shared" ca="1" si="78"/>
        <v>0</v>
      </c>
      <c r="D1720">
        <f t="shared" ca="1" si="79"/>
        <v>317.80630071266205</v>
      </c>
    </row>
    <row r="1721" spans="2:4" x14ac:dyDescent="0.25">
      <c r="B1721">
        <f t="shared" ca="1" si="80"/>
        <v>49172.961436667101</v>
      </c>
      <c r="C1721">
        <f t="shared" ca="1" si="78"/>
        <v>0</v>
      </c>
      <c r="D1721">
        <f t="shared" ca="1" si="79"/>
        <v>9172.9614366671012</v>
      </c>
    </row>
    <row r="1722" spans="2:4" x14ac:dyDescent="0.25">
      <c r="B1722">
        <f t="shared" ca="1" si="80"/>
        <v>37286.576427115491</v>
      </c>
      <c r="C1722">
        <f t="shared" ca="1" si="78"/>
        <v>2713.4235728845088</v>
      </c>
      <c r="D1722">
        <f t="shared" ca="1" si="79"/>
        <v>0</v>
      </c>
    </row>
    <row r="1723" spans="2:4" x14ac:dyDescent="0.25">
      <c r="B1723">
        <f t="shared" ca="1" si="80"/>
        <v>47245.582570035636</v>
      </c>
      <c r="C1723">
        <f t="shared" ca="1" si="78"/>
        <v>0</v>
      </c>
      <c r="D1723">
        <f t="shared" ca="1" si="79"/>
        <v>7245.5825700356363</v>
      </c>
    </row>
    <row r="1724" spans="2:4" x14ac:dyDescent="0.25">
      <c r="B1724">
        <f t="shared" ca="1" si="80"/>
        <v>43020.36719499989</v>
      </c>
      <c r="C1724">
        <f t="shared" ca="1" si="78"/>
        <v>0</v>
      </c>
      <c r="D1724">
        <f t="shared" ca="1" si="79"/>
        <v>3020.3671949998898</v>
      </c>
    </row>
    <row r="1725" spans="2:4" x14ac:dyDescent="0.25">
      <c r="B1725">
        <f t="shared" ca="1" si="80"/>
        <v>48176.235691309186</v>
      </c>
      <c r="C1725">
        <f t="shared" ca="1" si="78"/>
        <v>0</v>
      </c>
      <c r="D1725">
        <f t="shared" ca="1" si="79"/>
        <v>8176.2356913091862</v>
      </c>
    </row>
    <row r="1726" spans="2:4" x14ac:dyDescent="0.25">
      <c r="B1726">
        <f t="shared" ca="1" si="80"/>
        <v>44668.861606525468</v>
      </c>
      <c r="C1726">
        <f t="shared" ca="1" si="78"/>
        <v>0</v>
      </c>
      <c r="D1726">
        <f t="shared" ca="1" si="79"/>
        <v>4668.8616065254682</v>
      </c>
    </row>
    <row r="1727" spans="2:4" x14ac:dyDescent="0.25">
      <c r="B1727">
        <f t="shared" ca="1" si="80"/>
        <v>51458.589170014558</v>
      </c>
      <c r="C1727">
        <f t="shared" ca="1" si="78"/>
        <v>0</v>
      </c>
      <c r="D1727">
        <f t="shared" ca="1" si="79"/>
        <v>11458.589170014558</v>
      </c>
    </row>
    <row r="1728" spans="2:4" x14ac:dyDescent="0.25">
      <c r="B1728">
        <f t="shared" ca="1" si="80"/>
        <v>44993.775569714722</v>
      </c>
      <c r="C1728">
        <f t="shared" ca="1" si="78"/>
        <v>0</v>
      </c>
      <c r="D1728">
        <f t="shared" ca="1" si="79"/>
        <v>4993.7755697147222</v>
      </c>
    </row>
    <row r="1729" spans="2:4" x14ac:dyDescent="0.25">
      <c r="B1729">
        <f t="shared" ca="1" si="80"/>
        <v>42404.113984710646</v>
      </c>
      <c r="C1729">
        <f t="shared" ca="1" si="78"/>
        <v>0</v>
      </c>
      <c r="D1729">
        <f t="shared" ca="1" si="79"/>
        <v>2404.113984710646</v>
      </c>
    </row>
    <row r="1730" spans="2:4" x14ac:dyDescent="0.25">
      <c r="B1730">
        <f t="shared" ca="1" si="80"/>
        <v>46527.506816248904</v>
      </c>
      <c r="C1730">
        <f t="shared" ca="1" si="78"/>
        <v>0</v>
      </c>
      <c r="D1730">
        <f t="shared" ca="1" si="79"/>
        <v>6527.5068162489042</v>
      </c>
    </row>
    <row r="1731" spans="2:4" x14ac:dyDescent="0.25">
      <c r="B1731">
        <f t="shared" ca="1" si="80"/>
        <v>48658.71653072699</v>
      </c>
      <c r="C1731">
        <f t="shared" ca="1" si="78"/>
        <v>0</v>
      </c>
      <c r="D1731">
        <f t="shared" ca="1" si="79"/>
        <v>8658.7165307269897</v>
      </c>
    </row>
    <row r="1732" spans="2:4" x14ac:dyDescent="0.25">
      <c r="B1732">
        <f t="shared" ca="1" si="80"/>
        <v>54961.374295330155</v>
      </c>
      <c r="C1732">
        <f t="shared" ca="1" si="78"/>
        <v>0</v>
      </c>
      <c r="D1732">
        <f t="shared" ca="1" si="79"/>
        <v>14961.374295330155</v>
      </c>
    </row>
    <row r="1733" spans="2:4" x14ac:dyDescent="0.25">
      <c r="B1733">
        <f t="shared" ca="1" si="80"/>
        <v>40523.495664841554</v>
      </c>
      <c r="C1733">
        <f t="shared" ca="1" si="78"/>
        <v>0</v>
      </c>
      <c r="D1733">
        <f t="shared" ca="1" si="79"/>
        <v>523.49566484155366</v>
      </c>
    </row>
    <row r="1734" spans="2:4" x14ac:dyDescent="0.25">
      <c r="B1734">
        <f t="shared" ca="1" si="80"/>
        <v>35817.598544100991</v>
      </c>
      <c r="C1734">
        <f t="shared" ca="1" si="78"/>
        <v>4182.4014558990093</v>
      </c>
      <c r="D1734">
        <f t="shared" ca="1" si="79"/>
        <v>0</v>
      </c>
    </row>
    <row r="1735" spans="2:4" x14ac:dyDescent="0.25">
      <c r="B1735">
        <f t="shared" ca="1" si="80"/>
        <v>41521.614896395957</v>
      </c>
      <c r="C1735">
        <f t="shared" ca="1" si="78"/>
        <v>0</v>
      </c>
      <c r="D1735">
        <f t="shared" ca="1" si="79"/>
        <v>1521.6148963959567</v>
      </c>
    </row>
    <row r="1736" spans="2:4" x14ac:dyDescent="0.25">
      <c r="B1736">
        <f t="shared" ca="1" si="80"/>
        <v>44442.146409681256</v>
      </c>
      <c r="C1736">
        <f t="shared" ca="1" si="78"/>
        <v>0</v>
      </c>
      <c r="D1736">
        <f t="shared" ca="1" si="79"/>
        <v>4442.146409681256</v>
      </c>
    </row>
    <row r="1737" spans="2:4" x14ac:dyDescent="0.25">
      <c r="B1737">
        <f t="shared" ca="1" si="80"/>
        <v>37004.339359321508</v>
      </c>
      <c r="C1737">
        <f t="shared" ca="1" si="78"/>
        <v>2995.6606406784922</v>
      </c>
      <c r="D1737">
        <f t="shared" ca="1" si="79"/>
        <v>0</v>
      </c>
    </row>
    <row r="1738" spans="2:4" x14ac:dyDescent="0.25">
      <c r="B1738">
        <f t="shared" ca="1" si="80"/>
        <v>45409.905113182052</v>
      </c>
      <c r="C1738">
        <f t="shared" ca="1" si="78"/>
        <v>0</v>
      </c>
      <c r="D1738">
        <f t="shared" ca="1" si="79"/>
        <v>5409.9051131820524</v>
      </c>
    </row>
    <row r="1739" spans="2:4" x14ac:dyDescent="0.25">
      <c r="B1739">
        <f t="shared" ca="1" si="80"/>
        <v>46500.509389934923</v>
      </c>
      <c r="C1739">
        <f t="shared" ca="1" si="78"/>
        <v>0</v>
      </c>
      <c r="D1739">
        <f t="shared" ca="1" si="79"/>
        <v>6500.5093899349231</v>
      </c>
    </row>
    <row r="1740" spans="2:4" x14ac:dyDescent="0.25">
      <c r="B1740">
        <f t="shared" ca="1" si="80"/>
        <v>46623.016574408917</v>
      </c>
      <c r="C1740">
        <f t="shared" ref="C1740:C1803" ca="1" si="81">IF(MAX($B$2-B1740)&lt;0,0,$B$2-B1740)</f>
        <v>0</v>
      </c>
      <c r="D1740">
        <f t="shared" ref="D1740:D1803" ca="1" si="82">IF(MAX(B1740-$B$2)&lt;0,0,B1740-$B$2)</f>
        <v>6623.0165744089172</v>
      </c>
    </row>
    <row r="1741" spans="2:4" x14ac:dyDescent="0.25">
      <c r="B1741">
        <f t="shared" ref="B1741:B1804" ca="1" si="83">$B$1*EXP((($B$4-($B$3^2)/2)*$B$5+$B$3*SQRT($B$5)*NORMSINV(RAND())))</f>
        <v>43547.0738886607</v>
      </c>
      <c r="C1741">
        <f t="shared" ca="1" si="81"/>
        <v>0</v>
      </c>
      <c r="D1741">
        <f t="shared" ca="1" si="82"/>
        <v>3547.0738886606996</v>
      </c>
    </row>
    <row r="1742" spans="2:4" x14ac:dyDescent="0.25">
      <c r="B1742">
        <f t="shared" ca="1" si="83"/>
        <v>36826.311095526748</v>
      </c>
      <c r="C1742">
        <f t="shared" ca="1" si="81"/>
        <v>3173.6889044732525</v>
      </c>
      <c r="D1742">
        <f t="shared" ca="1" si="82"/>
        <v>0</v>
      </c>
    </row>
    <row r="1743" spans="2:4" x14ac:dyDescent="0.25">
      <c r="B1743">
        <f t="shared" ca="1" si="83"/>
        <v>41754.069927521792</v>
      </c>
      <c r="C1743">
        <f t="shared" ca="1" si="81"/>
        <v>0</v>
      </c>
      <c r="D1743">
        <f t="shared" ca="1" si="82"/>
        <v>1754.0699275217921</v>
      </c>
    </row>
    <row r="1744" spans="2:4" x14ac:dyDescent="0.25">
      <c r="B1744">
        <f t="shared" ca="1" si="83"/>
        <v>33075.246692497589</v>
      </c>
      <c r="C1744">
        <f t="shared" ca="1" si="81"/>
        <v>6924.7533075024112</v>
      </c>
      <c r="D1744">
        <f t="shared" ca="1" si="82"/>
        <v>0</v>
      </c>
    </row>
    <row r="1745" spans="2:4" x14ac:dyDescent="0.25">
      <c r="B1745">
        <f t="shared" ca="1" si="83"/>
        <v>47823.230618806396</v>
      </c>
      <c r="C1745">
        <f t="shared" ca="1" si="81"/>
        <v>0</v>
      </c>
      <c r="D1745">
        <f t="shared" ca="1" si="82"/>
        <v>7823.2306188063958</v>
      </c>
    </row>
    <row r="1746" spans="2:4" x14ac:dyDescent="0.25">
      <c r="B1746">
        <f t="shared" ca="1" si="83"/>
        <v>52720.33741333615</v>
      </c>
      <c r="C1746">
        <f t="shared" ca="1" si="81"/>
        <v>0</v>
      </c>
      <c r="D1746">
        <f t="shared" ca="1" si="82"/>
        <v>12720.33741333615</v>
      </c>
    </row>
    <row r="1747" spans="2:4" x14ac:dyDescent="0.25">
      <c r="B1747">
        <f t="shared" ca="1" si="83"/>
        <v>46852.990243140681</v>
      </c>
      <c r="C1747">
        <f t="shared" ca="1" si="81"/>
        <v>0</v>
      </c>
      <c r="D1747">
        <f t="shared" ca="1" si="82"/>
        <v>6852.9902431406808</v>
      </c>
    </row>
    <row r="1748" spans="2:4" x14ac:dyDescent="0.25">
      <c r="B1748">
        <f t="shared" ca="1" si="83"/>
        <v>42852.717558277393</v>
      </c>
      <c r="C1748">
        <f t="shared" ca="1" si="81"/>
        <v>0</v>
      </c>
      <c r="D1748">
        <f t="shared" ca="1" si="82"/>
        <v>2852.7175582773925</v>
      </c>
    </row>
    <row r="1749" spans="2:4" x14ac:dyDescent="0.25">
      <c r="B1749">
        <f t="shared" ca="1" si="83"/>
        <v>44674.801152564069</v>
      </c>
      <c r="C1749">
        <f t="shared" ca="1" si="81"/>
        <v>0</v>
      </c>
      <c r="D1749">
        <f t="shared" ca="1" si="82"/>
        <v>4674.8011525640686</v>
      </c>
    </row>
    <row r="1750" spans="2:4" x14ac:dyDescent="0.25">
      <c r="B1750">
        <f t="shared" ca="1" si="83"/>
        <v>34148.445505329772</v>
      </c>
      <c r="C1750">
        <f t="shared" ca="1" si="81"/>
        <v>5851.5544946702285</v>
      </c>
      <c r="D1750">
        <f t="shared" ca="1" si="82"/>
        <v>0</v>
      </c>
    </row>
    <row r="1751" spans="2:4" x14ac:dyDescent="0.25">
      <c r="B1751">
        <f t="shared" ca="1" si="83"/>
        <v>42673.240627574865</v>
      </c>
      <c r="C1751">
        <f t="shared" ca="1" si="81"/>
        <v>0</v>
      </c>
      <c r="D1751">
        <f t="shared" ca="1" si="82"/>
        <v>2673.2406275748654</v>
      </c>
    </row>
    <row r="1752" spans="2:4" x14ac:dyDescent="0.25">
      <c r="B1752">
        <f t="shared" ca="1" si="83"/>
        <v>39418.973400890733</v>
      </c>
      <c r="C1752">
        <f t="shared" ca="1" si="81"/>
        <v>581.02659910926741</v>
      </c>
      <c r="D1752">
        <f t="shared" ca="1" si="82"/>
        <v>0</v>
      </c>
    </row>
    <row r="1753" spans="2:4" x14ac:dyDescent="0.25">
      <c r="B1753">
        <f t="shared" ca="1" si="83"/>
        <v>46587.922732412044</v>
      </c>
      <c r="C1753">
        <f t="shared" ca="1" si="81"/>
        <v>0</v>
      </c>
      <c r="D1753">
        <f t="shared" ca="1" si="82"/>
        <v>6587.9227324120438</v>
      </c>
    </row>
    <row r="1754" spans="2:4" x14ac:dyDescent="0.25">
      <c r="B1754">
        <f t="shared" ca="1" si="83"/>
        <v>45847.804934415886</v>
      </c>
      <c r="C1754">
        <f t="shared" ca="1" si="81"/>
        <v>0</v>
      </c>
      <c r="D1754">
        <f t="shared" ca="1" si="82"/>
        <v>5847.8049344158862</v>
      </c>
    </row>
    <row r="1755" spans="2:4" x14ac:dyDescent="0.25">
      <c r="B1755">
        <f t="shared" ca="1" si="83"/>
        <v>46916.136535971251</v>
      </c>
      <c r="C1755">
        <f t="shared" ca="1" si="81"/>
        <v>0</v>
      </c>
      <c r="D1755">
        <f t="shared" ca="1" si="82"/>
        <v>6916.1365359712509</v>
      </c>
    </row>
    <row r="1756" spans="2:4" x14ac:dyDescent="0.25">
      <c r="B1756">
        <f t="shared" ca="1" si="83"/>
        <v>43431.321986845818</v>
      </c>
      <c r="C1756">
        <f t="shared" ca="1" si="81"/>
        <v>0</v>
      </c>
      <c r="D1756">
        <f t="shared" ca="1" si="82"/>
        <v>3431.3219868458182</v>
      </c>
    </row>
    <row r="1757" spans="2:4" x14ac:dyDescent="0.25">
      <c r="B1757">
        <f t="shared" ca="1" si="83"/>
        <v>44493.034750441519</v>
      </c>
      <c r="C1757">
        <f t="shared" ca="1" si="81"/>
        <v>0</v>
      </c>
      <c r="D1757">
        <f t="shared" ca="1" si="82"/>
        <v>4493.0347504415186</v>
      </c>
    </row>
    <row r="1758" spans="2:4" x14ac:dyDescent="0.25">
      <c r="B1758">
        <f t="shared" ca="1" si="83"/>
        <v>39562.696982409725</v>
      </c>
      <c r="C1758">
        <f t="shared" ca="1" si="81"/>
        <v>437.30301759027498</v>
      </c>
      <c r="D1758">
        <f t="shared" ca="1" si="82"/>
        <v>0</v>
      </c>
    </row>
    <row r="1759" spans="2:4" x14ac:dyDescent="0.25">
      <c r="B1759">
        <f t="shared" ca="1" si="83"/>
        <v>45639.303905891087</v>
      </c>
      <c r="C1759">
        <f t="shared" ca="1" si="81"/>
        <v>0</v>
      </c>
      <c r="D1759">
        <f t="shared" ca="1" si="82"/>
        <v>5639.3039058910872</v>
      </c>
    </row>
    <row r="1760" spans="2:4" x14ac:dyDescent="0.25">
      <c r="B1760">
        <f t="shared" ca="1" si="83"/>
        <v>41706.55727198541</v>
      </c>
      <c r="C1760">
        <f t="shared" ca="1" si="81"/>
        <v>0</v>
      </c>
      <c r="D1760">
        <f t="shared" ca="1" si="82"/>
        <v>1706.5572719854099</v>
      </c>
    </row>
    <row r="1761" spans="2:4" x14ac:dyDescent="0.25">
      <c r="B1761">
        <f t="shared" ca="1" si="83"/>
        <v>42004.714462437078</v>
      </c>
      <c r="C1761">
        <f t="shared" ca="1" si="81"/>
        <v>0</v>
      </c>
      <c r="D1761">
        <f t="shared" ca="1" si="82"/>
        <v>2004.7144624370776</v>
      </c>
    </row>
    <row r="1762" spans="2:4" x14ac:dyDescent="0.25">
      <c r="B1762">
        <f t="shared" ca="1" si="83"/>
        <v>45131.158972132005</v>
      </c>
      <c r="C1762">
        <f t="shared" ca="1" si="81"/>
        <v>0</v>
      </c>
      <c r="D1762">
        <f t="shared" ca="1" si="82"/>
        <v>5131.1589721320051</v>
      </c>
    </row>
    <row r="1763" spans="2:4" x14ac:dyDescent="0.25">
      <c r="B1763">
        <f t="shared" ca="1" si="83"/>
        <v>52966.606149553831</v>
      </c>
      <c r="C1763">
        <f t="shared" ca="1" si="81"/>
        <v>0</v>
      </c>
      <c r="D1763">
        <f t="shared" ca="1" si="82"/>
        <v>12966.606149553831</v>
      </c>
    </row>
    <row r="1764" spans="2:4" x14ac:dyDescent="0.25">
      <c r="B1764">
        <f t="shared" ca="1" si="83"/>
        <v>45732.602662455654</v>
      </c>
      <c r="C1764">
        <f t="shared" ca="1" si="81"/>
        <v>0</v>
      </c>
      <c r="D1764">
        <f t="shared" ca="1" si="82"/>
        <v>5732.6026624556544</v>
      </c>
    </row>
    <row r="1765" spans="2:4" x14ac:dyDescent="0.25">
      <c r="B1765">
        <f t="shared" ca="1" si="83"/>
        <v>46593.352906894805</v>
      </c>
      <c r="C1765">
        <f t="shared" ca="1" si="81"/>
        <v>0</v>
      </c>
      <c r="D1765">
        <f t="shared" ca="1" si="82"/>
        <v>6593.3529068948046</v>
      </c>
    </row>
    <row r="1766" spans="2:4" x14ac:dyDescent="0.25">
      <c r="B1766">
        <f t="shared" ca="1" si="83"/>
        <v>41797.306981805523</v>
      </c>
      <c r="C1766">
        <f t="shared" ca="1" si="81"/>
        <v>0</v>
      </c>
      <c r="D1766">
        <f t="shared" ca="1" si="82"/>
        <v>1797.3069818055228</v>
      </c>
    </row>
    <row r="1767" spans="2:4" x14ac:dyDescent="0.25">
      <c r="B1767">
        <f t="shared" ca="1" si="83"/>
        <v>42181.863499554653</v>
      </c>
      <c r="C1767">
        <f t="shared" ca="1" si="81"/>
        <v>0</v>
      </c>
      <c r="D1767">
        <f t="shared" ca="1" si="82"/>
        <v>2181.8634995546527</v>
      </c>
    </row>
    <row r="1768" spans="2:4" x14ac:dyDescent="0.25">
      <c r="B1768">
        <f t="shared" ca="1" si="83"/>
        <v>38520.261466271484</v>
      </c>
      <c r="C1768">
        <f t="shared" ca="1" si="81"/>
        <v>1479.7385337285159</v>
      </c>
      <c r="D1768">
        <f t="shared" ca="1" si="82"/>
        <v>0</v>
      </c>
    </row>
    <row r="1769" spans="2:4" x14ac:dyDescent="0.25">
      <c r="B1769">
        <f t="shared" ca="1" si="83"/>
        <v>38614.438310453188</v>
      </c>
      <c r="C1769">
        <f t="shared" ca="1" si="81"/>
        <v>1385.561689546812</v>
      </c>
      <c r="D1769">
        <f t="shared" ca="1" si="82"/>
        <v>0</v>
      </c>
    </row>
    <row r="1770" spans="2:4" x14ac:dyDescent="0.25">
      <c r="B1770">
        <f t="shared" ca="1" si="83"/>
        <v>45397.104479138994</v>
      </c>
      <c r="C1770">
        <f t="shared" ca="1" si="81"/>
        <v>0</v>
      </c>
      <c r="D1770">
        <f t="shared" ca="1" si="82"/>
        <v>5397.1044791389941</v>
      </c>
    </row>
    <row r="1771" spans="2:4" x14ac:dyDescent="0.25">
      <c r="B1771">
        <f t="shared" ca="1" si="83"/>
        <v>42552.601979494437</v>
      </c>
      <c r="C1771">
        <f t="shared" ca="1" si="81"/>
        <v>0</v>
      </c>
      <c r="D1771">
        <f t="shared" ca="1" si="82"/>
        <v>2552.6019794944368</v>
      </c>
    </row>
    <row r="1772" spans="2:4" x14ac:dyDescent="0.25">
      <c r="B1772">
        <f t="shared" ca="1" si="83"/>
        <v>52741.319665111158</v>
      </c>
      <c r="C1772">
        <f t="shared" ca="1" si="81"/>
        <v>0</v>
      </c>
      <c r="D1772">
        <f t="shared" ca="1" si="82"/>
        <v>12741.319665111158</v>
      </c>
    </row>
    <row r="1773" spans="2:4" x14ac:dyDescent="0.25">
      <c r="B1773">
        <f t="shared" ca="1" si="83"/>
        <v>39425.818643395796</v>
      </c>
      <c r="C1773">
        <f t="shared" ca="1" si="81"/>
        <v>574.18135660420376</v>
      </c>
      <c r="D1773">
        <f t="shared" ca="1" si="82"/>
        <v>0</v>
      </c>
    </row>
    <row r="1774" spans="2:4" x14ac:dyDescent="0.25">
      <c r="B1774">
        <f t="shared" ca="1" si="83"/>
        <v>41102.573155806189</v>
      </c>
      <c r="C1774">
        <f t="shared" ca="1" si="81"/>
        <v>0</v>
      </c>
      <c r="D1774">
        <f t="shared" ca="1" si="82"/>
        <v>1102.5731558061889</v>
      </c>
    </row>
    <row r="1775" spans="2:4" x14ac:dyDescent="0.25">
      <c r="B1775">
        <f t="shared" ca="1" si="83"/>
        <v>42952.832104767236</v>
      </c>
      <c r="C1775">
        <f t="shared" ca="1" si="81"/>
        <v>0</v>
      </c>
      <c r="D1775">
        <f t="shared" ca="1" si="82"/>
        <v>2952.8321047672362</v>
      </c>
    </row>
    <row r="1776" spans="2:4" x14ac:dyDescent="0.25">
      <c r="B1776">
        <f t="shared" ca="1" si="83"/>
        <v>39713.53598209453</v>
      </c>
      <c r="C1776">
        <f t="shared" ca="1" si="81"/>
        <v>286.46401790546952</v>
      </c>
      <c r="D1776">
        <f t="shared" ca="1" si="82"/>
        <v>0</v>
      </c>
    </row>
    <row r="1777" spans="2:4" x14ac:dyDescent="0.25">
      <c r="B1777">
        <f t="shared" ca="1" si="83"/>
        <v>39772.205518358562</v>
      </c>
      <c r="C1777">
        <f t="shared" ca="1" si="81"/>
        <v>227.79448164143832</v>
      </c>
      <c r="D1777">
        <f t="shared" ca="1" si="82"/>
        <v>0</v>
      </c>
    </row>
    <row r="1778" spans="2:4" x14ac:dyDescent="0.25">
      <c r="B1778">
        <f t="shared" ca="1" si="83"/>
        <v>41037.978991389813</v>
      </c>
      <c r="C1778">
        <f t="shared" ca="1" si="81"/>
        <v>0</v>
      </c>
      <c r="D1778">
        <f t="shared" ca="1" si="82"/>
        <v>1037.978991389813</v>
      </c>
    </row>
    <row r="1779" spans="2:4" x14ac:dyDescent="0.25">
      <c r="B1779">
        <f t="shared" ca="1" si="83"/>
        <v>53192.178394347284</v>
      </c>
      <c r="C1779">
        <f t="shared" ca="1" si="81"/>
        <v>0</v>
      </c>
      <c r="D1779">
        <f t="shared" ca="1" si="82"/>
        <v>13192.178394347284</v>
      </c>
    </row>
    <row r="1780" spans="2:4" x14ac:dyDescent="0.25">
      <c r="B1780">
        <f t="shared" ca="1" si="83"/>
        <v>52401.149335200833</v>
      </c>
      <c r="C1780">
        <f t="shared" ca="1" si="81"/>
        <v>0</v>
      </c>
      <c r="D1780">
        <f t="shared" ca="1" si="82"/>
        <v>12401.149335200833</v>
      </c>
    </row>
    <row r="1781" spans="2:4" x14ac:dyDescent="0.25">
      <c r="B1781">
        <f t="shared" ca="1" si="83"/>
        <v>45418.351226863568</v>
      </c>
      <c r="C1781">
        <f t="shared" ca="1" si="81"/>
        <v>0</v>
      </c>
      <c r="D1781">
        <f t="shared" ca="1" si="82"/>
        <v>5418.3512268635677</v>
      </c>
    </row>
    <row r="1782" spans="2:4" x14ac:dyDescent="0.25">
      <c r="B1782">
        <f t="shared" ca="1" si="83"/>
        <v>42473.616136735684</v>
      </c>
      <c r="C1782">
        <f t="shared" ca="1" si="81"/>
        <v>0</v>
      </c>
      <c r="D1782">
        <f t="shared" ca="1" si="82"/>
        <v>2473.6161367356835</v>
      </c>
    </row>
    <row r="1783" spans="2:4" x14ac:dyDescent="0.25">
      <c r="B1783">
        <f t="shared" ca="1" si="83"/>
        <v>39947.294146980123</v>
      </c>
      <c r="C1783">
        <f t="shared" ca="1" si="81"/>
        <v>52.705853019877395</v>
      </c>
      <c r="D1783">
        <f t="shared" ca="1" si="82"/>
        <v>0</v>
      </c>
    </row>
    <row r="1784" spans="2:4" x14ac:dyDescent="0.25">
      <c r="B1784">
        <f t="shared" ca="1" si="83"/>
        <v>38739.824481852389</v>
      </c>
      <c r="C1784">
        <f t="shared" ca="1" si="81"/>
        <v>1260.175518147611</v>
      </c>
      <c r="D1784">
        <f t="shared" ca="1" si="82"/>
        <v>0</v>
      </c>
    </row>
    <row r="1785" spans="2:4" x14ac:dyDescent="0.25">
      <c r="B1785">
        <f t="shared" ca="1" si="83"/>
        <v>44520.733998662909</v>
      </c>
      <c r="C1785">
        <f t="shared" ca="1" si="81"/>
        <v>0</v>
      </c>
      <c r="D1785">
        <f t="shared" ca="1" si="82"/>
        <v>4520.7339986629086</v>
      </c>
    </row>
    <row r="1786" spans="2:4" x14ac:dyDescent="0.25">
      <c r="B1786">
        <f t="shared" ca="1" si="83"/>
        <v>49411.525548760925</v>
      </c>
      <c r="C1786">
        <f t="shared" ca="1" si="81"/>
        <v>0</v>
      </c>
      <c r="D1786">
        <f t="shared" ca="1" si="82"/>
        <v>9411.5255487609247</v>
      </c>
    </row>
    <row r="1787" spans="2:4" x14ac:dyDescent="0.25">
      <c r="B1787">
        <f t="shared" ca="1" si="83"/>
        <v>49504.874480429127</v>
      </c>
      <c r="C1787">
        <f t="shared" ca="1" si="81"/>
        <v>0</v>
      </c>
      <c r="D1787">
        <f t="shared" ca="1" si="82"/>
        <v>9504.8744804291273</v>
      </c>
    </row>
    <row r="1788" spans="2:4" x14ac:dyDescent="0.25">
      <c r="B1788">
        <f t="shared" ca="1" si="83"/>
        <v>36509.138332661743</v>
      </c>
      <c r="C1788">
        <f t="shared" ca="1" si="81"/>
        <v>3490.8616673382567</v>
      </c>
      <c r="D1788">
        <f t="shared" ca="1" si="82"/>
        <v>0</v>
      </c>
    </row>
    <row r="1789" spans="2:4" x14ac:dyDescent="0.25">
      <c r="B1789">
        <f t="shared" ca="1" si="83"/>
        <v>42947.579940171388</v>
      </c>
      <c r="C1789">
        <f t="shared" ca="1" si="81"/>
        <v>0</v>
      </c>
      <c r="D1789">
        <f t="shared" ca="1" si="82"/>
        <v>2947.5799401713884</v>
      </c>
    </row>
    <row r="1790" spans="2:4" x14ac:dyDescent="0.25">
      <c r="B1790">
        <f t="shared" ca="1" si="83"/>
        <v>50602.502100686201</v>
      </c>
      <c r="C1790">
        <f t="shared" ca="1" si="81"/>
        <v>0</v>
      </c>
      <c r="D1790">
        <f t="shared" ca="1" si="82"/>
        <v>10602.502100686201</v>
      </c>
    </row>
    <row r="1791" spans="2:4" x14ac:dyDescent="0.25">
      <c r="B1791">
        <f t="shared" ca="1" si="83"/>
        <v>44330.53633281462</v>
      </c>
      <c r="C1791">
        <f t="shared" ca="1" si="81"/>
        <v>0</v>
      </c>
      <c r="D1791">
        <f t="shared" ca="1" si="82"/>
        <v>4330.5363328146195</v>
      </c>
    </row>
    <row r="1792" spans="2:4" x14ac:dyDescent="0.25">
      <c r="B1792">
        <f t="shared" ca="1" si="83"/>
        <v>44892.346996967375</v>
      </c>
      <c r="C1792">
        <f t="shared" ca="1" si="81"/>
        <v>0</v>
      </c>
      <c r="D1792">
        <f t="shared" ca="1" si="82"/>
        <v>4892.3469969673752</v>
      </c>
    </row>
    <row r="1793" spans="2:4" x14ac:dyDescent="0.25">
      <c r="B1793">
        <f t="shared" ca="1" si="83"/>
        <v>51765.97607117788</v>
      </c>
      <c r="C1793">
        <f t="shared" ca="1" si="81"/>
        <v>0</v>
      </c>
      <c r="D1793">
        <f t="shared" ca="1" si="82"/>
        <v>11765.97607117788</v>
      </c>
    </row>
    <row r="1794" spans="2:4" x14ac:dyDescent="0.25">
      <c r="B1794">
        <f t="shared" ca="1" si="83"/>
        <v>41485.745052287384</v>
      </c>
      <c r="C1794">
        <f t="shared" ca="1" si="81"/>
        <v>0</v>
      </c>
      <c r="D1794">
        <f t="shared" ca="1" si="82"/>
        <v>1485.7450522873842</v>
      </c>
    </row>
    <row r="1795" spans="2:4" x14ac:dyDescent="0.25">
      <c r="B1795">
        <f t="shared" ca="1" si="83"/>
        <v>53060.335902972023</v>
      </c>
      <c r="C1795">
        <f t="shared" ca="1" si="81"/>
        <v>0</v>
      </c>
      <c r="D1795">
        <f t="shared" ca="1" si="82"/>
        <v>13060.335902972023</v>
      </c>
    </row>
    <row r="1796" spans="2:4" x14ac:dyDescent="0.25">
      <c r="B1796">
        <f t="shared" ca="1" si="83"/>
        <v>48217.988268570443</v>
      </c>
      <c r="C1796">
        <f t="shared" ca="1" si="81"/>
        <v>0</v>
      </c>
      <c r="D1796">
        <f t="shared" ca="1" si="82"/>
        <v>8217.9882685704433</v>
      </c>
    </row>
    <row r="1797" spans="2:4" x14ac:dyDescent="0.25">
      <c r="B1797">
        <f t="shared" ca="1" si="83"/>
        <v>42800.900041779132</v>
      </c>
      <c r="C1797">
        <f t="shared" ca="1" si="81"/>
        <v>0</v>
      </c>
      <c r="D1797">
        <f t="shared" ca="1" si="82"/>
        <v>2800.9000417791322</v>
      </c>
    </row>
    <row r="1798" spans="2:4" x14ac:dyDescent="0.25">
      <c r="B1798">
        <f t="shared" ca="1" si="83"/>
        <v>45406.954512567259</v>
      </c>
      <c r="C1798">
        <f t="shared" ca="1" si="81"/>
        <v>0</v>
      </c>
      <c r="D1798">
        <f t="shared" ca="1" si="82"/>
        <v>5406.9545125672594</v>
      </c>
    </row>
    <row r="1799" spans="2:4" x14ac:dyDescent="0.25">
      <c r="B1799">
        <f t="shared" ca="1" si="83"/>
        <v>43535.353864706616</v>
      </c>
      <c r="C1799">
        <f t="shared" ca="1" si="81"/>
        <v>0</v>
      </c>
      <c r="D1799">
        <f t="shared" ca="1" si="82"/>
        <v>3535.3538647066162</v>
      </c>
    </row>
    <row r="1800" spans="2:4" x14ac:dyDescent="0.25">
      <c r="B1800">
        <f t="shared" ca="1" si="83"/>
        <v>47584.005257736826</v>
      </c>
      <c r="C1800">
        <f t="shared" ca="1" si="81"/>
        <v>0</v>
      </c>
      <c r="D1800">
        <f t="shared" ca="1" si="82"/>
        <v>7584.005257736826</v>
      </c>
    </row>
    <row r="1801" spans="2:4" x14ac:dyDescent="0.25">
      <c r="B1801">
        <f t="shared" ca="1" si="83"/>
        <v>44150.006480949633</v>
      </c>
      <c r="C1801">
        <f t="shared" ca="1" si="81"/>
        <v>0</v>
      </c>
      <c r="D1801">
        <f t="shared" ca="1" si="82"/>
        <v>4150.0064809496325</v>
      </c>
    </row>
    <row r="1802" spans="2:4" x14ac:dyDescent="0.25">
      <c r="B1802">
        <f t="shared" ca="1" si="83"/>
        <v>42933.25788436977</v>
      </c>
      <c r="C1802">
        <f t="shared" ca="1" si="81"/>
        <v>0</v>
      </c>
      <c r="D1802">
        <f t="shared" ca="1" si="82"/>
        <v>2933.2578843697702</v>
      </c>
    </row>
    <row r="1803" spans="2:4" x14ac:dyDescent="0.25">
      <c r="B1803">
        <f t="shared" ca="1" si="83"/>
        <v>50751.005973030544</v>
      </c>
      <c r="C1803">
        <f t="shared" ca="1" si="81"/>
        <v>0</v>
      </c>
      <c r="D1803">
        <f t="shared" ca="1" si="82"/>
        <v>10751.005973030544</v>
      </c>
    </row>
    <row r="1804" spans="2:4" x14ac:dyDescent="0.25">
      <c r="B1804">
        <f t="shared" ca="1" si="83"/>
        <v>47712.609750012009</v>
      </c>
      <c r="C1804">
        <f t="shared" ref="C1804:C1867" ca="1" si="84">IF(MAX($B$2-B1804)&lt;0,0,$B$2-B1804)</f>
        <v>0</v>
      </c>
      <c r="D1804">
        <f t="shared" ref="D1804:D1867" ca="1" si="85">IF(MAX(B1804-$B$2)&lt;0,0,B1804-$B$2)</f>
        <v>7712.6097500120086</v>
      </c>
    </row>
    <row r="1805" spans="2:4" x14ac:dyDescent="0.25">
      <c r="B1805">
        <f t="shared" ref="B1805:B1868" ca="1" si="86">$B$1*EXP((($B$4-($B$3^2)/2)*$B$5+$B$3*SQRT($B$5)*NORMSINV(RAND())))</f>
        <v>41659.036716514231</v>
      </c>
      <c r="C1805">
        <f t="shared" ca="1" si="84"/>
        <v>0</v>
      </c>
      <c r="D1805">
        <f t="shared" ca="1" si="85"/>
        <v>1659.0367165142306</v>
      </c>
    </row>
    <row r="1806" spans="2:4" x14ac:dyDescent="0.25">
      <c r="B1806">
        <f t="shared" ca="1" si="86"/>
        <v>49309.11793937035</v>
      </c>
      <c r="C1806">
        <f t="shared" ca="1" si="84"/>
        <v>0</v>
      </c>
      <c r="D1806">
        <f t="shared" ca="1" si="85"/>
        <v>9309.1179393703496</v>
      </c>
    </row>
    <row r="1807" spans="2:4" x14ac:dyDescent="0.25">
      <c r="B1807">
        <f t="shared" ca="1" si="86"/>
        <v>39144.824381338796</v>
      </c>
      <c r="C1807">
        <f t="shared" ca="1" si="84"/>
        <v>855.17561866120377</v>
      </c>
      <c r="D1807">
        <f t="shared" ca="1" si="85"/>
        <v>0</v>
      </c>
    </row>
    <row r="1808" spans="2:4" x14ac:dyDescent="0.25">
      <c r="B1808">
        <f t="shared" ca="1" si="86"/>
        <v>46119.77654921807</v>
      </c>
      <c r="C1808">
        <f t="shared" ca="1" si="84"/>
        <v>0</v>
      </c>
      <c r="D1808">
        <f t="shared" ca="1" si="85"/>
        <v>6119.7765492180697</v>
      </c>
    </row>
    <row r="1809" spans="2:4" x14ac:dyDescent="0.25">
      <c r="B1809">
        <f t="shared" ca="1" si="86"/>
        <v>46610.551512402715</v>
      </c>
      <c r="C1809">
        <f t="shared" ca="1" si="84"/>
        <v>0</v>
      </c>
      <c r="D1809">
        <f t="shared" ca="1" si="85"/>
        <v>6610.5515124027152</v>
      </c>
    </row>
    <row r="1810" spans="2:4" x14ac:dyDescent="0.25">
      <c r="B1810">
        <f t="shared" ca="1" si="86"/>
        <v>45066.060114977066</v>
      </c>
      <c r="C1810">
        <f t="shared" ca="1" si="84"/>
        <v>0</v>
      </c>
      <c r="D1810">
        <f t="shared" ca="1" si="85"/>
        <v>5066.0601149770664</v>
      </c>
    </row>
    <row r="1811" spans="2:4" x14ac:dyDescent="0.25">
      <c r="B1811">
        <f t="shared" ca="1" si="86"/>
        <v>42109.956931243156</v>
      </c>
      <c r="C1811">
        <f t="shared" ca="1" si="84"/>
        <v>0</v>
      </c>
      <c r="D1811">
        <f t="shared" ca="1" si="85"/>
        <v>2109.9569312431559</v>
      </c>
    </row>
    <row r="1812" spans="2:4" x14ac:dyDescent="0.25">
      <c r="B1812">
        <f t="shared" ca="1" si="86"/>
        <v>41266.404613904742</v>
      </c>
      <c r="C1812">
        <f t="shared" ca="1" si="84"/>
        <v>0</v>
      </c>
      <c r="D1812">
        <f t="shared" ca="1" si="85"/>
        <v>1266.4046139047423</v>
      </c>
    </row>
    <row r="1813" spans="2:4" x14ac:dyDescent="0.25">
      <c r="B1813">
        <f t="shared" ca="1" si="86"/>
        <v>47232.440272712454</v>
      </c>
      <c r="C1813">
        <f t="shared" ca="1" si="84"/>
        <v>0</v>
      </c>
      <c r="D1813">
        <f t="shared" ca="1" si="85"/>
        <v>7232.4402727124543</v>
      </c>
    </row>
    <row r="1814" spans="2:4" x14ac:dyDescent="0.25">
      <c r="B1814">
        <f t="shared" ca="1" si="86"/>
        <v>48352.2150447721</v>
      </c>
      <c r="C1814">
        <f t="shared" ca="1" si="84"/>
        <v>0</v>
      </c>
      <c r="D1814">
        <f t="shared" ca="1" si="85"/>
        <v>8352.2150447720996</v>
      </c>
    </row>
    <row r="1815" spans="2:4" x14ac:dyDescent="0.25">
      <c r="B1815">
        <f t="shared" ca="1" si="86"/>
        <v>54384.751641466421</v>
      </c>
      <c r="C1815">
        <f t="shared" ca="1" si="84"/>
        <v>0</v>
      </c>
      <c r="D1815">
        <f t="shared" ca="1" si="85"/>
        <v>14384.751641466421</v>
      </c>
    </row>
    <row r="1816" spans="2:4" x14ac:dyDescent="0.25">
      <c r="B1816">
        <f t="shared" ca="1" si="86"/>
        <v>37462.982775567762</v>
      </c>
      <c r="C1816">
        <f t="shared" ca="1" si="84"/>
        <v>2537.0172244322384</v>
      </c>
      <c r="D1816">
        <f t="shared" ca="1" si="85"/>
        <v>0</v>
      </c>
    </row>
    <row r="1817" spans="2:4" x14ac:dyDescent="0.25">
      <c r="B1817">
        <f t="shared" ca="1" si="86"/>
        <v>42733.491034316023</v>
      </c>
      <c r="C1817">
        <f t="shared" ca="1" si="84"/>
        <v>0</v>
      </c>
      <c r="D1817">
        <f t="shared" ca="1" si="85"/>
        <v>2733.4910343160227</v>
      </c>
    </row>
    <row r="1818" spans="2:4" x14ac:dyDescent="0.25">
      <c r="B1818">
        <f t="shared" ca="1" si="86"/>
        <v>45255.347370988376</v>
      </c>
      <c r="C1818">
        <f t="shared" ca="1" si="84"/>
        <v>0</v>
      </c>
      <c r="D1818">
        <f t="shared" ca="1" si="85"/>
        <v>5255.3473709883765</v>
      </c>
    </row>
    <row r="1819" spans="2:4" x14ac:dyDescent="0.25">
      <c r="B1819">
        <f t="shared" ca="1" si="86"/>
        <v>44828.517312605145</v>
      </c>
      <c r="C1819">
        <f t="shared" ca="1" si="84"/>
        <v>0</v>
      </c>
      <c r="D1819">
        <f t="shared" ca="1" si="85"/>
        <v>4828.517312605145</v>
      </c>
    </row>
    <row r="1820" spans="2:4" x14ac:dyDescent="0.25">
      <c r="B1820">
        <f t="shared" ca="1" si="86"/>
        <v>44726.178608576083</v>
      </c>
      <c r="C1820">
        <f t="shared" ca="1" si="84"/>
        <v>0</v>
      </c>
      <c r="D1820">
        <f t="shared" ca="1" si="85"/>
        <v>4726.1786085760832</v>
      </c>
    </row>
    <row r="1821" spans="2:4" x14ac:dyDescent="0.25">
      <c r="B1821">
        <f t="shared" ca="1" si="86"/>
        <v>48085.903246722126</v>
      </c>
      <c r="C1821">
        <f t="shared" ca="1" si="84"/>
        <v>0</v>
      </c>
      <c r="D1821">
        <f t="shared" ca="1" si="85"/>
        <v>8085.9032467221259</v>
      </c>
    </row>
    <row r="1822" spans="2:4" x14ac:dyDescent="0.25">
      <c r="B1822">
        <f t="shared" ca="1" si="86"/>
        <v>41069.881170910492</v>
      </c>
      <c r="C1822">
        <f t="shared" ca="1" si="84"/>
        <v>0</v>
      </c>
      <c r="D1822">
        <f t="shared" ca="1" si="85"/>
        <v>1069.8811709104921</v>
      </c>
    </row>
    <row r="1823" spans="2:4" x14ac:dyDescent="0.25">
      <c r="B1823">
        <f t="shared" ca="1" si="86"/>
        <v>56973.666063311532</v>
      </c>
      <c r="C1823">
        <f t="shared" ca="1" si="84"/>
        <v>0</v>
      </c>
      <c r="D1823">
        <f t="shared" ca="1" si="85"/>
        <v>16973.666063311532</v>
      </c>
    </row>
    <row r="1824" spans="2:4" x14ac:dyDescent="0.25">
      <c r="B1824">
        <f t="shared" ca="1" si="86"/>
        <v>43127.218830758742</v>
      </c>
      <c r="C1824">
        <f t="shared" ca="1" si="84"/>
        <v>0</v>
      </c>
      <c r="D1824">
        <f t="shared" ca="1" si="85"/>
        <v>3127.2188307587421</v>
      </c>
    </row>
    <row r="1825" spans="2:4" x14ac:dyDescent="0.25">
      <c r="B1825">
        <f t="shared" ca="1" si="86"/>
        <v>49292.197961294274</v>
      </c>
      <c r="C1825">
        <f t="shared" ca="1" si="84"/>
        <v>0</v>
      </c>
      <c r="D1825">
        <f t="shared" ca="1" si="85"/>
        <v>9292.1979612942741</v>
      </c>
    </row>
    <row r="1826" spans="2:4" x14ac:dyDescent="0.25">
      <c r="B1826">
        <f t="shared" ca="1" si="86"/>
        <v>39707.449865474242</v>
      </c>
      <c r="C1826">
        <f t="shared" ca="1" si="84"/>
        <v>292.55013452575804</v>
      </c>
      <c r="D1826">
        <f t="shared" ca="1" si="85"/>
        <v>0</v>
      </c>
    </row>
    <row r="1827" spans="2:4" x14ac:dyDescent="0.25">
      <c r="B1827">
        <f t="shared" ca="1" si="86"/>
        <v>42676.376474258563</v>
      </c>
      <c r="C1827">
        <f t="shared" ca="1" si="84"/>
        <v>0</v>
      </c>
      <c r="D1827">
        <f t="shared" ca="1" si="85"/>
        <v>2676.3764742585627</v>
      </c>
    </row>
    <row r="1828" spans="2:4" x14ac:dyDescent="0.25">
      <c r="B1828">
        <f t="shared" ca="1" si="86"/>
        <v>44014.851354269915</v>
      </c>
      <c r="C1828">
        <f t="shared" ca="1" si="84"/>
        <v>0</v>
      </c>
      <c r="D1828">
        <f t="shared" ca="1" si="85"/>
        <v>4014.8513542699147</v>
      </c>
    </row>
    <row r="1829" spans="2:4" x14ac:dyDescent="0.25">
      <c r="B1829">
        <f t="shared" ca="1" si="86"/>
        <v>52221.361888234111</v>
      </c>
      <c r="C1829">
        <f t="shared" ca="1" si="84"/>
        <v>0</v>
      </c>
      <c r="D1829">
        <f t="shared" ca="1" si="85"/>
        <v>12221.361888234111</v>
      </c>
    </row>
    <row r="1830" spans="2:4" x14ac:dyDescent="0.25">
      <c r="B1830">
        <f t="shared" ca="1" si="86"/>
        <v>47740.011180725691</v>
      </c>
      <c r="C1830">
        <f t="shared" ca="1" si="84"/>
        <v>0</v>
      </c>
      <c r="D1830">
        <f t="shared" ca="1" si="85"/>
        <v>7740.0111807256908</v>
      </c>
    </row>
    <row r="1831" spans="2:4" x14ac:dyDescent="0.25">
      <c r="B1831">
        <f t="shared" ca="1" si="86"/>
        <v>47355.407915529213</v>
      </c>
      <c r="C1831">
        <f t="shared" ca="1" si="84"/>
        <v>0</v>
      </c>
      <c r="D1831">
        <f t="shared" ca="1" si="85"/>
        <v>7355.4079155292129</v>
      </c>
    </row>
    <row r="1832" spans="2:4" x14ac:dyDescent="0.25">
      <c r="B1832">
        <f t="shared" ca="1" si="86"/>
        <v>41979.743648685253</v>
      </c>
      <c r="C1832">
        <f t="shared" ca="1" si="84"/>
        <v>0</v>
      </c>
      <c r="D1832">
        <f t="shared" ca="1" si="85"/>
        <v>1979.743648685253</v>
      </c>
    </row>
    <row r="1833" spans="2:4" x14ac:dyDescent="0.25">
      <c r="B1833">
        <f t="shared" ca="1" si="86"/>
        <v>43671.440651743389</v>
      </c>
      <c r="C1833">
        <f t="shared" ca="1" si="84"/>
        <v>0</v>
      </c>
      <c r="D1833">
        <f t="shared" ca="1" si="85"/>
        <v>3671.440651743389</v>
      </c>
    </row>
    <row r="1834" spans="2:4" x14ac:dyDescent="0.25">
      <c r="B1834">
        <f t="shared" ca="1" si="86"/>
        <v>43128.10492331547</v>
      </c>
      <c r="C1834">
        <f t="shared" ca="1" si="84"/>
        <v>0</v>
      </c>
      <c r="D1834">
        <f t="shared" ca="1" si="85"/>
        <v>3128.1049233154699</v>
      </c>
    </row>
    <row r="1835" spans="2:4" x14ac:dyDescent="0.25">
      <c r="B1835">
        <f t="shared" ca="1" si="86"/>
        <v>47811.146739053249</v>
      </c>
      <c r="C1835">
        <f t="shared" ca="1" si="84"/>
        <v>0</v>
      </c>
      <c r="D1835">
        <f t="shared" ca="1" si="85"/>
        <v>7811.1467390532489</v>
      </c>
    </row>
    <row r="1836" spans="2:4" x14ac:dyDescent="0.25">
      <c r="B1836">
        <f t="shared" ca="1" si="86"/>
        <v>49051.96615006285</v>
      </c>
      <c r="C1836">
        <f t="shared" ca="1" si="84"/>
        <v>0</v>
      </c>
      <c r="D1836">
        <f t="shared" ca="1" si="85"/>
        <v>9051.9661500628499</v>
      </c>
    </row>
    <row r="1837" spans="2:4" x14ac:dyDescent="0.25">
      <c r="B1837">
        <f t="shared" ca="1" si="86"/>
        <v>43795.880819009006</v>
      </c>
      <c r="C1837">
        <f t="shared" ca="1" si="84"/>
        <v>0</v>
      </c>
      <c r="D1837">
        <f t="shared" ca="1" si="85"/>
        <v>3795.8808190090058</v>
      </c>
    </row>
    <row r="1838" spans="2:4" x14ac:dyDescent="0.25">
      <c r="B1838">
        <f t="shared" ca="1" si="86"/>
        <v>43261.731127350562</v>
      </c>
      <c r="C1838">
        <f t="shared" ca="1" si="84"/>
        <v>0</v>
      </c>
      <c r="D1838">
        <f t="shared" ca="1" si="85"/>
        <v>3261.731127350562</v>
      </c>
    </row>
    <row r="1839" spans="2:4" x14ac:dyDescent="0.25">
      <c r="B1839">
        <f t="shared" ca="1" si="86"/>
        <v>43427.54371793288</v>
      </c>
      <c r="C1839">
        <f t="shared" ca="1" si="84"/>
        <v>0</v>
      </c>
      <c r="D1839">
        <f t="shared" ca="1" si="85"/>
        <v>3427.5437179328801</v>
      </c>
    </row>
    <row r="1840" spans="2:4" x14ac:dyDescent="0.25">
      <c r="B1840">
        <f t="shared" ca="1" si="86"/>
        <v>35671.508789796244</v>
      </c>
      <c r="C1840">
        <f t="shared" ca="1" si="84"/>
        <v>4328.4912102037561</v>
      </c>
      <c r="D1840">
        <f t="shared" ca="1" si="85"/>
        <v>0</v>
      </c>
    </row>
    <row r="1841" spans="2:4" x14ac:dyDescent="0.25">
      <c r="B1841">
        <f t="shared" ca="1" si="86"/>
        <v>41607.045315997464</v>
      </c>
      <c r="C1841">
        <f t="shared" ca="1" si="84"/>
        <v>0</v>
      </c>
      <c r="D1841">
        <f t="shared" ca="1" si="85"/>
        <v>1607.0453159974641</v>
      </c>
    </row>
    <row r="1842" spans="2:4" x14ac:dyDescent="0.25">
      <c r="B1842">
        <f t="shared" ca="1" si="86"/>
        <v>54838.267629133959</v>
      </c>
      <c r="C1842">
        <f t="shared" ca="1" si="84"/>
        <v>0</v>
      </c>
      <c r="D1842">
        <f t="shared" ca="1" si="85"/>
        <v>14838.267629133959</v>
      </c>
    </row>
    <row r="1843" spans="2:4" x14ac:dyDescent="0.25">
      <c r="B1843">
        <f t="shared" ca="1" si="86"/>
        <v>41519.708190657759</v>
      </c>
      <c r="C1843">
        <f t="shared" ca="1" si="84"/>
        <v>0</v>
      </c>
      <c r="D1843">
        <f t="shared" ca="1" si="85"/>
        <v>1519.7081906577587</v>
      </c>
    </row>
    <row r="1844" spans="2:4" x14ac:dyDescent="0.25">
      <c r="B1844">
        <f t="shared" ca="1" si="86"/>
        <v>39643.172603562554</v>
      </c>
      <c r="C1844">
        <f t="shared" ca="1" si="84"/>
        <v>356.82739643744571</v>
      </c>
      <c r="D1844">
        <f t="shared" ca="1" si="85"/>
        <v>0</v>
      </c>
    </row>
    <row r="1845" spans="2:4" x14ac:dyDescent="0.25">
      <c r="B1845">
        <f t="shared" ca="1" si="86"/>
        <v>46954.15440852812</v>
      </c>
      <c r="C1845">
        <f t="shared" ca="1" si="84"/>
        <v>0</v>
      </c>
      <c r="D1845">
        <f t="shared" ca="1" si="85"/>
        <v>6954.1544085281203</v>
      </c>
    </row>
    <row r="1846" spans="2:4" x14ac:dyDescent="0.25">
      <c r="B1846">
        <f t="shared" ca="1" si="86"/>
        <v>40605.477625031948</v>
      </c>
      <c r="C1846">
        <f t="shared" ca="1" si="84"/>
        <v>0</v>
      </c>
      <c r="D1846">
        <f t="shared" ca="1" si="85"/>
        <v>605.47762503194826</v>
      </c>
    </row>
    <row r="1847" spans="2:4" x14ac:dyDescent="0.25">
      <c r="B1847">
        <f t="shared" ca="1" si="86"/>
        <v>50052.07116079866</v>
      </c>
      <c r="C1847">
        <f t="shared" ca="1" si="84"/>
        <v>0</v>
      </c>
      <c r="D1847">
        <f t="shared" ca="1" si="85"/>
        <v>10052.07116079866</v>
      </c>
    </row>
    <row r="1848" spans="2:4" x14ac:dyDescent="0.25">
      <c r="B1848">
        <f t="shared" ca="1" si="86"/>
        <v>46469.452037986972</v>
      </c>
      <c r="C1848">
        <f t="shared" ca="1" si="84"/>
        <v>0</v>
      </c>
      <c r="D1848">
        <f t="shared" ca="1" si="85"/>
        <v>6469.4520379869718</v>
      </c>
    </row>
    <row r="1849" spans="2:4" x14ac:dyDescent="0.25">
      <c r="B1849">
        <f t="shared" ca="1" si="86"/>
        <v>41596.613007617998</v>
      </c>
      <c r="C1849">
        <f t="shared" ca="1" si="84"/>
        <v>0</v>
      </c>
      <c r="D1849">
        <f t="shared" ca="1" si="85"/>
        <v>1596.6130076179979</v>
      </c>
    </row>
    <row r="1850" spans="2:4" x14ac:dyDescent="0.25">
      <c r="B1850">
        <f t="shared" ca="1" si="86"/>
        <v>45098.630675138236</v>
      </c>
      <c r="C1850">
        <f t="shared" ca="1" si="84"/>
        <v>0</v>
      </c>
      <c r="D1850">
        <f t="shared" ca="1" si="85"/>
        <v>5098.6306751382363</v>
      </c>
    </row>
    <row r="1851" spans="2:4" x14ac:dyDescent="0.25">
      <c r="B1851">
        <f t="shared" ca="1" si="86"/>
        <v>43013.299520961213</v>
      </c>
      <c r="C1851">
        <f t="shared" ca="1" si="84"/>
        <v>0</v>
      </c>
      <c r="D1851">
        <f t="shared" ca="1" si="85"/>
        <v>3013.2995209612127</v>
      </c>
    </row>
    <row r="1852" spans="2:4" x14ac:dyDescent="0.25">
      <c r="B1852">
        <f t="shared" ca="1" si="86"/>
        <v>39160.881811439263</v>
      </c>
      <c r="C1852">
        <f t="shared" ca="1" si="84"/>
        <v>839.1181885607366</v>
      </c>
      <c r="D1852">
        <f t="shared" ca="1" si="85"/>
        <v>0</v>
      </c>
    </row>
    <row r="1853" spans="2:4" x14ac:dyDescent="0.25">
      <c r="B1853">
        <f t="shared" ca="1" si="86"/>
        <v>41949.965858340227</v>
      </c>
      <c r="C1853">
        <f t="shared" ca="1" si="84"/>
        <v>0</v>
      </c>
      <c r="D1853">
        <f t="shared" ca="1" si="85"/>
        <v>1949.965858340227</v>
      </c>
    </row>
    <row r="1854" spans="2:4" x14ac:dyDescent="0.25">
      <c r="B1854">
        <f t="shared" ca="1" si="86"/>
        <v>45411.518967494005</v>
      </c>
      <c r="C1854">
        <f t="shared" ca="1" si="84"/>
        <v>0</v>
      </c>
      <c r="D1854">
        <f t="shared" ca="1" si="85"/>
        <v>5411.5189674940048</v>
      </c>
    </row>
    <row r="1855" spans="2:4" x14ac:dyDescent="0.25">
      <c r="B1855">
        <f t="shared" ca="1" si="86"/>
        <v>39911.126450889868</v>
      </c>
      <c r="C1855">
        <f t="shared" ca="1" si="84"/>
        <v>88.873549110132444</v>
      </c>
      <c r="D1855">
        <f t="shared" ca="1" si="85"/>
        <v>0</v>
      </c>
    </row>
    <row r="1856" spans="2:4" x14ac:dyDescent="0.25">
      <c r="B1856">
        <f t="shared" ca="1" si="86"/>
        <v>35877.463689749115</v>
      </c>
      <c r="C1856">
        <f t="shared" ca="1" si="84"/>
        <v>4122.5363102508854</v>
      </c>
      <c r="D1856">
        <f t="shared" ca="1" si="85"/>
        <v>0</v>
      </c>
    </row>
    <row r="1857" spans="2:4" x14ac:dyDescent="0.25">
      <c r="B1857">
        <f t="shared" ca="1" si="86"/>
        <v>40927.387907442491</v>
      </c>
      <c r="C1857">
        <f t="shared" ca="1" si="84"/>
        <v>0</v>
      </c>
      <c r="D1857">
        <f t="shared" ca="1" si="85"/>
        <v>927.38790744249127</v>
      </c>
    </row>
    <row r="1858" spans="2:4" x14ac:dyDescent="0.25">
      <c r="B1858">
        <f t="shared" ca="1" si="86"/>
        <v>51077.480365814466</v>
      </c>
      <c r="C1858">
        <f t="shared" ca="1" si="84"/>
        <v>0</v>
      </c>
      <c r="D1858">
        <f t="shared" ca="1" si="85"/>
        <v>11077.480365814466</v>
      </c>
    </row>
    <row r="1859" spans="2:4" x14ac:dyDescent="0.25">
      <c r="B1859">
        <f t="shared" ca="1" si="86"/>
        <v>49294.281594828768</v>
      </c>
      <c r="C1859">
        <f t="shared" ca="1" si="84"/>
        <v>0</v>
      </c>
      <c r="D1859">
        <f t="shared" ca="1" si="85"/>
        <v>9294.281594828768</v>
      </c>
    </row>
    <row r="1860" spans="2:4" x14ac:dyDescent="0.25">
      <c r="B1860">
        <f t="shared" ca="1" si="86"/>
        <v>48702.482048171732</v>
      </c>
      <c r="C1860">
        <f t="shared" ca="1" si="84"/>
        <v>0</v>
      </c>
      <c r="D1860">
        <f t="shared" ca="1" si="85"/>
        <v>8702.4820481717325</v>
      </c>
    </row>
    <row r="1861" spans="2:4" x14ac:dyDescent="0.25">
      <c r="B1861">
        <f t="shared" ca="1" si="86"/>
        <v>47014.318658914795</v>
      </c>
      <c r="C1861">
        <f t="shared" ca="1" si="84"/>
        <v>0</v>
      </c>
      <c r="D1861">
        <f t="shared" ca="1" si="85"/>
        <v>7014.3186589147954</v>
      </c>
    </row>
    <row r="1862" spans="2:4" x14ac:dyDescent="0.25">
      <c r="B1862">
        <f t="shared" ca="1" si="86"/>
        <v>40568.373410293476</v>
      </c>
      <c r="C1862">
        <f t="shared" ca="1" si="84"/>
        <v>0</v>
      </c>
      <c r="D1862">
        <f t="shared" ca="1" si="85"/>
        <v>568.3734102934759</v>
      </c>
    </row>
    <row r="1863" spans="2:4" x14ac:dyDescent="0.25">
      <c r="B1863">
        <f t="shared" ca="1" si="86"/>
        <v>43464.714234497173</v>
      </c>
      <c r="C1863">
        <f t="shared" ca="1" si="84"/>
        <v>0</v>
      </c>
      <c r="D1863">
        <f t="shared" ca="1" si="85"/>
        <v>3464.7142344971726</v>
      </c>
    </row>
    <row r="1864" spans="2:4" x14ac:dyDescent="0.25">
      <c r="B1864">
        <f t="shared" ca="1" si="86"/>
        <v>38972.578007910852</v>
      </c>
      <c r="C1864">
        <f t="shared" ca="1" si="84"/>
        <v>1027.4219920891483</v>
      </c>
      <c r="D1864">
        <f t="shared" ca="1" si="85"/>
        <v>0</v>
      </c>
    </row>
    <row r="1865" spans="2:4" x14ac:dyDescent="0.25">
      <c r="B1865">
        <f t="shared" ca="1" si="86"/>
        <v>47690.838623958312</v>
      </c>
      <c r="C1865">
        <f t="shared" ca="1" si="84"/>
        <v>0</v>
      </c>
      <c r="D1865">
        <f t="shared" ca="1" si="85"/>
        <v>7690.8386239583124</v>
      </c>
    </row>
    <row r="1866" spans="2:4" x14ac:dyDescent="0.25">
      <c r="B1866">
        <f t="shared" ca="1" si="86"/>
        <v>42836.198018893374</v>
      </c>
      <c r="C1866">
        <f t="shared" ca="1" si="84"/>
        <v>0</v>
      </c>
      <c r="D1866">
        <f t="shared" ca="1" si="85"/>
        <v>2836.198018893374</v>
      </c>
    </row>
    <row r="1867" spans="2:4" x14ac:dyDescent="0.25">
      <c r="B1867">
        <f t="shared" ca="1" si="86"/>
        <v>38813.269217654808</v>
      </c>
      <c r="C1867">
        <f t="shared" ca="1" si="84"/>
        <v>1186.730782345192</v>
      </c>
      <c r="D1867">
        <f t="shared" ca="1" si="85"/>
        <v>0</v>
      </c>
    </row>
    <row r="1868" spans="2:4" x14ac:dyDescent="0.25">
      <c r="B1868">
        <f t="shared" ca="1" si="86"/>
        <v>41825.493865009725</v>
      </c>
      <c r="C1868">
        <f t="shared" ref="C1868:C1931" ca="1" si="87">IF(MAX($B$2-B1868)&lt;0,0,$B$2-B1868)</f>
        <v>0</v>
      </c>
      <c r="D1868">
        <f t="shared" ref="D1868:D1931" ca="1" si="88">IF(MAX(B1868-$B$2)&lt;0,0,B1868-$B$2)</f>
        <v>1825.4938650097247</v>
      </c>
    </row>
    <row r="1869" spans="2:4" x14ac:dyDescent="0.25">
      <c r="B1869">
        <f t="shared" ref="B1869:B1932" ca="1" si="89">$B$1*EXP((($B$4-($B$3^2)/2)*$B$5+$B$3*SQRT($B$5)*NORMSINV(RAND())))</f>
        <v>50249.96614414802</v>
      </c>
      <c r="C1869">
        <f t="shared" ca="1" si="87"/>
        <v>0</v>
      </c>
      <c r="D1869">
        <f t="shared" ca="1" si="88"/>
        <v>10249.96614414802</v>
      </c>
    </row>
    <row r="1870" spans="2:4" x14ac:dyDescent="0.25">
      <c r="B1870">
        <f t="shared" ca="1" si="89"/>
        <v>45160.217583745696</v>
      </c>
      <c r="C1870">
        <f t="shared" ca="1" si="87"/>
        <v>0</v>
      </c>
      <c r="D1870">
        <f t="shared" ca="1" si="88"/>
        <v>5160.2175837456962</v>
      </c>
    </row>
    <row r="1871" spans="2:4" x14ac:dyDescent="0.25">
      <c r="B1871">
        <f t="shared" ca="1" si="89"/>
        <v>41007.306498824284</v>
      </c>
      <c r="C1871">
        <f t="shared" ca="1" si="87"/>
        <v>0</v>
      </c>
      <c r="D1871">
        <f t="shared" ca="1" si="88"/>
        <v>1007.3064988242841</v>
      </c>
    </row>
    <row r="1872" spans="2:4" x14ac:dyDescent="0.25">
      <c r="B1872">
        <f t="shared" ca="1" si="89"/>
        <v>38659.857329003426</v>
      </c>
      <c r="C1872">
        <f t="shared" ca="1" si="87"/>
        <v>1340.1426709965745</v>
      </c>
      <c r="D1872">
        <f t="shared" ca="1" si="88"/>
        <v>0</v>
      </c>
    </row>
    <row r="1873" spans="2:4" x14ac:dyDescent="0.25">
      <c r="B1873">
        <f t="shared" ca="1" si="89"/>
        <v>51249.841492076601</v>
      </c>
      <c r="C1873">
        <f t="shared" ca="1" si="87"/>
        <v>0</v>
      </c>
      <c r="D1873">
        <f t="shared" ca="1" si="88"/>
        <v>11249.841492076601</v>
      </c>
    </row>
    <row r="1874" spans="2:4" x14ac:dyDescent="0.25">
      <c r="B1874">
        <f t="shared" ca="1" si="89"/>
        <v>39931.088107612522</v>
      </c>
      <c r="C1874">
        <f t="shared" ca="1" si="87"/>
        <v>68.911892387477565</v>
      </c>
      <c r="D1874">
        <f t="shared" ca="1" si="88"/>
        <v>0</v>
      </c>
    </row>
    <row r="1875" spans="2:4" x14ac:dyDescent="0.25">
      <c r="B1875">
        <f t="shared" ca="1" si="89"/>
        <v>41592.371748301339</v>
      </c>
      <c r="C1875">
        <f t="shared" ca="1" si="87"/>
        <v>0</v>
      </c>
      <c r="D1875">
        <f t="shared" ca="1" si="88"/>
        <v>1592.3717483013388</v>
      </c>
    </row>
    <row r="1876" spans="2:4" x14ac:dyDescent="0.25">
      <c r="B1876">
        <f t="shared" ca="1" si="89"/>
        <v>48578.085631681919</v>
      </c>
      <c r="C1876">
        <f t="shared" ca="1" si="87"/>
        <v>0</v>
      </c>
      <c r="D1876">
        <f t="shared" ca="1" si="88"/>
        <v>8578.085631681919</v>
      </c>
    </row>
    <row r="1877" spans="2:4" x14ac:dyDescent="0.25">
      <c r="B1877">
        <f t="shared" ca="1" si="89"/>
        <v>56927.744952831556</v>
      </c>
      <c r="C1877">
        <f t="shared" ca="1" si="87"/>
        <v>0</v>
      </c>
      <c r="D1877">
        <f t="shared" ca="1" si="88"/>
        <v>16927.744952831556</v>
      </c>
    </row>
    <row r="1878" spans="2:4" x14ac:dyDescent="0.25">
      <c r="B1878">
        <f t="shared" ca="1" si="89"/>
        <v>40227.517233016391</v>
      </c>
      <c r="C1878">
        <f t="shared" ca="1" si="87"/>
        <v>0</v>
      </c>
      <c r="D1878">
        <f t="shared" ca="1" si="88"/>
        <v>227.5172330163914</v>
      </c>
    </row>
    <row r="1879" spans="2:4" x14ac:dyDescent="0.25">
      <c r="B1879">
        <f t="shared" ca="1" si="89"/>
        <v>45416.68598663382</v>
      </c>
      <c r="C1879">
        <f t="shared" ca="1" si="87"/>
        <v>0</v>
      </c>
      <c r="D1879">
        <f t="shared" ca="1" si="88"/>
        <v>5416.68598663382</v>
      </c>
    </row>
    <row r="1880" spans="2:4" x14ac:dyDescent="0.25">
      <c r="B1880">
        <f t="shared" ca="1" si="89"/>
        <v>41631.551256290004</v>
      </c>
      <c r="C1880">
        <f t="shared" ca="1" si="87"/>
        <v>0</v>
      </c>
      <c r="D1880">
        <f t="shared" ca="1" si="88"/>
        <v>1631.5512562900039</v>
      </c>
    </row>
    <row r="1881" spans="2:4" x14ac:dyDescent="0.25">
      <c r="B1881">
        <f t="shared" ca="1" si="89"/>
        <v>43944.043905664992</v>
      </c>
      <c r="C1881">
        <f t="shared" ca="1" si="87"/>
        <v>0</v>
      </c>
      <c r="D1881">
        <f t="shared" ca="1" si="88"/>
        <v>3944.0439056649921</v>
      </c>
    </row>
    <row r="1882" spans="2:4" x14ac:dyDescent="0.25">
      <c r="B1882">
        <f t="shared" ca="1" si="89"/>
        <v>52178.12872784592</v>
      </c>
      <c r="C1882">
        <f t="shared" ca="1" si="87"/>
        <v>0</v>
      </c>
      <c r="D1882">
        <f t="shared" ca="1" si="88"/>
        <v>12178.12872784592</v>
      </c>
    </row>
    <row r="1883" spans="2:4" x14ac:dyDescent="0.25">
      <c r="B1883">
        <f t="shared" ca="1" si="89"/>
        <v>52802.123710420659</v>
      </c>
      <c r="C1883">
        <f t="shared" ca="1" si="87"/>
        <v>0</v>
      </c>
      <c r="D1883">
        <f t="shared" ca="1" si="88"/>
        <v>12802.123710420659</v>
      </c>
    </row>
    <row r="1884" spans="2:4" x14ac:dyDescent="0.25">
      <c r="B1884">
        <f t="shared" ca="1" si="89"/>
        <v>47649.579796381891</v>
      </c>
      <c r="C1884">
        <f t="shared" ca="1" si="87"/>
        <v>0</v>
      </c>
      <c r="D1884">
        <f t="shared" ca="1" si="88"/>
        <v>7649.5797963818914</v>
      </c>
    </row>
    <row r="1885" spans="2:4" x14ac:dyDescent="0.25">
      <c r="B1885">
        <f t="shared" ca="1" si="89"/>
        <v>35110.508410394868</v>
      </c>
      <c r="C1885">
        <f t="shared" ca="1" si="87"/>
        <v>4889.4915896051316</v>
      </c>
      <c r="D1885">
        <f t="shared" ca="1" si="88"/>
        <v>0</v>
      </c>
    </row>
    <row r="1886" spans="2:4" x14ac:dyDescent="0.25">
      <c r="B1886">
        <f t="shared" ca="1" si="89"/>
        <v>47610.793918597075</v>
      </c>
      <c r="C1886">
        <f t="shared" ca="1" si="87"/>
        <v>0</v>
      </c>
      <c r="D1886">
        <f t="shared" ca="1" si="88"/>
        <v>7610.7939185970754</v>
      </c>
    </row>
    <row r="1887" spans="2:4" x14ac:dyDescent="0.25">
      <c r="B1887">
        <f t="shared" ca="1" si="89"/>
        <v>39444.38457874801</v>
      </c>
      <c r="C1887">
        <f t="shared" ca="1" si="87"/>
        <v>555.61542125199048</v>
      </c>
      <c r="D1887">
        <f t="shared" ca="1" si="88"/>
        <v>0</v>
      </c>
    </row>
    <row r="1888" spans="2:4" x14ac:dyDescent="0.25">
      <c r="B1888">
        <f t="shared" ca="1" si="89"/>
        <v>49635.622256409129</v>
      </c>
      <c r="C1888">
        <f t="shared" ca="1" si="87"/>
        <v>0</v>
      </c>
      <c r="D1888">
        <f t="shared" ca="1" si="88"/>
        <v>9635.6222564091295</v>
      </c>
    </row>
    <row r="1889" spans="2:4" x14ac:dyDescent="0.25">
      <c r="B1889">
        <f t="shared" ca="1" si="89"/>
        <v>56464.38115810931</v>
      </c>
      <c r="C1889">
        <f t="shared" ca="1" si="87"/>
        <v>0</v>
      </c>
      <c r="D1889">
        <f t="shared" ca="1" si="88"/>
        <v>16464.38115810931</v>
      </c>
    </row>
    <row r="1890" spans="2:4" x14ac:dyDescent="0.25">
      <c r="B1890">
        <f t="shared" ca="1" si="89"/>
        <v>47753.190012951563</v>
      </c>
      <c r="C1890">
        <f t="shared" ca="1" si="87"/>
        <v>0</v>
      </c>
      <c r="D1890">
        <f t="shared" ca="1" si="88"/>
        <v>7753.1900129515634</v>
      </c>
    </row>
    <row r="1891" spans="2:4" x14ac:dyDescent="0.25">
      <c r="B1891">
        <f t="shared" ca="1" si="89"/>
        <v>57448.341228054225</v>
      </c>
      <c r="C1891">
        <f t="shared" ca="1" si="87"/>
        <v>0</v>
      </c>
      <c r="D1891">
        <f t="shared" ca="1" si="88"/>
        <v>17448.341228054225</v>
      </c>
    </row>
    <row r="1892" spans="2:4" x14ac:dyDescent="0.25">
      <c r="B1892">
        <f t="shared" ca="1" si="89"/>
        <v>41299.300576885958</v>
      </c>
      <c r="C1892">
        <f t="shared" ca="1" si="87"/>
        <v>0</v>
      </c>
      <c r="D1892">
        <f t="shared" ca="1" si="88"/>
        <v>1299.3005768859584</v>
      </c>
    </row>
    <row r="1893" spans="2:4" x14ac:dyDescent="0.25">
      <c r="B1893">
        <f t="shared" ca="1" si="89"/>
        <v>48706.410390597404</v>
      </c>
      <c r="C1893">
        <f t="shared" ca="1" si="87"/>
        <v>0</v>
      </c>
      <c r="D1893">
        <f t="shared" ca="1" si="88"/>
        <v>8706.4103905974043</v>
      </c>
    </row>
    <row r="1894" spans="2:4" x14ac:dyDescent="0.25">
      <c r="B1894">
        <f t="shared" ca="1" si="89"/>
        <v>40163.384178045621</v>
      </c>
      <c r="C1894">
        <f t="shared" ca="1" si="87"/>
        <v>0</v>
      </c>
      <c r="D1894">
        <f t="shared" ca="1" si="88"/>
        <v>163.3841780456205</v>
      </c>
    </row>
    <row r="1895" spans="2:4" x14ac:dyDescent="0.25">
      <c r="B1895">
        <f t="shared" ca="1" si="89"/>
        <v>44222.387303917552</v>
      </c>
      <c r="C1895">
        <f t="shared" ca="1" si="87"/>
        <v>0</v>
      </c>
      <c r="D1895">
        <f t="shared" ca="1" si="88"/>
        <v>4222.3873039175523</v>
      </c>
    </row>
    <row r="1896" spans="2:4" x14ac:dyDescent="0.25">
      <c r="B1896">
        <f t="shared" ca="1" si="89"/>
        <v>43364.054141823646</v>
      </c>
      <c r="C1896">
        <f t="shared" ca="1" si="87"/>
        <v>0</v>
      </c>
      <c r="D1896">
        <f t="shared" ca="1" si="88"/>
        <v>3364.0541418236462</v>
      </c>
    </row>
    <row r="1897" spans="2:4" x14ac:dyDescent="0.25">
      <c r="B1897">
        <f t="shared" ca="1" si="89"/>
        <v>41394.731105467246</v>
      </c>
      <c r="C1897">
        <f t="shared" ca="1" si="87"/>
        <v>0</v>
      </c>
      <c r="D1897">
        <f t="shared" ca="1" si="88"/>
        <v>1394.7311054672464</v>
      </c>
    </row>
    <row r="1898" spans="2:4" x14ac:dyDescent="0.25">
      <c r="B1898">
        <f t="shared" ca="1" si="89"/>
        <v>46989.64927425966</v>
      </c>
      <c r="C1898">
        <f t="shared" ca="1" si="87"/>
        <v>0</v>
      </c>
      <c r="D1898">
        <f t="shared" ca="1" si="88"/>
        <v>6989.6492742596602</v>
      </c>
    </row>
    <row r="1899" spans="2:4" x14ac:dyDescent="0.25">
      <c r="B1899">
        <f t="shared" ca="1" si="89"/>
        <v>44084.65071902248</v>
      </c>
      <c r="C1899">
        <f t="shared" ca="1" si="87"/>
        <v>0</v>
      </c>
      <c r="D1899">
        <f t="shared" ca="1" si="88"/>
        <v>4084.6507190224802</v>
      </c>
    </row>
    <row r="1900" spans="2:4" x14ac:dyDescent="0.25">
      <c r="B1900">
        <f t="shared" ca="1" si="89"/>
        <v>48768.359701608657</v>
      </c>
      <c r="C1900">
        <f t="shared" ca="1" si="87"/>
        <v>0</v>
      </c>
      <c r="D1900">
        <f t="shared" ca="1" si="88"/>
        <v>8768.3597016086569</v>
      </c>
    </row>
    <row r="1901" spans="2:4" x14ac:dyDescent="0.25">
      <c r="B1901">
        <f t="shared" ca="1" si="89"/>
        <v>39990.021816119406</v>
      </c>
      <c r="C1901">
        <f t="shared" ca="1" si="87"/>
        <v>9.9781838805938605</v>
      </c>
      <c r="D1901">
        <f t="shared" ca="1" si="88"/>
        <v>0</v>
      </c>
    </row>
    <row r="1902" spans="2:4" x14ac:dyDescent="0.25">
      <c r="B1902">
        <f t="shared" ca="1" si="89"/>
        <v>43195.700712886421</v>
      </c>
      <c r="C1902">
        <f t="shared" ca="1" si="87"/>
        <v>0</v>
      </c>
      <c r="D1902">
        <f t="shared" ca="1" si="88"/>
        <v>3195.7007128864207</v>
      </c>
    </row>
    <row r="1903" spans="2:4" x14ac:dyDescent="0.25">
      <c r="B1903">
        <f t="shared" ca="1" si="89"/>
        <v>47019.249776824094</v>
      </c>
      <c r="C1903">
        <f t="shared" ca="1" si="87"/>
        <v>0</v>
      </c>
      <c r="D1903">
        <f t="shared" ca="1" si="88"/>
        <v>7019.2497768240937</v>
      </c>
    </row>
    <row r="1904" spans="2:4" x14ac:dyDescent="0.25">
      <c r="B1904">
        <f t="shared" ca="1" si="89"/>
        <v>42171.517355814482</v>
      </c>
      <c r="C1904">
        <f t="shared" ca="1" si="87"/>
        <v>0</v>
      </c>
      <c r="D1904">
        <f t="shared" ca="1" si="88"/>
        <v>2171.5173558144816</v>
      </c>
    </row>
    <row r="1905" spans="2:4" x14ac:dyDescent="0.25">
      <c r="B1905">
        <f t="shared" ca="1" si="89"/>
        <v>38092.462401875629</v>
      </c>
      <c r="C1905">
        <f t="shared" ca="1" si="87"/>
        <v>1907.5375981243706</v>
      </c>
      <c r="D1905">
        <f t="shared" ca="1" si="88"/>
        <v>0</v>
      </c>
    </row>
    <row r="1906" spans="2:4" x14ac:dyDescent="0.25">
      <c r="B1906">
        <f t="shared" ca="1" si="89"/>
        <v>39290.959632772996</v>
      </c>
      <c r="C1906">
        <f t="shared" ca="1" si="87"/>
        <v>709.04036722700403</v>
      </c>
      <c r="D1906">
        <f t="shared" ca="1" si="88"/>
        <v>0</v>
      </c>
    </row>
    <row r="1907" spans="2:4" x14ac:dyDescent="0.25">
      <c r="B1907">
        <f t="shared" ca="1" si="89"/>
        <v>42275.694125355833</v>
      </c>
      <c r="C1907">
        <f t="shared" ca="1" si="87"/>
        <v>0</v>
      </c>
      <c r="D1907">
        <f t="shared" ca="1" si="88"/>
        <v>2275.6941253558325</v>
      </c>
    </row>
    <row r="1908" spans="2:4" x14ac:dyDescent="0.25">
      <c r="B1908">
        <f t="shared" ca="1" si="89"/>
        <v>48690.357620470088</v>
      </c>
      <c r="C1908">
        <f t="shared" ca="1" si="87"/>
        <v>0</v>
      </c>
      <c r="D1908">
        <f t="shared" ca="1" si="88"/>
        <v>8690.3576204700876</v>
      </c>
    </row>
    <row r="1909" spans="2:4" x14ac:dyDescent="0.25">
      <c r="B1909">
        <f t="shared" ca="1" si="89"/>
        <v>48512.561377069687</v>
      </c>
      <c r="C1909">
        <f t="shared" ca="1" si="87"/>
        <v>0</v>
      </c>
      <c r="D1909">
        <f t="shared" ca="1" si="88"/>
        <v>8512.5613770696873</v>
      </c>
    </row>
    <row r="1910" spans="2:4" x14ac:dyDescent="0.25">
      <c r="B1910">
        <f t="shared" ca="1" si="89"/>
        <v>40002.23476149427</v>
      </c>
      <c r="C1910">
        <f t="shared" ca="1" si="87"/>
        <v>0</v>
      </c>
      <c r="D1910">
        <f t="shared" ca="1" si="88"/>
        <v>2.2347614942700602</v>
      </c>
    </row>
    <row r="1911" spans="2:4" x14ac:dyDescent="0.25">
      <c r="B1911">
        <f t="shared" ca="1" si="89"/>
        <v>52021.211542705845</v>
      </c>
      <c r="C1911">
        <f t="shared" ca="1" si="87"/>
        <v>0</v>
      </c>
      <c r="D1911">
        <f t="shared" ca="1" si="88"/>
        <v>12021.211542705845</v>
      </c>
    </row>
    <row r="1912" spans="2:4" x14ac:dyDescent="0.25">
      <c r="B1912">
        <f t="shared" ca="1" si="89"/>
        <v>44178.756692052695</v>
      </c>
      <c r="C1912">
        <f t="shared" ca="1" si="87"/>
        <v>0</v>
      </c>
      <c r="D1912">
        <f t="shared" ca="1" si="88"/>
        <v>4178.7566920526951</v>
      </c>
    </row>
    <row r="1913" spans="2:4" x14ac:dyDescent="0.25">
      <c r="B1913">
        <f t="shared" ca="1" si="89"/>
        <v>49782.810144447474</v>
      </c>
      <c r="C1913">
        <f t="shared" ca="1" si="87"/>
        <v>0</v>
      </c>
      <c r="D1913">
        <f t="shared" ca="1" si="88"/>
        <v>9782.8101444474742</v>
      </c>
    </row>
    <row r="1914" spans="2:4" x14ac:dyDescent="0.25">
      <c r="B1914">
        <f t="shared" ca="1" si="89"/>
        <v>45221.000555301529</v>
      </c>
      <c r="C1914">
        <f t="shared" ca="1" si="87"/>
        <v>0</v>
      </c>
      <c r="D1914">
        <f t="shared" ca="1" si="88"/>
        <v>5221.0005553015289</v>
      </c>
    </row>
    <row r="1915" spans="2:4" x14ac:dyDescent="0.25">
      <c r="B1915">
        <f t="shared" ca="1" si="89"/>
        <v>48860.241221295611</v>
      </c>
      <c r="C1915">
        <f t="shared" ca="1" si="87"/>
        <v>0</v>
      </c>
      <c r="D1915">
        <f t="shared" ca="1" si="88"/>
        <v>8860.2412212956115</v>
      </c>
    </row>
    <row r="1916" spans="2:4" x14ac:dyDescent="0.25">
      <c r="B1916">
        <f t="shared" ca="1" si="89"/>
        <v>47707.208706238445</v>
      </c>
      <c r="C1916">
        <f t="shared" ca="1" si="87"/>
        <v>0</v>
      </c>
      <c r="D1916">
        <f t="shared" ca="1" si="88"/>
        <v>7707.2087062384453</v>
      </c>
    </row>
    <row r="1917" spans="2:4" x14ac:dyDescent="0.25">
      <c r="B1917">
        <f t="shared" ca="1" si="89"/>
        <v>48238.810172095567</v>
      </c>
      <c r="C1917">
        <f t="shared" ca="1" si="87"/>
        <v>0</v>
      </c>
      <c r="D1917">
        <f t="shared" ca="1" si="88"/>
        <v>8238.8101720955674</v>
      </c>
    </row>
    <row r="1918" spans="2:4" x14ac:dyDescent="0.25">
      <c r="B1918">
        <f t="shared" ca="1" si="89"/>
        <v>49057.660546327133</v>
      </c>
      <c r="C1918">
        <f t="shared" ca="1" si="87"/>
        <v>0</v>
      </c>
      <c r="D1918">
        <f t="shared" ca="1" si="88"/>
        <v>9057.6605463271335</v>
      </c>
    </row>
    <row r="1919" spans="2:4" x14ac:dyDescent="0.25">
      <c r="B1919">
        <f t="shared" ca="1" si="89"/>
        <v>45659.379077500547</v>
      </c>
      <c r="C1919">
        <f t="shared" ca="1" si="87"/>
        <v>0</v>
      </c>
      <c r="D1919">
        <f t="shared" ca="1" si="88"/>
        <v>5659.3790775005473</v>
      </c>
    </row>
    <row r="1920" spans="2:4" x14ac:dyDescent="0.25">
      <c r="B1920">
        <f t="shared" ca="1" si="89"/>
        <v>50758.537427089563</v>
      </c>
      <c r="C1920">
        <f t="shared" ca="1" si="87"/>
        <v>0</v>
      </c>
      <c r="D1920">
        <f t="shared" ca="1" si="88"/>
        <v>10758.537427089563</v>
      </c>
    </row>
    <row r="1921" spans="2:4" x14ac:dyDescent="0.25">
      <c r="B1921">
        <f t="shared" ca="1" si="89"/>
        <v>42087.056956634049</v>
      </c>
      <c r="C1921">
        <f t="shared" ca="1" si="87"/>
        <v>0</v>
      </c>
      <c r="D1921">
        <f t="shared" ca="1" si="88"/>
        <v>2087.0569566340491</v>
      </c>
    </row>
    <row r="1922" spans="2:4" x14ac:dyDescent="0.25">
      <c r="B1922">
        <f t="shared" ca="1" si="89"/>
        <v>43961.351511950168</v>
      </c>
      <c r="C1922">
        <f t="shared" ca="1" si="87"/>
        <v>0</v>
      </c>
      <c r="D1922">
        <f t="shared" ca="1" si="88"/>
        <v>3961.3515119501681</v>
      </c>
    </row>
    <row r="1923" spans="2:4" x14ac:dyDescent="0.25">
      <c r="B1923">
        <f t="shared" ca="1" si="89"/>
        <v>47510.572188820632</v>
      </c>
      <c r="C1923">
        <f t="shared" ca="1" si="87"/>
        <v>0</v>
      </c>
      <c r="D1923">
        <f t="shared" ca="1" si="88"/>
        <v>7510.5721888206317</v>
      </c>
    </row>
    <row r="1924" spans="2:4" x14ac:dyDescent="0.25">
      <c r="B1924">
        <f t="shared" ca="1" si="89"/>
        <v>38218.5751823584</v>
      </c>
      <c r="C1924">
        <f t="shared" ca="1" si="87"/>
        <v>1781.4248176416004</v>
      </c>
      <c r="D1924">
        <f t="shared" ca="1" si="88"/>
        <v>0</v>
      </c>
    </row>
    <row r="1925" spans="2:4" x14ac:dyDescent="0.25">
      <c r="B1925">
        <f t="shared" ca="1" si="89"/>
        <v>54475.425837055453</v>
      </c>
      <c r="C1925">
        <f t="shared" ca="1" si="87"/>
        <v>0</v>
      </c>
      <c r="D1925">
        <f t="shared" ca="1" si="88"/>
        <v>14475.425837055453</v>
      </c>
    </row>
    <row r="1926" spans="2:4" x14ac:dyDescent="0.25">
      <c r="B1926">
        <f t="shared" ca="1" si="89"/>
        <v>46528.660083888361</v>
      </c>
      <c r="C1926">
        <f t="shared" ca="1" si="87"/>
        <v>0</v>
      </c>
      <c r="D1926">
        <f t="shared" ca="1" si="88"/>
        <v>6528.6600838883605</v>
      </c>
    </row>
    <row r="1927" spans="2:4" x14ac:dyDescent="0.25">
      <c r="B1927">
        <f t="shared" ca="1" si="89"/>
        <v>46032.535020130555</v>
      </c>
      <c r="C1927">
        <f t="shared" ca="1" si="87"/>
        <v>0</v>
      </c>
      <c r="D1927">
        <f t="shared" ca="1" si="88"/>
        <v>6032.5350201305555</v>
      </c>
    </row>
    <row r="1928" spans="2:4" x14ac:dyDescent="0.25">
      <c r="B1928">
        <f t="shared" ca="1" si="89"/>
        <v>40971.229086726838</v>
      </c>
      <c r="C1928">
        <f t="shared" ca="1" si="87"/>
        <v>0</v>
      </c>
      <c r="D1928">
        <f t="shared" ca="1" si="88"/>
        <v>971.22908672683843</v>
      </c>
    </row>
    <row r="1929" spans="2:4" x14ac:dyDescent="0.25">
      <c r="B1929">
        <f t="shared" ca="1" si="89"/>
        <v>45928.061102392494</v>
      </c>
      <c r="C1929">
        <f t="shared" ca="1" si="87"/>
        <v>0</v>
      </c>
      <c r="D1929">
        <f t="shared" ca="1" si="88"/>
        <v>5928.0611023924939</v>
      </c>
    </row>
    <row r="1930" spans="2:4" x14ac:dyDescent="0.25">
      <c r="B1930">
        <f t="shared" ca="1" si="89"/>
        <v>44659.049697536131</v>
      </c>
      <c r="C1930">
        <f t="shared" ca="1" si="87"/>
        <v>0</v>
      </c>
      <c r="D1930">
        <f t="shared" ca="1" si="88"/>
        <v>4659.0496975361311</v>
      </c>
    </row>
    <row r="1931" spans="2:4" x14ac:dyDescent="0.25">
      <c r="B1931">
        <f t="shared" ca="1" si="89"/>
        <v>41369.903558861879</v>
      </c>
      <c r="C1931">
        <f t="shared" ca="1" si="87"/>
        <v>0</v>
      </c>
      <c r="D1931">
        <f t="shared" ca="1" si="88"/>
        <v>1369.903558861879</v>
      </c>
    </row>
    <row r="1932" spans="2:4" x14ac:dyDescent="0.25">
      <c r="B1932">
        <f t="shared" ca="1" si="89"/>
        <v>36942.10912156578</v>
      </c>
      <c r="C1932">
        <f t="shared" ref="C1932:C1995" ca="1" si="90">IF(MAX($B$2-B1932)&lt;0,0,$B$2-B1932)</f>
        <v>3057.8908784342202</v>
      </c>
      <c r="D1932">
        <f t="shared" ref="D1932:D1995" ca="1" si="91">IF(MAX(B1932-$B$2)&lt;0,0,B1932-$B$2)</f>
        <v>0</v>
      </c>
    </row>
    <row r="1933" spans="2:4" x14ac:dyDescent="0.25">
      <c r="B1933">
        <f t="shared" ref="B1933:B1996" ca="1" si="92">$B$1*EXP((($B$4-($B$3^2)/2)*$B$5+$B$3*SQRT($B$5)*NORMSINV(RAND())))</f>
        <v>49137.77694060366</v>
      </c>
      <c r="C1933">
        <f t="shared" ca="1" si="90"/>
        <v>0</v>
      </c>
      <c r="D1933">
        <f t="shared" ca="1" si="91"/>
        <v>9137.7769406036605</v>
      </c>
    </row>
    <row r="1934" spans="2:4" x14ac:dyDescent="0.25">
      <c r="B1934">
        <f t="shared" ca="1" si="92"/>
        <v>46906.008038361615</v>
      </c>
      <c r="C1934">
        <f t="shared" ca="1" si="90"/>
        <v>0</v>
      </c>
      <c r="D1934">
        <f t="shared" ca="1" si="91"/>
        <v>6906.008038361615</v>
      </c>
    </row>
    <row r="1935" spans="2:4" x14ac:dyDescent="0.25">
      <c r="B1935">
        <f t="shared" ca="1" si="92"/>
        <v>39743.662028542443</v>
      </c>
      <c r="C1935">
        <f t="shared" ca="1" si="90"/>
        <v>256.3379714575567</v>
      </c>
      <c r="D1935">
        <f t="shared" ca="1" si="91"/>
        <v>0</v>
      </c>
    </row>
    <row r="1936" spans="2:4" x14ac:dyDescent="0.25">
      <c r="B1936">
        <f t="shared" ca="1" si="92"/>
        <v>46715.903593774419</v>
      </c>
      <c r="C1936">
        <f t="shared" ca="1" si="90"/>
        <v>0</v>
      </c>
      <c r="D1936">
        <f t="shared" ca="1" si="91"/>
        <v>6715.9035937744193</v>
      </c>
    </row>
    <row r="1937" spans="2:4" x14ac:dyDescent="0.25">
      <c r="B1937">
        <f t="shared" ca="1" si="92"/>
        <v>37644.000731928441</v>
      </c>
      <c r="C1937">
        <f t="shared" ca="1" si="90"/>
        <v>2355.9992680715586</v>
      </c>
      <c r="D1937">
        <f t="shared" ca="1" si="91"/>
        <v>0</v>
      </c>
    </row>
    <row r="1938" spans="2:4" x14ac:dyDescent="0.25">
      <c r="B1938">
        <f t="shared" ca="1" si="92"/>
        <v>43794.735855349347</v>
      </c>
      <c r="C1938">
        <f t="shared" ca="1" si="90"/>
        <v>0</v>
      </c>
      <c r="D1938">
        <f t="shared" ca="1" si="91"/>
        <v>3794.7358553493468</v>
      </c>
    </row>
    <row r="1939" spans="2:4" x14ac:dyDescent="0.25">
      <c r="B1939">
        <f t="shared" ca="1" si="92"/>
        <v>42914.067631805447</v>
      </c>
      <c r="C1939">
        <f t="shared" ca="1" si="90"/>
        <v>0</v>
      </c>
      <c r="D1939">
        <f t="shared" ca="1" si="91"/>
        <v>2914.0676318054466</v>
      </c>
    </row>
    <row r="1940" spans="2:4" x14ac:dyDescent="0.25">
      <c r="B1940">
        <f t="shared" ca="1" si="92"/>
        <v>41437.505748287302</v>
      </c>
      <c r="C1940">
        <f t="shared" ca="1" si="90"/>
        <v>0</v>
      </c>
      <c r="D1940">
        <f t="shared" ca="1" si="91"/>
        <v>1437.5057482873017</v>
      </c>
    </row>
    <row r="1941" spans="2:4" x14ac:dyDescent="0.25">
      <c r="B1941">
        <f t="shared" ca="1" si="92"/>
        <v>46946.75531177847</v>
      </c>
      <c r="C1941">
        <f t="shared" ca="1" si="90"/>
        <v>0</v>
      </c>
      <c r="D1941">
        <f t="shared" ca="1" si="91"/>
        <v>6946.7553117784701</v>
      </c>
    </row>
    <row r="1942" spans="2:4" x14ac:dyDescent="0.25">
      <c r="B1942">
        <f t="shared" ca="1" si="92"/>
        <v>55324.512454440184</v>
      </c>
      <c r="C1942">
        <f t="shared" ca="1" si="90"/>
        <v>0</v>
      </c>
      <c r="D1942">
        <f t="shared" ca="1" si="91"/>
        <v>15324.512454440184</v>
      </c>
    </row>
    <row r="1943" spans="2:4" x14ac:dyDescent="0.25">
      <c r="B1943">
        <f t="shared" ca="1" si="92"/>
        <v>39851.887771232752</v>
      </c>
      <c r="C1943">
        <f t="shared" ca="1" si="90"/>
        <v>148.11222876724787</v>
      </c>
      <c r="D1943">
        <f t="shared" ca="1" si="91"/>
        <v>0</v>
      </c>
    </row>
    <row r="1944" spans="2:4" x14ac:dyDescent="0.25">
      <c r="B1944">
        <f t="shared" ca="1" si="92"/>
        <v>41418.518416359329</v>
      </c>
      <c r="C1944">
        <f t="shared" ca="1" si="90"/>
        <v>0</v>
      </c>
      <c r="D1944">
        <f t="shared" ca="1" si="91"/>
        <v>1418.5184163593294</v>
      </c>
    </row>
    <row r="1945" spans="2:4" x14ac:dyDescent="0.25">
      <c r="B1945">
        <f t="shared" ca="1" si="92"/>
        <v>54625.615934510017</v>
      </c>
      <c r="C1945">
        <f t="shared" ca="1" si="90"/>
        <v>0</v>
      </c>
      <c r="D1945">
        <f t="shared" ca="1" si="91"/>
        <v>14625.615934510017</v>
      </c>
    </row>
    <row r="1946" spans="2:4" x14ac:dyDescent="0.25">
      <c r="B1946">
        <f t="shared" ca="1" si="92"/>
        <v>39017.274411703605</v>
      </c>
      <c r="C1946">
        <f t="shared" ca="1" si="90"/>
        <v>982.72558829639456</v>
      </c>
      <c r="D1946">
        <f t="shared" ca="1" si="91"/>
        <v>0</v>
      </c>
    </row>
    <row r="1947" spans="2:4" x14ac:dyDescent="0.25">
      <c r="B1947">
        <f t="shared" ca="1" si="92"/>
        <v>45006.250521518283</v>
      </c>
      <c r="C1947">
        <f t="shared" ca="1" si="90"/>
        <v>0</v>
      </c>
      <c r="D1947">
        <f t="shared" ca="1" si="91"/>
        <v>5006.2505215182828</v>
      </c>
    </row>
    <row r="1948" spans="2:4" x14ac:dyDescent="0.25">
      <c r="B1948">
        <f t="shared" ca="1" si="92"/>
        <v>47992.669190457222</v>
      </c>
      <c r="C1948">
        <f t="shared" ca="1" si="90"/>
        <v>0</v>
      </c>
      <c r="D1948">
        <f t="shared" ca="1" si="91"/>
        <v>7992.6691904572217</v>
      </c>
    </row>
    <row r="1949" spans="2:4" x14ac:dyDescent="0.25">
      <c r="B1949">
        <f t="shared" ca="1" si="92"/>
        <v>43202.794585464013</v>
      </c>
      <c r="C1949">
        <f t="shared" ca="1" si="90"/>
        <v>0</v>
      </c>
      <c r="D1949">
        <f t="shared" ca="1" si="91"/>
        <v>3202.7945854640129</v>
      </c>
    </row>
    <row r="1950" spans="2:4" x14ac:dyDescent="0.25">
      <c r="B1950">
        <f t="shared" ca="1" si="92"/>
        <v>45650.801987313294</v>
      </c>
      <c r="C1950">
        <f t="shared" ca="1" si="90"/>
        <v>0</v>
      </c>
      <c r="D1950">
        <f t="shared" ca="1" si="91"/>
        <v>5650.8019873132944</v>
      </c>
    </row>
    <row r="1951" spans="2:4" x14ac:dyDescent="0.25">
      <c r="B1951">
        <f t="shared" ca="1" si="92"/>
        <v>44401.292313102866</v>
      </c>
      <c r="C1951">
        <f t="shared" ca="1" si="90"/>
        <v>0</v>
      </c>
      <c r="D1951">
        <f t="shared" ca="1" si="91"/>
        <v>4401.2923131028656</v>
      </c>
    </row>
    <row r="1952" spans="2:4" x14ac:dyDescent="0.25">
      <c r="B1952">
        <f t="shared" ca="1" si="92"/>
        <v>42439.044505455073</v>
      </c>
      <c r="C1952">
        <f t="shared" ca="1" si="90"/>
        <v>0</v>
      </c>
      <c r="D1952">
        <f t="shared" ca="1" si="91"/>
        <v>2439.0445054550728</v>
      </c>
    </row>
    <row r="1953" spans="2:4" x14ac:dyDescent="0.25">
      <c r="B1953">
        <f t="shared" ca="1" si="92"/>
        <v>45115.998576451508</v>
      </c>
      <c r="C1953">
        <f t="shared" ca="1" si="90"/>
        <v>0</v>
      </c>
      <c r="D1953">
        <f t="shared" ca="1" si="91"/>
        <v>5115.9985764515077</v>
      </c>
    </row>
    <row r="1954" spans="2:4" x14ac:dyDescent="0.25">
      <c r="B1954">
        <f t="shared" ca="1" si="92"/>
        <v>43649.078347068156</v>
      </c>
      <c r="C1954">
        <f t="shared" ca="1" si="90"/>
        <v>0</v>
      </c>
      <c r="D1954">
        <f t="shared" ca="1" si="91"/>
        <v>3649.0783470681563</v>
      </c>
    </row>
    <row r="1955" spans="2:4" x14ac:dyDescent="0.25">
      <c r="B1955">
        <f t="shared" ca="1" si="92"/>
        <v>45024.724695576166</v>
      </c>
      <c r="C1955">
        <f t="shared" ca="1" si="90"/>
        <v>0</v>
      </c>
      <c r="D1955">
        <f t="shared" ca="1" si="91"/>
        <v>5024.7246955761657</v>
      </c>
    </row>
    <row r="1956" spans="2:4" x14ac:dyDescent="0.25">
      <c r="B1956">
        <f t="shared" ca="1" si="92"/>
        <v>41601.87808491278</v>
      </c>
      <c r="C1956">
        <f t="shared" ca="1" si="90"/>
        <v>0</v>
      </c>
      <c r="D1956">
        <f t="shared" ca="1" si="91"/>
        <v>1601.8780849127797</v>
      </c>
    </row>
    <row r="1957" spans="2:4" x14ac:dyDescent="0.25">
      <c r="B1957">
        <f t="shared" ca="1" si="92"/>
        <v>54020.762374593687</v>
      </c>
      <c r="C1957">
        <f t="shared" ca="1" si="90"/>
        <v>0</v>
      </c>
      <c r="D1957">
        <f t="shared" ca="1" si="91"/>
        <v>14020.762374593687</v>
      </c>
    </row>
    <row r="1958" spans="2:4" x14ac:dyDescent="0.25">
      <c r="B1958">
        <f t="shared" ca="1" si="92"/>
        <v>41704.072929099049</v>
      </c>
      <c r="C1958">
        <f t="shared" ca="1" si="90"/>
        <v>0</v>
      </c>
      <c r="D1958">
        <f t="shared" ca="1" si="91"/>
        <v>1704.0729290990494</v>
      </c>
    </row>
    <row r="1959" spans="2:4" x14ac:dyDescent="0.25">
      <c r="B1959">
        <f t="shared" ca="1" si="92"/>
        <v>40832.843858441403</v>
      </c>
      <c r="C1959">
        <f t="shared" ca="1" si="90"/>
        <v>0</v>
      </c>
      <c r="D1959">
        <f t="shared" ca="1" si="91"/>
        <v>832.84385844140343</v>
      </c>
    </row>
    <row r="1960" spans="2:4" x14ac:dyDescent="0.25">
      <c r="B1960">
        <f t="shared" ca="1" si="92"/>
        <v>40754.919235521527</v>
      </c>
      <c r="C1960">
        <f t="shared" ca="1" si="90"/>
        <v>0</v>
      </c>
      <c r="D1960">
        <f t="shared" ca="1" si="91"/>
        <v>754.9192355215273</v>
      </c>
    </row>
    <row r="1961" spans="2:4" x14ac:dyDescent="0.25">
      <c r="B1961">
        <f t="shared" ca="1" si="92"/>
        <v>53969.667764787591</v>
      </c>
      <c r="C1961">
        <f t="shared" ca="1" si="90"/>
        <v>0</v>
      </c>
      <c r="D1961">
        <f t="shared" ca="1" si="91"/>
        <v>13969.667764787591</v>
      </c>
    </row>
    <row r="1962" spans="2:4" x14ac:dyDescent="0.25">
      <c r="B1962">
        <f t="shared" ca="1" si="92"/>
        <v>42290.831947680774</v>
      </c>
      <c r="C1962">
        <f t="shared" ca="1" si="90"/>
        <v>0</v>
      </c>
      <c r="D1962">
        <f t="shared" ca="1" si="91"/>
        <v>2290.8319476807737</v>
      </c>
    </row>
    <row r="1963" spans="2:4" x14ac:dyDescent="0.25">
      <c r="B1963">
        <f t="shared" ca="1" si="92"/>
        <v>51397.995915562431</v>
      </c>
      <c r="C1963">
        <f t="shared" ca="1" si="90"/>
        <v>0</v>
      </c>
      <c r="D1963">
        <f t="shared" ca="1" si="91"/>
        <v>11397.995915562431</v>
      </c>
    </row>
    <row r="1964" spans="2:4" x14ac:dyDescent="0.25">
      <c r="B1964">
        <f t="shared" ca="1" si="92"/>
        <v>44057.330168286993</v>
      </c>
      <c r="C1964">
        <f t="shared" ca="1" si="90"/>
        <v>0</v>
      </c>
      <c r="D1964">
        <f t="shared" ca="1" si="91"/>
        <v>4057.3301682869933</v>
      </c>
    </row>
    <row r="1965" spans="2:4" x14ac:dyDescent="0.25">
      <c r="B1965">
        <f t="shared" ca="1" si="92"/>
        <v>40635.223393773747</v>
      </c>
      <c r="C1965">
        <f t="shared" ca="1" si="90"/>
        <v>0</v>
      </c>
      <c r="D1965">
        <f t="shared" ca="1" si="91"/>
        <v>635.22339377374738</v>
      </c>
    </row>
    <row r="1966" spans="2:4" x14ac:dyDescent="0.25">
      <c r="B1966">
        <f t="shared" ca="1" si="92"/>
        <v>46225.316198986089</v>
      </c>
      <c r="C1966">
        <f t="shared" ca="1" si="90"/>
        <v>0</v>
      </c>
      <c r="D1966">
        <f t="shared" ca="1" si="91"/>
        <v>6225.3161989860891</v>
      </c>
    </row>
    <row r="1967" spans="2:4" x14ac:dyDescent="0.25">
      <c r="B1967">
        <f t="shared" ca="1" si="92"/>
        <v>39648.621421670156</v>
      </c>
      <c r="C1967">
        <f t="shared" ca="1" si="90"/>
        <v>351.37857832984446</v>
      </c>
      <c r="D1967">
        <f t="shared" ca="1" si="91"/>
        <v>0</v>
      </c>
    </row>
    <row r="1968" spans="2:4" x14ac:dyDescent="0.25">
      <c r="B1968">
        <f t="shared" ca="1" si="92"/>
        <v>48209.343388606576</v>
      </c>
      <c r="C1968">
        <f t="shared" ca="1" si="90"/>
        <v>0</v>
      </c>
      <c r="D1968">
        <f t="shared" ca="1" si="91"/>
        <v>8209.3433886065759</v>
      </c>
    </row>
    <row r="1969" spans="2:4" x14ac:dyDescent="0.25">
      <c r="B1969">
        <f t="shared" ca="1" si="92"/>
        <v>50639.813036044594</v>
      </c>
      <c r="C1969">
        <f t="shared" ca="1" si="90"/>
        <v>0</v>
      </c>
      <c r="D1969">
        <f t="shared" ca="1" si="91"/>
        <v>10639.813036044594</v>
      </c>
    </row>
    <row r="1970" spans="2:4" x14ac:dyDescent="0.25">
      <c r="B1970">
        <f t="shared" ca="1" si="92"/>
        <v>43315.013535567923</v>
      </c>
      <c r="C1970">
        <f t="shared" ca="1" si="90"/>
        <v>0</v>
      </c>
      <c r="D1970">
        <f t="shared" ca="1" si="91"/>
        <v>3315.0135355679231</v>
      </c>
    </row>
    <row r="1971" spans="2:4" x14ac:dyDescent="0.25">
      <c r="B1971">
        <f t="shared" ca="1" si="92"/>
        <v>43321.180238382578</v>
      </c>
      <c r="C1971">
        <f t="shared" ca="1" si="90"/>
        <v>0</v>
      </c>
      <c r="D1971">
        <f t="shared" ca="1" si="91"/>
        <v>3321.180238382578</v>
      </c>
    </row>
    <row r="1972" spans="2:4" x14ac:dyDescent="0.25">
      <c r="B1972">
        <f t="shared" ca="1" si="92"/>
        <v>47517.167869402285</v>
      </c>
      <c r="C1972">
        <f t="shared" ca="1" si="90"/>
        <v>0</v>
      </c>
      <c r="D1972">
        <f t="shared" ca="1" si="91"/>
        <v>7517.1678694022849</v>
      </c>
    </row>
    <row r="1973" spans="2:4" x14ac:dyDescent="0.25">
      <c r="B1973">
        <f t="shared" ca="1" si="92"/>
        <v>46609.550942377558</v>
      </c>
      <c r="C1973">
        <f t="shared" ca="1" si="90"/>
        <v>0</v>
      </c>
      <c r="D1973">
        <f t="shared" ca="1" si="91"/>
        <v>6609.5509423775584</v>
      </c>
    </row>
    <row r="1974" spans="2:4" x14ac:dyDescent="0.25">
      <c r="B1974">
        <f t="shared" ca="1" si="92"/>
        <v>45147.910860572243</v>
      </c>
      <c r="C1974">
        <f t="shared" ca="1" si="90"/>
        <v>0</v>
      </c>
      <c r="D1974">
        <f t="shared" ca="1" si="91"/>
        <v>5147.9108605722431</v>
      </c>
    </row>
    <row r="1975" spans="2:4" x14ac:dyDescent="0.25">
      <c r="B1975">
        <f t="shared" ca="1" si="92"/>
        <v>39157.439089350708</v>
      </c>
      <c r="C1975">
        <f t="shared" ca="1" si="90"/>
        <v>842.56091064929205</v>
      </c>
      <c r="D1975">
        <f t="shared" ca="1" si="91"/>
        <v>0</v>
      </c>
    </row>
    <row r="1976" spans="2:4" x14ac:dyDescent="0.25">
      <c r="B1976">
        <f t="shared" ca="1" si="92"/>
        <v>47185.100135559005</v>
      </c>
      <c r="C1976">
        <f t="shared" ca="1" si="90"/>
        <v>0</v>
      </c>
      <c r="D1976">
        <f t="shared" ca="1" si="91"/>
        <v>7185.1001355590051</v>
      </c>
    </row>
    <row r="1977" spans="2:4" x14ac:dyDescent="0.25">
      <c r="B1977">
        <f t="shared" ca="1" si="92"/>
        <v>49147.39857627188</v>
      </c>
      <c r="C1977">
        <f t="shared" ca="1" si="90"/>
        <v>0</v>
      </c>
      <c r="D1977">
        <f t="shared" ca="1" si="91"/>
        <v>9147.3985762718803</v>
      </c>
    </row>
    <row r="1978" spans="2:4" x14ac:dyDescent="0.25">
      <c r="B1978">
        <f t="shared" ca="1" si="92"/>
        <v>44137.694554439062</v>
      </c>
      <c r="C1978">
        <f t="shared" ca="1" si="90"/>
        <v>0</v>
      </c>
      <c r="D1978">
        <f t="shared" ca="1" si="91"/>
        <v>4137.6945544390619</v>
      </c>
    </row>
    <row r="1979" spans="2:4" x14ac:dyDescent="0.25">
      <c r="B1979">
        <f t="shared" ca="1" si="92"/>
        <v>43570.1701339067</v>
      </c>
      <c r="C1979">
        <f t="shared" ca="1" si="90"/>
        <v>0</v>
      </c>
      <c r="D1979">
        <f t="shared" ca="1" si="91"/>
        <v>3570.1701339067004</v>
      </c>
    </row>
    <row r="1980" spans="2:4" x14ac:dyDescent="0.25">
      <c r="B1980">
        <f t="shared" ca="1" si="92"/>
        <v>44186.72416294842</v>
      </c>
      <c r="C1980">
        <f t="shared" ca="1" si="90"/>
        <v>0</v>
      </c>
      <c r="D1980">
        <f t="shared" ca="1" si="91"/>
        <v>4186.7241629484197</v>
      </c>
    </row>
    <row r="1981" spans="2:4" x14ac:dyDescent="0.25">
      <c r="B1981">
        <f t="shared" ca="1" si="92"/>
        <v>48950.323973227765</v>
      </c>
      <c r="C1981">
        <f t="shared" ca="1" si="90"/>
        <v>0</v>
      </c>
      <c r="D1981">
        <f t="shared" ca="1" si="91"/>
        <v>8950.3239732277652</v>
      </c>
    </row>
    <row r="1982" spans="2:4" x14ac:dyDescent="0.25">
      <c r="B1982">
        <f t="shared" ca="1" si="92"/>
        <v>43836.36163266364</v>
      </c>
      <c r="C1982">
        <f t="shared" ca="1" si="90"/>
        <v>0</v>
      </c>
      <c r="D1982">
        <f t="shared" ca="1" si="91"/>
        <v>3836.3616326636402</v>
      </c>
    </row>
    <row r="1983" spans="2:4" x14ac:dyDescent="0.25">
      <c r="B1983">
        <f t="shared" ca="1" si="92"/>
        <v>44153.817728163616</v>
      </c>
      <c r="C1983">
        <f t="shared" ca="1" si="90"/>
        <v>0</v>
      </c>
      <c r="D1983">
        <f t="shared" ca="1" si="91"/>
        <v>4153.8177281636163</v>
      </c>
    </row>
    <row r="1984" spans="2:4" x14ac:dyDescent="0.25">
      <c r="B1984">
        <f t="shared" ca="1" si="92"/>
        <v>49165.117295578835</v>
      </c>
      <c r="C1984">
        <f t="shared" ca="1" si="90"/>
        <v>0</v>
      </c>
      <c r="D1984">
        <f t="shared" ca="1" si="91"/>
        <v>9165.1172955788352</v>
      </c>
    </row>
    <row r="1985" spans="2:4" x14ac:dyDescent="0.25">
      <c r="B1985">
        <f t="shared" ca="1" si="92"/>
        <v>48116.970663735621</v>
      </c>
      <c r="C1985">
        <f t="shared" ca="1" si="90"/>
        <v>0</v>
      </c>
      <c r="D1985">
        <f t="shared" ca="1" si="91"/>
        <v>8116.9706637356212</v>
      </c>
    </row>
    <row r="1986" spans="2:4" x14ac:dyDescent="0.25">
      <c r="B1986">
        <f t="shared" ca="1" si="92"/>
        <v>40562.521729409178</v>
      </c>
      <c r="C1986">
        <f t="shared" ca="1" si="90"/>
        <v>0</v>
      </c>
      <c r="D1986">
        <f t="shared" ca="1" si="91"/>
        <v>562.52172940917808</v>
      </c>
    </row>
    <row r="1987" spans="2:4" x14ac:dyDescent="0.25">
      <c r="B1987">
        <f t="shared" ca="1" si="92"/>
        <v>41580.434080120991</v>
      </c>
      <c r="C1987">
        <f t="shared" ca="1" si="90"/>
        <v>0</v>
      </c>
      <c r="D1987">
        <f t="shared" ca="1" si="91"/>
        <v>1580.434080120991</v>
      </c>
    </row>
    <row r="1988" spans="2:4" x14ac:dyDescent="0.25">
      <c r="B1988">
        <f t="shared" ca="1" si="92"/>
        <v>40302.044915292994</v>
      </c>
      <c r="C1988">
        <f t="shared" ca="1" si="90"/>
        <v>0</v>
      </c>
      <c r="D1988">
        <f t="shared" ca="1" si="91"/>
        <v>302.04491529299412</v>
      </c>
    </row>
    <row r="1989" spans="2:4" x14ac:dyDescent="0.25">
      <c r="B1989">
        <f t="shared" ca="1" si="92"/>
        <v>42828.764597405243</v>
      </c>
      <c r="C1989">
        <f t="shared" ca="1" si="90"/>
        <v>0</v>
      </c>
      <c r="D1989">
        <f t="shared" ca="1" si="91"/>
        <v>2828.764597405243</v>
      </c>
    </row>
    <row r="1990" spans="2:4" x14ac:dyDescent="0.25">
      <c r="B1990">
        <f t="shared" ca="1" si="92"/>
        <v>50802.109073219355</v>
      </c>
      <c r="C1990">
        <f t="shared" ca="1" si="90"/>
        <v>0</v>
      </c>
      <c r="D1990">
        <f t="shared" ca="1" si="91"/>
        <v>10802.109073219355</v>
      </c>
    </row>
    <row r="1991" spans="2:4" x14ac:dyDescent="0.25">
      <c r="B1991">
        <f t="shared" ca="1" si="92"/>
        <v>50900.719169139622</v>
      </c>
      <c r="C1991">
        <f t="shared" ca="1" si="90"/>
        <v>0</v>
      </c>
      <c r="D1991">
        <f t="shared" ca="1" si="91"/>
        <v>10900.719169139622</v>
      </c>
    </row>
    <row r="1992" spans="2:4" x14ac:dyDescent="0.25">
      <c r="B1992">
        <f t="shared" ca="1" si="92"/>
        <v>41744.295515216312</v>
      </c>
      <c r="C1992">
        <f t="shared" ca="1" si="90"/>
        <v>0</v>
      </c>
      <c r="D1992">
        <f t="shared" ca="1" si="91"/>
        <v>1744.2955152163122</v>
      </c>
    </row>
    <row r="1993" spans="2:4" x14ac:dyDescent="0.25">
      <c r="B1993">
        <f t="shared" ca="1" si="92"/>
        <v>43105.350634949071</v>
      </c>
      <c r="C1993">
        <f t="shared" ca="1" si="90"/>
        <v>0</v>
      </c>
      <c r="D1993">
        <f t="shared" ca="1" si="91"/>
        <v>3105.3506349490708</v>
      </c>
    </row>
    <row r="1994" spans="2:4" x14ac:dyDescent="0.25">
      <c r="B1994">
        <f t="shared" ca="1" si="92"/>
        <v>42507.711726447698</v>
      </c>
      <c r="C1994">
        <f t="shared" ca="1" si="90"/>
        <v>0</v>
      </c>
      <c r="D1994">
        <f t="shared" ca="1" si="91"/>
        <v>2507.7117264476983</v>
      </c>
    </row>
    <row r="1995" spans="2:4" x14ac:dyDescent="0.25">
      <c r="B1995">
        <f t="shared" ca="1" si="92"/>
        <v>52937.861933797678</v>
      </c>
      <c r="C1995">
        <f t="shared" ca="1" si="90"/>
        <v>0</v>
      </c>
      <c r="D1995">
        <f t="shared" ca="1" si="91"/>
        <v>12937.861933797678</v>
      </c>
    </row>
    <row r="1996" spans="2:4" x14ac:dyDescent="0.25">
      <c r="B1996">
        <f t="shared" ca="1" si="92"/>
        <v>51328.837673427413</v>
      </c>
      <c r="C1996">
        <f t="shared" ref="C1996:C2059" ca="1" si="93">IF(MAX($B$2-B1996)&lt;0,0,$B$2-B1996)</f>
        <v>0</v>
      </c>
      <c r="D1996">
        <f t="shared" ref="D1996:D2059" ca="1" si="94">IF(MAX(B1996-$B$2)&lt;0,0,B1996-$B$2)</f>
        <v>11328.837673427413</v>
      </c>
    </row>
    <row r="1997" spans="2:4" x14ac:dyDescent="0.25">
      <c r="B1997">
        <f t="shared" ref="B1997:B2060" ca="1" si="95">$B$1*EXP((($B$4-($B$3^2)/2)*$B$5+$B$3*SQRT($B$5)*NORMSINV(RAND())))</f>
        <v>47356.128771704905</v>
      </c>
      <c r="C1997">
        <f t="shared" ca="1" si="93"/>
        <v>0</v>
      </c>
      <c r="D1997">
        <f t="shared" ca="1" si="94"/>
        <v>7356.1287717049054</v>
      </c>
    </row>
    <row r="1998" spans="2:4" x14ac:dyDescent="0.25">
      <c r="B1998">
        <f t="shared" ca="1" si="95"/>
        <v>40220.482575650363</v>
      </c>
      <c r="C1998">
        <f t="shared" ca="1" si="93"/>
        <v>0</v>
      </c>
      <c r="D1998">
        <f t="shared" ca="1" si="94"/>
        <v>220.48257565036329</v>
      </c>
    </row>
    <row r="1999" spans="2:4" x14ac:dyDescent="0.25">
      <c r="B1999">
        <f t="shared" ca="1" si="95"/>
        <v>42489.447662834325</v>
      </c>
      <c r="C1999">
        <f t="shared" ca="1" si="93"/>
        <v>0</v>
      </c>
      <c r="D1999">
        <f t="shared" ca="1" si="94"/>
        <v>2489.4476628343255</v>
      </c>
    </row>
    <row r="2000" spans="2:4" x14ac:dyDescent="0.25">
      <c r="B2000">
        <f t="shared" ca="1" si="95"/>
        <v>51057.475765878873</v>
      </c>
      <c r="C2000">
        <f t="shared" ca="1" si="93"/>
        <v>0</v>
      </c>
      <c r="D2000">
        <f t="shared" ca="1" si="94"/>
        <v>11057.475765878873</v>
      </c>
    </row>
    <row r="2001" spans="2:4" x14ac:dyDescent="0.25">
      <c r="B2001">
        <f t="shared" ca="1" si="95"/>
        <v>40388.819261246557</v>
      </c>
      <c r="C2001">
        <f t="shared" ca="1" si="93"/>
        <v>0</v>
      </c>
      <c r="D2001">
        <f t="shared" ca="1" si="94"/>
        <v>388.81926124655729</v>
      </c>
    </row>
    <row r="2002" spans="2:4" x14ac:dyDescent="0.25">
      <c r="B2002">
        <f t="shared" ca="1" si="95"/>
        <v>49301.281715850862</v>
      </c>
      <c r="C2002">
        <f t="shared" ca="1" si="93"/>
        <v>0</v>
      </c>
      <c r="D2002">
        <f t="shared" ca="1" si="94"/>
        <v>9301.2817158508624</v>
      </c>
    </row>
    <row r="2003" spans="2:4" x14ac:dyDescent="0.25">
      <c r="B2003">
        <f t="shared" ca="1" si="95"/>
        <v>37409.706824167646</v>
      </c>
      <c r="C2003">
        <f t="shared" ca="1" si="93"/>
        <v>2590.2931758323539</v>
      </c>
      <c r="D2003">
        <f t="shared" ca="1" si="94"/>
        <v>0</v>
      </c>
    </row>
    <row r="2004" spans="2:4" x14ac:dyDescent="0.25">
      <c r="B2004">
        <f t="shared" ca="1" si="95"/>
        <v>49156.714314610923</v>
      </c>
      <c r="C2004">
        <f t="shared" ca="1" si="93"/>
        <v>0</v>
      </c>
      <c r="D2004">
        <f t="shared" ca="1" si="94"/>
        <v>9156.7143146109229</v>
      </c>
    </row>
    <row r="2005" spans="2:4" x14ac:dyDescent="0.25">
      <c r="B2005">
        <f t="shared" ca="1" si="95"/>
        <v>38658.450812763804</v>
      </c>
      <c r="C2005">
        <f t="shared" ca="1" si="93"/>
        <v>1341.5491872361963</v>
      </c>
      <c r="D2005">
        <f t="shared" ca="1" si="94"/>
        <v>0</v>
      </c>
    </row>
    <row r="2006" spans="2:4" x14ac:dyDescent="0.25">
      <c r="B2006">
        <f t="shared" ca="1" si="95"/>
        <v>42380.786370208283</v>
      </c>
      <c r="C2006">
        <f t="shared" ca="1" si="93"/>
        <v>0</v>
      </c>
      <c r="D2006">
        <f t="shared" ca="1" si="94"/>
        <v>2380.7863702082832</v>
      </c>
    </row>
    <row r="2007" spans="2:4" x14ac:dyDescent="0.25">
      <c r="B2007">
        <f t="shared" ca="1" si="95"/>
        <v>46578.81442966334</v>
      </c>
      <c r="C2007">
        <f t="shared" ca="1" si="93"/>
        <v>0</v>
      </c>
      <c r="D2007">
        <f t="shared" ca="1" si="94"/>
        <v>6578.81442966334</v>
      </c>
    </row>
    <row r="2008" spans="2:4" x14ac:dyDescent="0.25">
      <c r="B2008">
        <f t="shared" ca="1" si="95"/>
        <v>50169.487931521762</v>
      </c>
      <c r="C2008">
        <f t="shared" ca="1" si="93"/>
        <v>0</v>
      </c>
      <c r="D2008">
        <f t="shared" ca="1" si="94"/>
        <v>10169.487931521762</v>
      </c>
    </row>
    <row r="2009" spans="2:4" x14ac:dyDescent="0.25">
      <c r="B2009">
        <f t="shared" ca="1" si="95"/>
        <v>40018.64229716402</v>
      </c>
      <c r="C2009">
        <f t="shared" ca="1" si="93"/>
        <v>0</v>
      </c>
      <c r="D2009">
        <f t="shared" ca="1" si="94"/>
        <v>18.64229716402042</v>
      </c>
    </row>
    <row r="2010" spans="2:4" x14ac:dyDescent="0.25">
      <c r="B2010">
        <f t="shared" ca="1" si="95"/>
        <v>49820.677730530726</v>
      </c>
      <c r="C2010">
        <f t="shared" ca="1" si="93"/>
        <v>0</v>
      </c>
      <c r="D2010">
        <f t="shared" ca="1" si="94"/>
        <v>9820.677730530726</v>
      </c>
    </row>
    <row r="2011" spans="2:4" x14ac:dyDescent="0.25">
      <c r="B2011">
        <f t="shared" ca="1" si="95"/>
        <v>43160.928464625918</v>
      </c>
      <c r="C2011">
        <f t="shared" ca="1" si="93"/>
        <v>0</v>
      </c>
      <c r="D2011">
        <f t="shared" ca="1" si="94"/>
        <v>3160.9284646259184</v>
      </c>
    </row>
    <row r="2012" spans="2:4" x14ac:dyDescent="0.25">
      <c r="B2012">
        <f t="shared" ca="1" si="95"/>
        <v>44263.520563810096</v>
      </c>
      <c r="C2012">
        <f t="shared" ca="1" si="93"/>
        <v>0</v>
      </c>
      <c r="D2012">
        <f t="shared" ca="1" si="94"/>
        <v>4263.5205638100961</v>
      </c>
    </row>
    <row r="2013" spans="2:4" x14ac:dyDescent="0.25">
      <c r="B2013">
        <f t="shared" ca="1" si="95"/>
        <v>47641.677966686955</v>
      </c>
      <c r="C2013">
        <f t="shared" ca="1" si="93"/>
        <v>0</v>
      </c>
      <c r="D2013">
        <f t="shared" ca="1" si="94"/>
        <v>7641.6779666869552</v>
      </c>
    </row>
    <row r="2014" spans="2:4" x14ac:dyDescent="0.25">
      <c r="B2014">
        <f t="shared" ca="1" si="95"/>
        <v>36524.443570903255</v>
      </c>
      <c r="C2014">
        <f t="shared" ca="1" si="93"/>
        <v>3475.556429096745</v>
      </c>
      <c r="D2014">
        <f t="shared" ca="1" si="94"/>
        <v>0</v>
      </c>
    </row>
    <row r="2015" spans="2:4" x14ac:dyDescent="0.25">
      <c r="B2015">
        <f t="shared" ca="1" si="95"/>
        <v>46832.174362671904</v>
      </c>
      <c r="C2015">
        <f t="shared" ca="1" si="93"/>
        <v>0</v>
      </c>
      <c r="D2015">
        <f t="shared" ca="1" si="94"/>
        <v>6832.1743626719035</v>
      </c>
    </row>
    <row r="2016" spans="2:4" x14ac:dyDescent="0.25">
      <c r="B2016">
        <f t="shared" ca="1" si="95"/>
        <v>42070.397413672967</v>
      </c>
      <c r="C2016">
        <f t="shared" ca="1" si="93"/>
        <v>0</v>
      </c>
      <c r="D2016">
        <f t="shared" ca="1" si="94"/>
        <v>2070.3974136729666</v>
      </c>
    </row>
    <row r="2017" spans="2:4" x14ac:dyDescent="0.25">
      <c r="B2017">
        <f t="shared" ca="1" si="95"/>
        <v>39653.292518744245</v>
      </c>
      <c r="C2017">
        <f t="shared" ca="1" si="93"/>
        <v>346.70748125575483</v>
      </c>
      <c r="D2017">
        <f t="shared" ca="1" si="94"/>
        <v>0</v>
      </c>
    </row>
    <row r="2018" spans="2:4" x14ac:dyDescent="0.25">
      <c r="B2018">
        <f t="shared" ca="1" si="95"/>
        <v>45240.761052933187</v>
      </c>
      <c r="C2018">
        <f t="shared" ca="1" si="93"/>
        <v>0</v>
      </c>
      <c r="D2018">
        <f t="shared" ca="1" si="94"/>
        <v>5240.7610529331869</v>
      </c>
    </row>
    <row r="2019" spans="2:4" x14ac:dyDescent="0.25">
      <c r="B2019">
        <f t="shared" ca="1" si="95"/>
        <v>40905.903072487868</v>
      </c>
      <c r="C2019">
        <f t="shared" ca="1" si="93"/>
        <v>0</v>
      </c>
      <c r="D2019">
        <f t="shared" ca="1" si="94"/>
        <v>905.90307248786849</v>
      </c>
    </row>
    <row r="2020" spans="2:4" x14ac:dyDescent="0.25">
      <c r="B2020">
        <f t="shared" ca="1" si="95"/>
        <v>45010.510880315109</v>
      </c>
      <c r="C2020">
        <f t="shared" ca="1" si="93"/>
        <v>0</v>
      </c>
      <c r="D2020">
        <f t="shared" ca="1" si="94"/>
        <v>5010.5108803151088</v>
      </c>
    </row>
    <row r="2021" spans="2:4" x14ac:dyDescent="0.25">
      <c r="B2021">
        <f t="shared" ca="1" si="95"/>
        <v>43430.219431253419</v>
      </c>
      <c r="C2021">
        <f t="shared" ca="1" si="93"/>
        <v>0</v>
      </c>
      <c r="D2021">
        <f t="shared" ca="1" si="94"/>
        <v>3430.2194312534193</v>
      </c>
    </row>
    <row r="2022" spans="2:4" x14ac:dyDescent="0.25">
      <c r="B2022">
        <f t="shared" ca="1" si="95"/>
        <v>40105.184604008027</v>
      </c>
      <c r="C2022">
        <f t="shared" ca="1" si="93"/>
        <v>0</v>
      </c>
      <c r="D2022">
        <f t="shared" ca="1" si="94"/>
        <v>105.18460400802724</v>
      </c>
    </row>
    <row r="2023" spans="2:4" x14ac:dyDescent="0.25">
      <c r="B2023">
        <f t="shared" ca="1" si="95"/>
        <v>46824.680537699198</v>
      </c>
      <c r="C2023">
        <f t="shared" ca="1" si="93"/>
        <v>0</v>
      </c>
      <c r="D2023">
        <f t="shared" ca="1" si="94"/>
        <v>6824.6805376991979</v>
      </c>
    </row>
    <row r="2024" spans="2:4" x14ac:dyDescent="0.25">
      <c r="B2024">
        <f t="shared" ca="1" si="95"/>
        <v>42540.428927114095</v>
      </c>
      <c r="C2024">
        <f t="shared" ca="1" si="93"/>
        <v>0</v>
      </c>
      <c r="D2024">
        <f t="shared" ca="1" si="94"/>
        <v>2540.4289271140951</v>
      </c>
    </row>
    <row r="2025" spans="2:4" x14ac:dyDescent="0.25">
      <c r="B2025">
        <f t="shared" ca="1" si="95"/>
        <v>39919.555589587901</v>
      </c>
      <c r="C2025">
        <f t="shared" ca="1" si="93"/>
        <v>80.444410412099387</v>
      </c>
      <c r="D2025">
        <f t="shared" ca="1" si="94"/>
        <v>0</v>
      </c>
    </row>
    <row r="2026" spans="2:4" x14ac:dyDescent="0.25">
      <c r="B2026">
        <f t="shared" ca="1" si="95"/>
        <v>46901.207754012044</v>
      </c>
      <c r="C2026">
        <f t="shared" ca="1" si="93"/>
        <v>0</v>
      </c>
      <c r="D2026">
        <f t="shared" ca="1" si="94"/>
        <v>6901.2077540120445</v>
      </c>
    </row>
    <row r="2027" spans="2:4" x14ac:dyDescent="0.25">
      <c r="B2027">
        <f t="shared" ca="1" si="95"/>
        <v>47377.845635197671</v>
      </c>
      <c r="C2027">
        <f t="shared" ca="1" si="93"/>
        <v>0</v>
      </c>
      <c r="D2027">
        <f t="shared" ca="1" si="94"/>
        <v>7377.8456351976711</v>
      </c>
    </row>
    <row r="2028" spans="2:4" x14ac:dyDescent="0.25">
      <c r="B2028">
        <f t="shared" ca="1" si="95"/>
        <v>39294.975397504408</v>
      </c>
      <c r="C2028">
        <f t="shared" ca="1" si="93"/>
        <v>705.02460249559226</v>
      </c>
      <c r="D2028">
        <f t="shared" ca="1" si="94"/>
        <v>0</v>
      </c>
    </row>
    <row r="2029" spans="2:4" x14ac:dyDescent="0.25">
      <c r="B2029">
        <f t="shared" ca="1" si="95"/>
        <v>48735.340403180875</v>
      </c>
      <c r="C2029">
        <f t="shared" ca="1" si="93"/>
        <v>0</v>
      </c>
      <c r="D2029">
        <f t="shared" ca="1" si="94"/>
        <v>8735.340403180875</v>
      </c>
    </row>
    <row r="2030" spans="2:4" x14ac:dyDescent="0.25">
      <c r="B2030">
        <f t="shared" ca="1" si="95"/>
        <v>46687.690021146074</v>
      </c>
      <c r="C2030">
        <f t="shared" ca="1" si="93"/>
        <v>0</v>
      </c>
      <c r="D2030">
        <f t="shared" ca="1" si="94"/>
        <v>6687.6900211460743</v>
      </c>
    </row>
    <row r="2031" spans="2:4" x14ac:dyDescent="0.25">
      <c r="B2031">
        <f t="shared" ca="1" si="95"/>
        <v>48799.094617812705</v>
      </c>
      <c r="C2031">
        <f t="shared" ca="1" si="93"/>
        <v>0</v>
      </c>
      <c r="D2031">
        <f t="shared" ca="1" si="94"/>
        <v>8799.0946178127051</v>
      </c>
    </row>
    <row r="2032" spans="2:4" x14ac:dyDescent="0.25">
      <c r="B2032">
        <f t="shared" ca="1" si="95"/>
        <v>53761.80967602125</v>
      </c>
      <c r="C2032">
        <f t="shared" ca="1" si="93"/>
        <v>0</v>
      </c>
      <c r="D2032">
        <f t="shared" ca="1" si="94"/>
        <v>13761.80967602125</v>
      </c>
    </row>
    <row r="2033" spans="2:4" x14ac:dyDescent="0.25">
      <c r="B2033">
        <f t="shared" ca="1" si="95"/>
        <v>53576.401373509842</v>
      </c>
      <c r="C2033">
        <f t="shared" ca="1" si="93"/>
        <v>0</v>
      </c>
      <c r="D2033">
        <f t="shared" ca="1" si="94"/>
        <v>13576.401373509842</v>
      </c>
    </row>
    <row r="2034" spans="2:4" x14ac:dyDescent="0.25">
      <c r="B2034">
        <f t="shared" ca="1" si="95"/>
        <v>37807.079220444772</v>
      </c>
      <c r="C2034">
        <f t="shared" ca="1" si="93"/>
        <v>2192.9207795552284</v>
      </c>
      <c r="D2034">
        <f t="shared" ca="1" si="94"/>
        <v>0</v>
      </c>
    </row>
    <row r="2035" spans="2:4" x14ac:dyDescent="0.25">
      <c r="B2035">
        <f t="shared" ca="1" si="95"/>
        <v>42596.542654272256</v>
      </c>
      <c r="C2035">
        <f t="shared" ca="1" si="93"/>
        <v>0</v>
      </c>
      <c r="D2035">
        <f t="shared" ca="1" si="94"/>
        <v>2596.5426542722562</v>
      </c>
    </row>
    <row r="2036" spans="2:4" x14ac:dyDescent="0.25">
      <c r="B2036">
        <f t="shared" ca="1" si="95"/>
        <v>51857.672545817077</v>
      </c>
      <c r="C2036">
        <f t="shared" ca="1" si="93"/>
        <v>0</v>
      </c>
      <c r="D2036">
        <f t="shared" ca="1" si="94"/>
        <v>11857.672545817077</v>
      </c>
    </row>
    <row r="2037" spans="2:4" x14ac:dyDescent="0.25">
      <c r="B2037">
        <f t="shared" ca="1" si="95"/>
        <v>46939.161330766263</v>
      </c>
      <c r="C2037">
        <f t="shared" ca="1" si="93"/>
        <v>0</v>
      </c>
      <c r="D2037">
        <f t="shared" ca="1" si="94"/>
        <v>6939.1613307662628</v>
      </c>
    </row>
    <row r="2038" spans="2:4" x14ac:dyDescent="0.25">
      <c r="B2038">
        <f t="shared" ca="1" si="95"/>
        <v>36801.932168191626</v>
      </c>
      <c r="C2038">
        <f t="shared" ca="1" si="93"/>
        <v>3198.0678318083737</v>
      </c>
      <c r="D2038">
        <f t="shared" ca="1" si="94"/>
        <v>0</v>
      </c>
    </row>
    <row r="2039" spans="2:4" x14ac:dyDescent="0.25">
      <c r="B2039">
        <f t="shared" ca="1" si="95"/>
        <v>43651.552695693739</v>
      </c>
      <c r="C2039">
        <f t="shared" ca="1" si="93"/>
        <v>0</v>
      </c>
      <c r="D2039">
        <f t="shared" ca="1" si="94"/>
        <v>3651.5526956937392</v>
      </c>
    </row>
    <row r="2040" spans="2:4" x14ac:dyDescent="0.25">
      <c r="B2040">
        <f t="shared" ca="1" si="95"/>
        <v>49702.484326174454</v>
      </c>
      <c r="C2040">
        <f t="shared" ca="1" si="93"/>
        <v>0</v>
      </c>
      <c r="D2040">
        <f t="shared" ca="1" si="94"/>
        <v>9702.4843261744536</v>
      </c>
    </row>
    <row r="2041" spans="2:4" x14ac:dyDescent="0.25">
      <c r="B2041">
        <f t="shared" ca="1" si="95"/>
        <v>44748.481055808552</v>
      </c>
      <c r="C2041">
        <f t="shared" ca="1" si="93"/>
        <v>0</v>
      </c>
      <c r="D2041">
        <f t="shared" ca="1" si="94"/>
        <v>4748.4810558085519</v>
      </c>
    </row>
    <row r="2042" spans="2:4" x14ac:dyDescent="0.25">
      <c r="B2042">
        <f t="shared" ca="1" si="95"/>
        <v>37346.66118687686</v>
      </c>
      <c r="C2042">
        <f t="shared" ca="1" si="93"/>
        <v>2653.3388131231404</v>
      </c>
      <c r="D2042">
        <f t="shared" ca="1" si="94"/>
        <v>0</v>
      </c>
    </row>
    <row r="2043" spans="2:4" x14ac:dyDescent="0.25">
      <c r="B2043">
        <f t="shared" ca="1" si="95"/>
        <v>44876.218424388171</v>
      </c>
      <c r="C2043">
        <f t="shared" ca="1" si="93"/>
        <v>0</v>
      </c>
      <c r="D2043">
        <f t="shared" ca="1" si="94"/>
        <v>4876.2184243881711</v>
      </c>
    </row>
    <row r="2044" spans="2:4" x14ac:dyDescent="0.25">
      <c r="B2044">
        <f t="shared" ca="1" si="95"/>
        <v>42222.477421078896</v>
      </c>
      <c r="C2044">
        <f t="shared" ca="1" si="93"/>
        <v>0</v>
      </c>
      <c r="D2044">
        <f t="shared" ca="1" si="94"/>
        <v>2222.4774210788964</v>
      </c>
    </row>
    <row r="2045" spans="2:4" x14ac:dyDescent="0.25">
      <c r="B2045">
        <f t="shared" ca="1" si="95"/>
        <v>46752.8511956086</v>
      </c>
      <c r="C2045">
        <f t="shared" ca="1" si="93"/>
        <v>0</v>
      </c>
      <c r="D2045">
        <f t="shared" ca="1" si="94"/>
        <v>6752.8511956086004</v>
      </c>
    </row>
    <row r="2046" spans="2:4" x14ac:dyDescent="0.25">
      <c r="B2046">
        <f t="shared" ca="1" si="95"/>
        <v>44551.78722824515</v>
      </c>
      <c r="C2046">
        <f t="shared" ca="1" si="93"/>
        <v>0</v>
      </c>
      <c r="D2046">
        <f t="shared" ca="1" si="94"/>
        <v>4551.7872282451499</v>
      </c>
    </row>
    <row r="2047" spans="2:4" x14ac:dyDescent="0.25">
      <c r="B2047">
        <f t="shared" ca="1" si="95"/>
        <v>51381.871400111326</v>
      </c>
      <c r="C2047">
        <f t="shared" ca="1" si="93"/>
        <v>0</v>
      </c>
      <c r="D2047">
        <f t="shared" ca="1" si="94"/>
        <v>11381.871400111326</v>
      </c>
    </row>
    <row r="2048" spans="2:4" x14ac:dyDescent="0.25">
      <c r="B2048">
        <f t="shared" ca="1" si="95"/>
        <v>50427.320456473557</v>
      </c>
      <c r="C2048">
        <f t="shared" ca="1" si="93"/>
        <v>0</v>
      </c>
      <c r="D2048">
        <f t="shared" ca="1" si="94"/>
        <v>10427.320456473557</v>
      </c>
    </row>
    <row r="2049" spans="2:4" x14ac:dyDescent="0.25">
      <c r="B2049">
        <f t="shared" ca="1" si="95"/>
        <v>42222.298021587325</v>
      </c>
      <c r="C2049">
        <f t="shared" ca="1" si="93"/>
        <v>0</v>
      </c>
      <c r="D2049">
        <f t="shared" ca="1" si="94"/>
        <v>2222.2980215873249</v>
      </c>
    </row>
    <row r="2050" spans="2:4" x14ac:dyDescent="0.25">
      <c r="B2050">
        <f t="shared" ca="1" si="95"/>
        <v>43381.79908474203</v>
      </c>
      <c r="C2050">
        <f t="shared" ca="1" si="93"/>
        <v>0</v>
      </c>
      <c r="D2050">
        <f t="shared" ca="1" si="94"/>
        <v>3381.7990847420297</v>
      </c>
    </row>
    <row r="2051" spans="2:4" x14ac:dyDescent="0.25">
      <c r="B2051">
        <f t="shared" ca="1" si="95"/>
        <v>43956.521498539027</v>
      </c>
      <c r="C2051">
        <f t="shared" ca="1" si="93"/>
        <v>0</v>
      </c>
      <c r="D2051">
        <f t="shared" ca="1" si="94"/>
        <v>3956.5214985390267</v>
      </c>
    </row>
    <row r="2052" spans="2:4" x14ac:dyDescent="0.25">
      <c r="B2052">
        <f t="shared" ca="1" si="95"/>
        <v>39349.835884180226</v>
      </c>
      <c r="C2052">
        <f t="shared" ca="1" si="93"/>
        <v>650.16411581977445</v>
      </c>
      <c r="D2052">
        <f t="shared" ca="1" si="94"/>
        <v>0</v>
      </c>
    </row>
    <row r="2053" spans="2:4" x14ac:dyDescent="0.25">
      <c r="B2053">
        <f t="shared" ca="1" si="95"/>
        <v>40507.970650201947</v>
      </c>
      <c r="C2053">
        <f t="shared" ca="1" si="93"/>
        <v>0</v>
      </c>
      <c r="D2053">
        <f t="shared" ca="1" si="94"/>
        <v>507.97065020194714</v>
      </c>
    </row>
    <row r="2054" spans="2:4" x14ac:dyDescent="0.25">
      <c r="B2054">
        <f t="shared" ca="1" si="95"/>
        <v>50492.405872484036</v>
      </c>
      <c r="C2054">
        <f t="shared" ca="1" si="93"/>
        <v>0</v>
      </c>
      <c r="D2054">
        <f t="shared" ca="1" si="94"/>
        <v>10492.405872484036</v>
      </c>
    </row>
    <row r="2055" spans="2:4" x14ac:dyDescent="0.25">
      <c r="B2055">
        <f t="shared" ca="1" si="95"/>
        <v>41944.486535624827</v>
      </c>
      <c r="C2055">
        <f t="shared" ca="1" si="93"/>
        <v>0</v>
      </c>
      <c r="D2055">
        <f t="shared" ca="1" si="94"/>
        <v>1944.4865356248265</v>
      </c>
    </row>
    <row r="2056" spans="2:4" x14ac:dyDescent="0.25">
      <c r="B2056">
        <f t="shared" ca="1" si="95"/>
        <v>48794.673825543396</v>
      </c>
      <c r="C2056">
        <f t="shared" ca="1" si="93"/>
        <v>0</v>
      </c>
      <c r="D2056">
        <f t="shared" ca="1" si="94"/>
        <v>8794.6738255433957</v>
      </c>
    </row>
    <row r="2057" spans="2:4" x14ac:dyDescent="0.25">
      <c r="B2057">
        <f t="shared" ca="1" si="95"/>
        <v>48064.801267298237</v>
      </c>
      <c r="C2057">
        <f t="shared" ca="1" si="93"/>
        <v>0</v>
      </c>
      <c r="D2057">
        <f t="shared" ca="1" si="94"/>
        <v>8064.8012672982368</v>
      </c>
    </row>
    <row r="2058" spans="2:4" x14ac:dyDescent="0.25">
      <c r="B2058">
        <f t="shared" ca="1" si="95"/>
        <v>37681.781827812498</v>
      </c>
      <c r="C2058">
        <f t="shared" ca="1" si="93"/>
        <v>2318.2181721875022</v>
      </c>
      <c r="D2058">
        <f t="shared" ca="1" si="94"/>
        <v>0</v>
      </c>
    </row>
    <row r="2059" spans="2:4" x14ac:dyDescent="0.25">
      <c r="B2059">
        <f t="shared" ca="1" si="95"/>
        <v>44367.778405117933</v>
      </c>
      <c r="C2059">
        <f t="shared" ca="1" si="93"/>
        <v>0</v>
      </c>
      <c r="D2059">
        <f t="shared" ca="1" si="94"/>
        <v>4367.7784051179333</v>
      </c>
    </row>
    <row r="2060" spans="2:4" x14ac:dyDescent="0.25">
      <c r="B2060">
        <f t="shared" ca="1" si="95"/>
        <v>45296.408702808432</v>
      </c>
      <c r="C2060">
        <f t="shared" ref="C2060:C2123" ca="1" si="96">IF(MAX($B$2-B2060)&lt;0,0,$B$2-B2060)</f>
        <v>0</v>
      </c>
      <c r="D2060">
        <f t="shared" ref="D2060:D2123" ca="1" si="97">IF(MAX(B2060-$B$2)&lt;0,0,B2060-$B$2)</f>
        <v>5296.4087028084323</v>
      </c>
    </row>
    <row r="2061" spans="2:4" x14ac:dyDescent="0.25">
      <c r="B2061">
        <f t="shared" ref="B2061:B2124" ca="1" si="98">$B$1*EXP((($B$4-($B$3^2)/2)*$B$5+$B$3*SQRT($B$5)*NORMSINV(RAND())))</f>
        <v>45985.147883512895</v>
      </c>
      <c r="C2061">
        <f t="shared" ca="1" si="96"/>
        <v>0</v>
      </c>
      <c r="D2061">
        <f t="shared" ca="1" si="97"/>
        <v>5985.1478835128946</v>
      </c>
    </row>
    <row r="2062" spans="2:4" x14ac:dyDescent="0.25">
      <c r="B2062">
        <f t="shared" ca="1" si="98"/>
        <v>41528.828742315389</v>
      </c>
      <c r="C2062">
        <f t="shared" ca="1" si="96"/>
        <v>0</v>
      </c>
      <c r="D2062">
        <f t="shared" ca="1" si="97"/>
        <v>1528.8287423153888</v>
      </c>
    </row>
    <row r="2063" spans="2:4" x14ac:dyDescent="0.25">
      <c r="B2063">
        <f t="shared" ca="1" si="98"/>
        <v>40090.087414633905</v>
      </c>
      <c r="C2063">
        <f t="shared" ca="1" si="96"/>
        <v>0</v>
      </c>
      <c r="D2063">
        <f t="shared" ca="1" si="97"/>
        <v>90.0874146339047</v>
      </c>
    </row>
    <row r="2064" spans="2:4" x14ac:dyDescent="0.25">
      <c r="B2064">
        <f t="shared" ca="1" si="98"/>
        <v>59841.433053600515</v>
      </c>
      <c r="C2064">
        <f t="shared" ca="1" si="96"/>
        <v>0</v>
      </c>
      <c r="D2064">
        <f t="shared" ca="1" si="97"/>
        <v>19841.433053600515</v>
      </c>
    </row>
    <row r="2065" spans="2:4" x14ac:dyDescent="0.25">
      <c r="B2065">
        <f t="shared" ca="1" si="98"/>
        <v>46378.261696918737</v>
      </c>
      <c r="C2065">
        <f t="shared" ca="1" si="96"/>
        <v>0</v>
      </c>
      <c r="D2065">
        <f t="shared" ca="1" si="97"/>
        <v>6378.2616969187366</v>
      </c>
    </row>
    <row r="2066" spans="2:4" x14ac:dyDescent="0.25">
      <c r="B2066">
        <f t="shared" ca="1" si="98"/>
        <v>42305.089617397687</v>
      </c>
      <c r="C2066">
        <f t="shared" ca="1" si="96"/>
        <v>0</v>
      </c>
      <c r="D2066">
        <f t="shared" ca="1" si="97"/>
        <v>2305.0896173976871</v>
      </c>
    </row>
    <row r="2067" spans="2:4" x14ac:dyDescent="0.25">
      <c r="B2067">
        <f t="shared" ca="1" si="98"/>
        <v>41273.300040339309</v>
      </c>
      <c r="C2067">
        <f t="shared" ca="1" si="96"/>
        <v>0</v>
      </c>
      <c r="D2067">
        <f t="shared" ca="1" si="97"/>
        <v>1273.3000403393089</v>
      </c>
    </row>
    <row r="2068" spans="2:4" x14ac:dyDescent="0.25">
      <c r="B2068">
        <f t="shared" ca="1" si="98"/>
        <v>47049.30228924159</v>
      </c>
      <c r="C2068">
        <f t="shared" ca="1" si="96"/>
        <v>0</v>
      </c>
      <c r="D2068">
        <f t="shared" ca="1" si="97"/>
        <v>7049.3022892415902</v>
      </c>
    </row>
    <row r="2069" spans="2:4" x14ac:dyDescent="0.25">
      <c r="B2069">
        <f t="shared" ca="1" si="98"/>
        <v>38770.198582384663</v>
      </c>
      <c r="C2069">
        <f t="shared" ca="1" si="96"/>
        <v>1229.8014176153374</v>
      </c>
      <c r="D2069">
        <f t="shared" ca="1" si="97"/>
        <v>0</v>
      </c>
    </row>
    <row r="2070" spans="2:4" x14ac:dyDescent="0.25">
      <c r="B2070">
        <f t="shared" ca="1" si="98"/>
        <v>43927.511561106912</v>
      </c>
      <c r="C2070">
        <f t="shared" ca="1" si="96"/>
        <v>0</v>
      </c>
      <c r="D2070">
        <f t="shared" ca="1" si="97"/>
        <v>3927.5115611069123</v>
      </c>
    </row>
    <row r="2071" spans="2:4" x14ac:dyDescent="0.25">
      <c r="B2071">
        <f t="shared" ca="1" si="98"/>
        <v>43527.136597621786</v>
      </c>
      <c r="C2071">
        <f t="shared" ca="1" si="96"/>
        <v>0</v>
      </c>
      <c r="D2071">
        <f t="shared" ca="1" si="97"/>
        <v>3527.1365976217858</v>
      </c>
    </row>
    <row r="2072" spans="2:4" x14ac:dyDescent="0.25">
      <c r="B2072">
        <f t="shared" ca="1" si="98"/>
        <v>36845.232610619692</v>
      </c>
      <c r="C2072">
        <f t="shared" ca="1" si="96"/>
        <v>3154.7673893803076</v>
      </c>
      <c r="D2072">
        <f t="shared" ca="1" si="97"/>
        <v>0</v>
      </c>
    </row>
    <row r="2073" spans="2:4" x14ac:dyDescent="0.25">
      <c r="B2073">
        <f t="shared" ca="1" si="98"/>
        <v>46473.397626638915</v>
      </c>
      <c r="C2073">
        <f t="shared" ca="1" si="96"/>
        <v>0</v>
      </c>
      <c r="D2073">
        <f t="shared" ca="1" si="97"/>
        <v>6473.3976266389145</v>
      </c>
    </row>
    <row r="2074" spans="2:4" x14ac:dyDescent="0.25">
      <c r="B2074">
        <f t="shared" ca="1" si="98"/>
        <v>43552.451375871424</v>
      </c>
      <c r="C2074">
        <f t="shared" ca="1" si="96"/>
        <v>0</v>
      </c>
      <c r="D2074">
        <f t="shared" ca="1" si="97"/>
        <v>3552.4513758714238</v>
      </c>
    </row>
    <row r="2075" spans="2:4" x14ac:dyDescent="0.25">
      <c r="B2075">
        <f t="shared" ca="1" si="98"/>
        <v>51152.568582767657</v>
      </c>
      <c r="C2075">
        <f t="shared" ca="1" si="96"/>
        <v>0</v>
      </c>
      <c r="D2075">
        <f t="shared" ca="1" si="97"/>
        <v>11152.568582767657</v>
      </c>
    </row>
    <row r="2076" spans="2:4" x14ac:dyDescent="0.25">
      <c r="B2076">
        <f t="shared" ca="1" si="98"/>
        <v>55308.114653798941</v>
      </c>
      <c r="C2076">
        <f t="shared" ca="1" si="96"/>
        <v>0</v>
      </c>
      <c r="D2076">
        <f t="shared" ca="1" si="97"/>
        <v>15308.114653798941</v>
      </c>
    </row>
    <row r="2077" spans="2:4" x14ac:dyDescent="0.25">
      <c r="B2077">
        <f t="shared" ca="1" si="98"/>
        <v>41532.942956084895</v>
      </c>
      <c r="C2077">
        <f t="shared" ca="1" si="96"/>
        <v>0</v>
      </c>
      <c r="D2077">
        <f t="shared" ca="1" si="97"/>
        <v>1532.9429560848948</v>
      </c>
    </row>
    <row r="2078" spans="2:4" x14ac:dyDescent="0.25">
      <c r="B2078">
        <f t="shared" ca="1" si="98"/>
        <v>41665.767511406848</v>
      </c>
      <c r="C2078">
        <f t="shared" ca="1" si="96"/>
        <v>0</v>
      </c>
      <c r="D2078">
        <f t="shared" ca="1" si="97"/>
        <v>1665.7675114068479</v>
      </c>
    </row>
    <row r="2079" spans="2:4" x14ac:dyDescent="0.25">
      <c r="B2079">
        <f t="shared" ca="1" si="98"/>
        <v>46362.412544046907</v>
      </c>
      <c r="C2079">
        <f t="shared" ca="1" si="96"/>
        <v>0</v>
      </c>
      <c r="D2079">
        <f t="shared" ca="1" si="97"/>
        <v>6362.412544046907</v>
      </c>
    </row>
    <row r="2080" spans="2:4" x14ac:dyDescent="0.25">
      <c r="B2080">
        <f t="shared" ca="1" si="98"/>
        <v>53189.596212626631</v>
      </c>
      <c r="C2080">
        <f t="shared" ca="1" si="96"/>
        <v>0</v>
      </c>
      <c r="D2080">
        <f t="shared" ca="1" si="97"/>
        <v>13189.596212626631</v>
      </c>
    </row>
    <row r="2081" spans="2:4" x14ac:dyDescent="0.25">
      <c r="B2081">
        <f t="shared" ca="1" si="98"/>
        <v>50048.195122298283</v>
      </c>
      <c r="C2081">
        <f t="shared" ca="1" si="96"/>
        <v>0</v>
      </c>
      <c r="D2081">
        <f t="shared" ca="1" si="97"/>
        <v>10048.195122298283</v>
      </c>
    </row>
    <row r="2082" spans="2:4" x14ac:dyDescent="0.25">
      <c r="B2082">
        <f t="shared" ca="1" si="98"/>
        <v>42665.891395610546</v>
      </c>
      <c r="C2082">
        <f t="shared" ca="1" si="96"/>
        <v>0</v>
      </c>
      <c r="D2082">
        <f t="shared" ca="1" si="97"/>
        <v>2665.8913956105462</v>
      </c>
    </row>
    <row r="2083" spans="2:4" x14ac:dyDescent="0.25">
      <c r="B2083">
        <f t="shared" ca="1" si="98"/>
        <v>45447.967120875459</v>
      </c>
      <c r="C2083">
        <f t="shared" ca="1" si="96"/>
        <v>0</v>
      </c>
      <c r="D2083">
        <f t="shared" ca="1" si="97"/>
        <v>5447.9671208754589</v>
      </c>
    </row>
    <row r="2084" spans="2:4" x14ac:dyDescent="0.25">
      <c r="B2084">
        <f t="shared" ca="1" si="98"/>
        <v>48314.657737608271</v>
      </c>
      <c r="C2084">
        <f t="shared" ca="1" si="96"/>
        <v>0</v>
      </c>
      <c r="D2084">
        <f t="shared" ca="1" si="97"/>
        <v>8314.6577376082714</v>
      </c>
    </row>
    <row r="2085" spans="2:4" x14ac:dyDescent="0.25">
      <c r="B2085">
        <f t="shared" ca="1" si="98"/>
        <v>44839.097365285277</v>
      </c>
      <c r="C2085">
        <f t="shared" ca="1" si="96"/>
        <v>0</v>
      </c>
      <c r="D2085">
        <f t="shared" ca="1" si="97"/>
        <v>4839.0973652852772</v>
      </c>
    </row>
    <row r="2086" spans="2:4" x14ac:dyDescent="0.25">
      <c r="B2086">
        <f t="shared" ca="1" si="98"/>
        <v>41534.745706267262</v>
      </c>
      <c r="C2086">
        <f t="shared" ca="1" si="96"/>
        <v>0</v>
      </c>
      <c r="D2086">
        <f t="shared" ca="1" si="97"/>
        <v>1534.745706267262</v>
      </c>
    </row>
    <row r="2087" spans="2:4" x14ac:dyDescent="0.25">
      <c r="B2087">
        <f t="shared" ca="1" si="98"/>
        <v>43430.297353658054</v>
      </c>
      <c r="C2087">
        <f t="shared" ca="1" si="96"/>
        <v>0</v>
      </c>
      <c r="D2087">
        <f t="shared" ca="1" si="97"/>
        <v>3430.2973536580539</v>
      </c>
    </row>
    <row r="2088" spans="2:4" x14ac:dyDescent="0.25">
      <c r="B2088">
        <f t="shared" ca="1" si="98"/>
        <v>49422.967620912656</v>
      </c>
      <c r="C2088">
        <f t="shared" ca="1" si="96"/>
        <v>0</v>
      </c>
      <c r="D2088">
        <f t="shared" ca="1" si="97"/>
        <v>9422.9676209126555</v>
      </c>
    </row>
    <row r="2089" spans="2:4" x14ac:dyDescent="0.25">
      <c r="B2089">
        <f t="shared" ca="1" si="98"/>
        <v>47616.568895646546</v>
      </c>
      <c r="C2089">
        <f t="shared" ca="1" si="96"/>
        <v>0</v>
      </c>
      <c r="D2089">
        <f t="shared" ca="1" si="97"/>
        <v>7616.5688956465456</v>
      </c>
    </row>
    <row r="2090" spans="2:4" x14ac:dyDescent="0.25">
      <c r="B2090">
        <f t="shared" ca="1" si="98"/>
        <v>42144.378190773285</v>
      </c>
      <c r="C2090">
        <f t="shared" ca="1" si="96"/>
        <v>0</v>
      </c>
      <c r="D2090">
        <f t="shared" ca="1" si="97"/>
        <v>2144.3781907732846</v>
      </c>
    </row>
    <row r="2091" spans="2:4" x14ac:dyDescent="0.25">
      <c r="B2091">
        <f t="shared" ca="1" si="98"/>
        <v>41304.773335547943</v>
      </c>
      <c r="C2091">
        <f t="shared" ca="1" si="96"/>
        <v>0</v>
      </c>
      <c r="D2091">
        <f t="shared" ca="1" si="97"/>
        <v>1304.7733355479431</v>
      </c>
    </row>
    <row r="2092" spans="2:4" x14ac:dyDescent="0.25">
      <c r="B2092">
        <f t="shared" ca="1" si="98"/>
        <v>40561.245216352589</v>
      </c>
      <c r="C2092">
        <f t="shared" ca="1" si="96"/>
        <v>0</v>
      </c>
      <c r="D2092">
        <f t="shared" ca="1" si="97"/>
        <v>561.24521635258861</v>
      </c>
    </row>
    <row r="2093" spans="2:4" x14ac:dyDescent="0.25">
      <c r="B2093">
        <f t="shared" ca="1" si="98"/>
        <v>46022.421182506143</v>
      </c>
      <c r="C2093">
        <f t="shared" ca="1" si="96"/>
        <v>0</v>
      </c>
      <c r="D2093">
        <f t="shared" ca="1" si="97"/>
        <v>6022.4211825061429</v>
      </c>
    </row>
    <row r="2094" spans="2:4" x14ac:dyDescent="0.25">
      <c r="B2094">
        <f t="shared" ca="1" si="98"/>
        <v>45135.5216923833</v>
      </c>
      <c r="C2094">
        <f t="shared" ca="1" si="96"/>
        <v>0</v>
      </c>
      <c r="D2094">
        <f t="shared" ca="1" si="97"/>
        <v>5135.5216923832995</v>
      </c>
    </row>
    <row r="2095" spans="2:4" x14ac:dyDescent="0.25">
      <c r="B2095">
        <f t="shared" ca="1" si="98"/>
        <v>51738.703711880458</v>
      </c>
      <c r="C2095">
        <f t="shared" ca="1" si="96"/>
        <v>0</v>
      </c>
      <c r="D2095">
        <f t="shared" ca="1" si="97"/>
        <v>11738.703711880458</v>
      </c>
    </row>
    <row r="2096" spans="2:4" x14ac:dyDescent="0.25">
      <c r="B2096">
        <f t="shared" ca="1" si="98"/>
        <v>38869.898318007945</v>
      </c>
      <c r="C2096">
        <f t="shared" ca="1" si="96"/>
        <v>1130.1016819920551</v>
      </c>
      <c r="D2096">
        <f t="shared" ca="1" si="97"/>
        <v>0</v>
      </c>
    </row>
    <row r="2097" spans="2:4" x14ac:dyDescent="0.25">
      <c r="B2097">
        <f t="shared" ca="1" si="98"/>
        <v>44794.400760131975</v>
      </c>
      <c r="C2097">
        <f t="shared" ca="1" si="96"/>
        <v>0</v>
      </c>
      <c r="D2097">
        <f t="shared" ca="1" si="97"/>
        <v>4794.4007601319754</v>
      </c>
    </row>
    <row r="2098" spans="2:4" x14ac:dyDescent="0.25">
      <c r="B2098">
        <f t="shared" ca="1" si="98"/>
        <v>43115.035277638446</v>
      </c>
      <c r="C2098">
        <f t="shared" ca="1" si="96"/>
        <v>0</v>
      </c>
      <c r="D2098">
        <f t="shared" ca="1" si="97"/>
        <v>3115.0352776384461</v>
      </c>
    </row>
    <row r="2099" spans="2:4" x14ac:dyDescent="0.25">
      <c r="B2099">
        <f t="shared" ca="1" si="98"/>
        <v>39026.800942869158</v>
      </c>
      <c r="C2099">
        <f t="shared" ca="1" si="96"/>
        <v>973.19905713084154</v>
      </c>
      <c r="D2099">
        <f t="shared" ca="1" si="97"/>
        <v>0</v>
      </c>
    </row>
    <row r="2100" spans="2:4" x14ac:dyDescent="0.25">
      <c r="B2100">
        <f t="shared" ca="1" si="98"/>
        <v>44934.02964183798</v>
      </c>
      <c r="C2100">
        <f t="shared" ca="1" si="96"/>
        <v>0</v>
      </c>
      <c r="D2100">
        <f t="shared" ca="1" si="97"/>
        <v>4934.0296418379803</v>
      </c>
    </row>
    <row r="2101" spans="2:4" x14ac:dyDescent="0.25">
      <c r="B2101">
        <f t="shared" ca="1" si="98"/>
        <v>42029.430412182192</v>
      </c>
      <c r="C2101">
        <f t="shared" ca="1" si="96"/>
        <v>0</v>
      </c>
      <c r="D2101">
        <f t="shared" ca="1" si="97"/>
        <v>2029.4304121821915</v>
      </c>
    </row>
    <row r="2102" spans="2:4" x14ac:dyDescent="0.25">
      <c r="B2102">
        <f t="shared" ca="1" si="98"/>
        <v>47571.348610650915</v>
      </c>
      <c r="C2102">
        <f t="shared" ca="1" si="96"/>
        <v>0</v>
      </c>
      <c r="D2102">
        <f t="shared" ca="1" si="97"/>
        <v>7571.3486106509154</v>
      </c>
    </row>
    <row r="2103" spans="2:4" x14ac:dyDescent="0.25">
      <c r="B2103">
        <f t="shared" ca="1" si="98"/>
        <v>57971.105561109995</v>
      </c>
      <c r="C2103">
        <f t="shared" ca="1" si="96"/>
        <v>0</v>
      </c>
      <c r="D2103">
        <f t="shared" ca="1" si="97"/>
        <v>17971.105561109995</v>
      </c>
    </row>
    <row r="2104" spans="2:4" x14ac:dyDescent="0.25">
      <c r="B2104">
        <f t="shared" ca="1" si="98"/>
        <v>42554.884064511105</v>
      </c>
      <c r="C2104">
        <f t="shared" ca="1" si="96"/>
        <v>0</v>
      </c>
      <c r="D2104">
        <f t="shared" ca="1" si="97"/>
        <v>2554.884064511105</v>
      </c>
    </row>
    <row r="2105" spans="2:4" x14ac:dyDescent="0.25">
      <c r="B2105">
        <f t="shared" ca="1" si="98"/>
        <v>44540.624039791583</v>
      </c>
      <c r="C2105">
        <f t="shared" ca="1" si="96"/>
        <v>0</v>
      </c>
      <c r="D2105">
        <f t="shared" ca="1" si="97"/>
        <v>4540.6240397915826</v>
      </c>
    </row>
    <row r="2106" spans="2:4" x14ac:dyDescent="0.25">
      <c r="B2106">
        <f t="shared" ca="1" si="98"/>
        <v>44236.842479238665</v>
      </c>
      <c r="C2106">
        <f t="shared" ca="1" si="96"/>
        <v>0</v>
      </c>
      <c r="D2106">
        <f t="shared" ca="1" si="97"/>
        <v>4236.842479238665</v>
      </c>
    </row>
    <row r="2107" spans="2:4" x14ac:dyDescent="0.25">
      <c r="B2107">
        <f t="shared" ca="1" si="98"/>
        <v>38631.927988930598</v>
      </c>
      <c r="C2107">
        <f t="shared" ca="1" si="96"/>
        <v>1368.0720110694019</v>
      </c>
      <c r="D2107">
        <f t="shared" ca="1" si="97"/>
        <v>0</v>
      </c>
    </row>
    <row r="2108" spans="2:4" x14ac:dyDescent="0.25">
      <c r="B2108">
        <f t="shared" ca="1" si="98"/>
        <v>40433.802732203323</v>
      </c>
      <c r="C2108">
        <f t="shared" ca="1" si="96"/>
        <v>0</v>
      </c>
      <c r="D2108">
        <f t="shared" ca="1" si="97"/>
        <v>433.8027322033231</v>
      </c>
    </row>
    <row r="2109" spans="2:4" x14ac:dyDescent="0.25">
      <c r="B2109">
        <f t="shared" ca="1" si="98"/>
        <v>43912.826584525537</v>
      </c>
      <c r="C2109">
        <f t="shared" ca="1" si="96"/>
        <v>0</v>
      </c>
      <c r="D2109">
        <f t="shared" ca="1" si="97"/>
        <v>3912.8265845255373</v>
      </c>
    </row>
    <row r="2110" spans="2:4" x14ac:dyDescent="0.25">
      <c r="B2110">
        <f t="shared" ca="1" si="98"/>
        <v>42788.555078311423</v>
      </c>
      <c r="C2110">
        <f t="shared" ca="1" si="96"/>
        <v>0</v>
      </c>
      <c r="D2110">
        <f t="shared" ca="1" si="97"/>
        <v>2788.5550783114231</v>
      </c>
    </row>
    <row r="2111" spans="2:4" x14ac:dyDescent="0.25">
      <c r="B2111">
        <f t="shared" ca="1" si="98"/>
        <v>45943.207353270831</v>
      </c>
      <c r="C2111">
        <f t="shared" ca="1" si="96"/>
        <v>0</v>
      </c>
      <c r="D2111">
        <f t="shared" ca="1" si="97"/>
        <v>5943.2073532708309</v>
      </c>
    </row>
    <row r="2112" spans="2:4" x14ac:dyDescent="0.25">
      <c r="B2112">
        <f t="shared" ca="1" si="98"/>
        <v>39198.584067538606</v>
      </c>
      <c r="C2112">
        <f t="shared" ca="1" si="96"/>
        <v>801.41593246139382</v>
      </c>
      <c r="D2112">
        <f t="shared" ca="1" si="97"/>
        <v>0</v>
      </c>
    </row>
    <row r="2113" spans="2:4" x14ac:dyDescent="0.25">
      <c r="B2113">
        <f t="shared" ca="1" si="98"/>
        <v>42821.263772681064</v>
      </c>
      <c r="C2113">
        <f t="shared" ca="1" si="96"/>
        <v>0</v>
      </c>
      <c r="D2113">
        <f t="shared" ca="1" si="97"/>
        <v>2821.2637726810644</v>
      </c>
    </row>
    <row r="2114" spans="2:4" x14ac:dyDescent="0.25">
      <c r="B2114">
        <f t="shared" ca="1" si="98"/>
        <v>46826.729709357001</v>
      </c>
      <c r="C2114">
        <f t="shared" ca="1" si="96"/>
        <v>0</v>
      </c>
      <c r="D2114">
        <f t="shared" ca="1" si="97"/>
        <v>6826.7297093570014</v>
      </c>
    </row>
    <row r="2115" spans="2:4" x14ac:dyDescent="0.25">
      <c r="B2115">
        <f t="shared" ca="1" si="98"/>
        <v>38671.5850828404</v>
      </c>
      <c r="C2115">
        <f t="shared" ca="1" si="96"/>
        <v>1328.4149171596</v>
      </c>
      <c r="D2115">
        <f t="shared" ca="1" si="97"/>
        <v>0</v>
      </c>
    </row>
    <row r="2116" spans="2:4" x14ac:dyDescent="0.25">
      <c r="B2116">
        <f t="shared" ca="1" si="98"/>
        <v>50389.970102575069</v>
      </c>
      <c r="C2116">
        <f t="shared" ca="1" si="96"/>
        <v>0</v>
      </c>
      <c r="D2116">
        <f t="shared" ca="1" si="97"/>
        <v>10389.970102575069</v>
      </c>
    </row>
    <row r="2117" spans="2:4" x14ac:dyDescent="0.25">
      <c r="B2117">
        <f t="shared" ca="1" si="98"/>
        <v>46254.196659624795</v>
      </c>
      <c r="C2117">
        <f t="shared" ca="1" si="96"/>
        <v>0</v>
      </c>
      <c r="D2117">
        <f t="shared" ca="1" si="97"/>
        <v>6254.1966596247948</v>
      </c>
    </row>
    <row r="2118" spans="2:4" x14ac:dyDescent="0.25">
      <c r="B2118">
        <f t="shared" ca="1" si="98"/>
        <v>43015.06825825035</v>
      </c>
      <c r="C2118">
        <f t="shared" ca="1" si="96"/>
        <v>0</v>
      </c>
      <c r="D2118">
        <f t="shared" ca="1" si="97"/>
        <v>3015.0682582503505</v>
      </c>
    </row>
    <row r="2119" spans="2:4" x14ac:dyDescent="0.25">
      <c r="B2119">
        <f t="shared" ca="1" si="98"/>
        <v>41162.557096584795</v>
      </c>
      <c r="C2119">
        <f t="shared" ca="1" si="96"/>
        <v>0</v>
      </c>
      <c r="D2119">
        <f t="shared" ca="1" si="97"/>
        <v>1162.5570965847946</v>
      </c>
    </row>
    <row r="2120" spans="2:4" x14ac:dyDescent="0.25">
      <c r="B2120">
        <f t="shared" ca="1" si="98"/>
        <v>41264.24524398848</v>
      </c>
      <c r="C2120">
        <f t="shared" ca="1" si="96"/>
        <v>0</v>
      </c>
      <c r="D2120">
        <f t="shared" ca="1" si="97"/>
        <v>1264.2452439884801</v>
      </c>
    </row>
    <row r="2121" spans="2:4" x14ac:dyDescent="0.25">
      <c r="B2121">
        <f t="shared" ca="1" si="98"/>
        <v>50622.539746469163</v>
      </c>
      <c r="C2121">
        <f t="shared" ca="1" si="96"/>
        <v>0</v>
      </c>
      <c r="D2121">
        <f t="shared" ca="1" si="97"/>
        <v>10622.539746469163</v>
      </c>
    </row>
    <row r="2122" spans="2:4" x14ac:dyDescent="0.25">
      <c r="B2122">
        <f t="shared" ca="1" si="98"/>
        <v>52904.936779798176</v>
      </c>
      <c r="C2122">
        <f t="shared" ca="1" si="96"/>
        <v>0</v>
      </c>
      <c r="D2122">
        <f t="shared" ca="1" si="97"/>
        <v>12904.936779798176</v>
      </c>
    </row>
    <row r="2123" spans="2:4" x14ac:dyDescent="0.25">
      <c r="B2123">
        <f t="shared" ca="1" si="98"/>
        <v>41905.560439366447</v>
      </c>
      <c r="C2123">
        <f t="shared" ca="1" si="96"/>
        <v>0</v>
      </c>
      <c r="D2123">
        <f t="shared" ca="1" si="97"/>
        <v>1905.5604393664471</v>
      </c>
    </row>
    <row r="2124" spans="2:4" x14ac:dyDescent="0.25">
      <c r="B2124">
        <f t="shared" ca="1" si="98"/>
        <v>54122.498886968082</v>
      </c>
      <c r="C2124">
        <f t="shared" ref="C2124:C2187" ca="1" si="99">IF(MAX($B$2-B2124)&lt;0,0,$B$2-B2124)</f>
        <v>0</v>
      </c>
      <c r="D2124">
        <f t="shared" ref="D2124:D2187" ca="1" si="100">IF(MAX(B2124-$B$2)&lt;0,0,B2124-$B$2)</f>
        <v>14122.498886968082</v>
      </c>
    </row>
    <row r="2125" spans="2:4" x14ac:dyDescent="0.25">
      <c r="B2125">
        <f t="shared" ref="B2125:B2188" ca="1" si="101">$B$1*EXP((($B$4-($B$3^2)/2)*$B$5+$B$3*SQRT($B$5)*NORMSINV(RAND())))</f>
        <v>37644.024993957653</v>
      </c>
      <c r="C2125">
        <f t="shared" ca="1" si="99"/>
        <v>2355.9750060423466</v>
      </c>
      <c r="D2125">
        <f t="shared" ca="1" si="100"/>
        <v>0</v>
      </c>
    </row>
    <row r="2126" spans="2:4" x14ac:dyDescent="0.25">
      <c r="B2126">
        <f t="shared" ca="1" si="101"/>
        <v>44347.572033511104</v>
      </c>
      <c r="C2126">
        <f t="shared" ca="1" si="99"/>
        <v>0</v>
      </c>
      <c r="D2126">
        <f t="shared" ca="1" si="100"/>
        <v>4347.5720335111037</v>
      </c>
    </row>
    <row r="2127" spans="2:4" x14ac:dyDescent="0.25">
      <c r="B2127">
        <f t="shared" ca="1" si="101"/>
        <v>48535.358679444013</v>
      </c>
      <c r="C2127">
        <f t="shared" ca="1" si="99"/>
        <v>0</v>
      </c>
      <c r="D2127">
        <f t="shared" ca="1" si="100"/>
        <v>8535.3586794440125</v>
      </c>
    </row>
    <row r="2128" spans="2:4" x14ac:dyDescent="0.25">
      <c r="B2128">
        <f t="shared" ca="1" si="101"/>
        <v>47546.630359565177</v>
      </c>
      <c r="C2128">
        <f t="shared" ca="1" si="99"/>
        <v>0</v>
      </c>
      <c r="D2128">
        <f t="shared" ca="1" si="100"/>
        <v>7546.6303595651771</v>
      </c>
    </row>
    <row r="2129" spans="2:4" x14ac:dyDescent="0.25">
      <c r="B2129">
        <f t="shared" ca="1" si="101"/>
        <v>39018.345429550689</v>
      </c>
      <c r="C2129">
        <f t="shared" ca="1" si="99"/>
        <v>981.654570449311</v>
      </c>
      <c r="D2129">
        <f t="shared" ca="1" si="100"/>
        <v>0</v>
      </c>
    </row>
    <row r="2130" spans="2:4" x14ac:dyDescent="0.25">
      <c r="B2130">
        <f t="shared" ca="1" si="101"/>
        <v>52540.093222146512</v>
      </c>
      <c r="C2130">
        <f t="shared" ca="1" si="99"/>
        <v>0</v>
      </c>
      <c r="D2130">
        <f t="shared" ca="1" si="100"/>
        <v>12540.093222146512</v>
      </c>
    </row>
    <row r="2131" spans="2:4" x14ac:dyDescent="0.25">
      <c r="B2131">
        <f t="shared" ca="1" si="101"/>
        <v>56778.069585260884</v>
      </c>
      <c r="C2131">
        <f t="shared" ca="1" si="99"/>
        <v>0</v>
      </c>
      <c r="D2131">
        <f t="shared" ca="1" si="100"/>
        <v>16778.069585260884</v>
      </c>
    </row>
    <row r="2132" spans="2:4" x14ac:dyDescent="0.25">
      <c r="B2132">
        <f t="shared" ca="1" si="101"/>
        <v>46271.820814499806</v>
      </c>
      <c r="C2132">
        <f t="shared" ca="1" si="99"/>
        <v>0</v>
      </c>
      <c r="D2132">
        <f t="shared" ca="1" si="100"/>
        <v>6271.8208144998061</v>
      </c>
    </row>
    <row r="2133" spans="2:4" x14ac:dyDescent="0.25">
      <c r="B2133">
        <f t="shared" ca="1" si="101"/>
        <v>47166.34059534769</v>
      </c>
      <c r="C2133">
        <f t="shared" ca="1" si="99"/>
        <v>0</v>
      </c>
      <c r="D2133">
        <f t="shared" ca="1" si="100"/>
        <v>7166.3405953476904</v>
      </c>
    </row>
    <row r="2134" spans="2:4" x14ac:dyDescent="0.25">
      <c r="B2134">
        <f t="shared" ca="1" si="101"/>
        <v>43500.255479112566</v>
      </c>
      <c r="C2134">
        <f t="shared" ca="1" si="99"/>
        <v>0</v>
      </c>
      <c r="D2134">
        <f t="shared" ca="1" si="100"/>
        <v>3500.2554791125658</v>
      </c>
    </row>
    <row r="2135" spans="2:4" x14ac:dyDescent="0.25">
      <c r="B2135">
        <f t="shared" ca="1" si="101"/>
        <v>43929.951483367229</v>
      </c>
      <c r="C2135">
        <f t="shared" ca="1" si="99"/>
        <v>0</v>
      </c>
      <c r="D2135">
        <f t="shared" ca="1" si="100"/>
        <v>3929.9514833672292</v>
      </c>
    </row>
    <row r="2136" spans="2:4" x14ac:dyDescent="0.25">
      <c r="B2136">
        <f t="shared" ca="1" si="101"/>
        <v>47154.675225174207</v>
      </c>
      <c r="C2136">
        <f t="shared" ca="1" si="99"/>
        <v>0</v>
      </c>
      <c r="D2136">
        <f t="shared" ca="1" si="100"/>
        <v>7154.6752251742073</v>
      </c>
    </row>
    <row r="2137" spans="2:4" x14ac:dyDescent="0.25">
      <c r="B2137">
        <f t="shared" ca="1" si="101"/>
        <v>46972.315468534114</v>
      </c>
      <c r="C2137">
        <f t="shared" ca="1" si="99"/>
        <v>0</v>
      </c>
      <c r="D2137">
        <f t="shared" ca="1" si="100"/>
        <v>6972.3154685341142</v>
      </c>
    </row>
    <row r="2138" spans="2:4" x14ac:dyDescent="0.25">
      <c r="B2138">
        <f t="shared" ca="1" si="101"/>
        <v>41305.254870419769</v>
      </c>
      <c r="C2138">
        <f t="shared" ca="1" si="99"/>
        <v>0</v>
      </c>
      <c r="D2138">
        <f t="shared" ca="1" si="100"/>
        <v>1305.2548704197688</v>
      </c>
    </row>
    <row r="2139" spans="2:4" x14ac:dyDescent="0.25">
      <c r="B2139">
        <f t="shared" ca="1" si="101"/>
        <v>39893.996963101818</v>
      </c>
      <c r="C2139">
        <f t="shared" ca="1" si="99"/>
        <v>106.00303689818247</v>
      </c>
      <c r="D2139">
        <f t="shared" ca="1" si="100"/>
        <v>0</v>
      </c>
    </row>
    <row r="2140" spans="2:4" x14ac:dyDescent="0.25">
      <c r="B2140">
        <f t="shared" ca="1" si="101"/>
        <v>43403.294684362962</v>
      </c>
      <c r="C2140">
        <f t="shared" ca="1" si="99"/>
        <v>0</v>
      </c>
      <c r="D2140">
        <f t="shared" ca="1" si="100"/>
        <v>3403.2946843629616</v>
      </c>
    </row>
    <row r="2141" spans="2:4" x14ac:dyDescent="0.25">
      <c r="B2141">
        <f t="shared" ca="1" si="101"/>
        <v>49118.014913345556</v>
      </c>
      <c r="C2141">
        <f t="shared" ca="1" si="99"/>
        <v>0</v>
      </c>
      <c r="D2141">
        <f t="shared" ca="1" si="100"/>
        <v>9118.0149133455561</v>
      </c>
    </row>
    <row r="2142" spans="2:4" x14ac:dyDescent="0.25">
      <c r="B2142">
        <f t="shared" ca="1" si="101"/>
        <v>42313.209399651088</v>
      </c>
      <c r="C2142">
        <f t="shared" ca="1" si="99"/>
        <v>0</v>
      </c>
      <c r="D2142">
        <f t="shared" ca="1" si="100"/>
        <v>2313.2093996510885</v>
      </c>
    </row>
    <row r="2143" spans="2:4" x14ac:dyDescent="0.25">
      <c r="B2143">
        <f t="shared" ca="1" si="101"/>
        <v>41951.710727808153</v>
      </c>
      <c r="C2143">
        <f t="shared" ca="1" si="99"/>
        <v>0</v>
      </c>
      <c r="D2143">
        <f t="shared" ca="1" si="100"/>
        <v>1951.710727808153</v>
      </c>
    </row>
    <row r="2144" spans="2:4" x14ac:dyDescent="0.25">
      <c r="B2144">
        <f t="shared" ca="1" si="101"/>
        <v>45745.047025697233</v>
      </c>
      <c r="C2144">
        <f t="shared" ca="1" si="99"/>
        <v>0</v>
      </c>
      <c r="D2144">
        <f t="shared" ca="1" si="100"/>
        <v>5745.047025697233</v>
      </c>
    </row>
    <row r="2145" spans="2:4" x14ac:dyDescent="0.25">
      <c r="B2145">
        <f t="shared" ca="1" si="101"/>
        <v>51285.193935823751</v>
      </c>
      <c r="C2145">
        <f t="shared" ca="1" si="99"/>
        <v>0</v>
      </c>
      <c r="D2145">
        <f t="shared" ca="1" si="100"/>
        <v>11285.193935823751</v>
      </c>
    </row>
    <row r="2146" spans="2:4" x14ac:dyDescent="0.25">
      <c r="B2146">
        <f t="shared" ca="1" si="101"/>
        <v>40976.453018616128</v>
      </c>
      <c r="C2146">
        <f t="shared" ca="1" si="99"/>
        <v>0</v>
      </c>
      <c r="D2146">
        <f t="shared" ca="1" si="100"/>
        <v>976.45301861612825</v>
      </c>
    </row>
    <row r="2147" spans="2:4" x14ac:dyDescent="0.25">
      <c r="B2147">
        <f t="shared" ca="1" si="101"/>
        <v>41891.058303266822</v>
      </c>
      <c r="C2147">
        <f t="shared" ca="1" si="99"/>
        <v>0</v>
      </c>
      <c r="D2147">
        <f t="shared" ca="1" si="100"/>
        <v>1891.0583032668219</v>
      </c>
    </row>
    <row r="2148" spans="2:4" x14ac:dyDescent="0.25">
      <c r="B2148">
        <f t="shared" ca="1" si="101"/>
        <v>47661.464949149027</v>
      </c>
      <c r="C2148">
        <f t="shared" ca="1" si="99"/>
        <v>0</v>
      </c>
      <c r="D2148">
        <f t="shared" ca="1" si="100"/>
        <v>7661.4649491490272</v>
      </c>
    </row>
    <row r="2149" spans="2:4" x14ac:dyDescent="0.25">
      <c r="B2149">
        <f t="shared" ca="1" si="101"/>
        <v>44203.208717048416</v>
      </c>
      <c r="C2149">
        <f t="shared" ca="1" si="99"/>
        <v>0</v>
      </c>
      <c r="D2149">
        <f t="shared" ca="1" si="100"/>
        <v>4203.2087170484156</v>
      </c>
    </row>
    <row r="2150" spans="2:4" x14ac:dyDescent="0.25">
      <c r="B2150">
        <f t="shared" ca="1" si="101"/>
        <v>42132.727177155437</v>
      </c>
      <c r="C2150">
        <f t="shared" ca="1" si="99"/>
        <v>0</v>
      </c>
      <c r="D2150">
        <f t="shared" ca="1" si="100"/>
        <v>2132.7271771554369</v>
      </c>
    </row>
    <row r="2151" spans="2:4" x14ac:dyDescent="0.25">
      <c r="B2151">
        <f t="shared" ca="1" si="101"/>
        <v>45395.386754308885</v>
      </c>
      <c r="C2151">
        <f t="shared" ca="1" si="99"/>
        <v>0</v>
      </c>
      <c r="D2151">
        <f t="shared" ca="1" si="100"/>
        <v>5395.3867543088854</v>
      </c>
    </row>
    <row r="2152" spans="2:4" x14ac:dyDescent="0.25">
      <c r="B2152">
        <f t="shared" ca="1" si="101"/>
        <v>39757.622477999066</v>
      </c>
      <c r="C2152">
        <f t="shared" ca="1" si="99"/>
        <v>242.37752200093382</v>
      </c>
      <c r="D2152">
        <f t="shared" ca="1" si="100"/>
        <v>0</v>
      </c>
    </row>
    <row r="2153" spans="2:4" x14ac:dyDescent="0.25">
      <c r="B2153">
        <f t="shared" ca="1" si="101"/>
        <v>40504.042901144741</v>
      </c>
      <c r="C2153">
        <f t="shared" ca="1" si="99"/>
        <v>0</v>
      </c>
      <c r="D2153">
        <f t="shared" ca="1" si="100"/>
        <v>504.04290114474134</v>
      </c>
    </row>
    <row r="2154" spans="2:4" x14ac:dyDescent="0.25">
      <c r="B2154">
        <f t="shared" ca="1" si="101"/>
        <v>42199.435713141575</v>
      </c>
      <c r="C2154">
        <f t="shared" ca="1" si="99"/>
        <v>0</v>
      </c>
      <c r="D2154">
        <f t="shared" ca="1" si="100"/>
        <v>2199.4357131415745</v>
      </c>
    </row>
    <row r="2155" spans="2:4" x14ac:dyDescent="0.25">
      <c r="B2155">
        <f t="shared" ca="1" si="101"/>
        <v>49028.799423930301</v>
      </c>
      <c r="C2155">
        <f t="shared" ca="1" si="99"/>
        <v>0</v>
      </c>
      <c r="D2155">
        <f t="shared" ca="1" si="100"/>
        <v>9028.7994239303007</v>
      </c>
    </row>
    <row r="2156" spans="2:4" x14ac:dyDescent="0.25">
      <c r="B2156">
        <f t="shared" ca="1" si="101"/>
        <v>42796.648099174796</v>
      </c>
      <c r="C2156">
        <f t="shared" ca="1" si="99"/>
        <v>0</v>
      </c>
      <c r="D2156">
        <f t="shared" ca="1" si="100"/>
        <v>2796.6480991747958</v>
      </c>
    </row>
    <row r="2157" spans="2:4" x14ac:dyDescent="0.25">
      <c r="B2157">
        <f t="shared" ca="1" si="101"/>
        <v>51922.829184966373</v>
      </c>
      <c r="C2157">
        <f t="shared" ca="1" si="99"/>
        <v>0</v>
      </c>
      <c r="D2157">
        <f t="shared" ca="1" si="100"/>
        <v>11922.829184966373</v>
      </c>
    </row>
    <row r="2158" spans="2:4" x14ac:dyDescent="0.25">
      <c r="B2158">
        <f t="shared" ca="1" si="101"/>
        <v>41473.217036550406</v>
      </c>
      <c r="C2158">
        <f t="shared" ca="1" si="99"/>
        <v>0</v>
      </c>
      <c r="D2158">
        <f t="shared" ca="1" si="100"/>
        <v>1473.2170365504062</v>
      </c>
    </row>
    <row r="2159" spans="2:4" x14ac:dyDescent="0.25">
      <c r="B2159">
        <f t="shared" ca="1" si="101"/>
        <v>41200.073912309745</v>
      </c>
      <c r="C2159">
        <f t="shared" ca="1" si="99"/>
        <v>0</v>
      </c>
      <c r="D2159">
        <f t="shared" ca="1" si="100"/>
        <v>1200.0739123097446</v>
      </c>
    </row>
    <row r="2160" spans="2:4" x14ac:dyDescent="0.25">
      <c r="B2160">
        <f t="shared" ca="1" si="101"/>
        <v>43091.816331347269</v>
      </c>
      <c r="C2160">
        <f t="shared" ca="1" si="99"/>
        <v>0</v>
      </c>
      <c r="D2160">
        <f t="shared" ca="1" si="100"/>
        <v>3091.8163313472687</v>
      </c>
    </row>
    <row r="2161" spans="2:4" x14ac:dyDescent="0.25">
      <c r="B2161">
        <f t="shared" ca="1" si="101"/>
        <v>48765.443480442977</v>
      </c>
      <c r="C2161">
        <f t="shared" ca="1" si="99"/>
        <v>0</v>
      </c>
      <c r="D2161">
        <f t="shared" ca="1" si="100"/>
        <v>8765.4434804429766</v>
      </c>
    </row>
    <row r="2162" spans="2:4" x14ac:dyDescent="0.25">
      <c r="B2162">
        <f t="shared" ca="1" si="101"/>
        <v>39730.308299942371</v>
      </c>
      <c r="C2162">
        <f t="shared" ca="1" si="99"/>
        <v>269.69170005762862</v>
      </c>
      <c r="D2162">
        <f t="shared" ca="1" si="100"/>
        <v>0</v>
      </c>
    </row>
    <row r="2163" spans="2:4" x14ac:dyDescent="0.25">
      <c r="B2163">
        <f t="shared" ca="1" si="101"/>
        <v>45165.936375416029</v>
      </c>
      <c r="C2163">
        <f t="shared" ca="1" si="99"/>
        <v>0</v>
      </c>
      <c r="D2163">
        <f t="shared" ca="1" si="100"/>
        <v>5165.9363754160295</v>
      </c>
    </row>
    <row r="2164" spans="2:4" x14ac:dyDescent="0.25">
      <c r="B2164">
        <f t="shared" ca="1" si="101"/>
        <v>48678.445114333656</v>
      </c>
      <c r="C2164">
        <f t="shared" ca="1" si="99"/>
        <v>0</v>
      </c>
      <c r="D2164">
        <f t="shared" ca="1" si="100"/>
        <v>8678.4451143336555</v>
      </c>
    </row>
    <row r="2165" spans="2:4" x14ac:dyDescent="0.25">
      <c r="B2165">
        <f t="shared" ca="1" si="101"/>
        <v>40507.381890440185</v>
      </c>
      <c r="C2165">
        <f t="shared" ca="1" si="99"/>
        <v>0</v>
      </c>
      <c r="D2165">
        <f t="shared" ca="1" si="100"/>
        <v>507.38189044018509</v>
      </c>
    </row>
    <row r="2166" spans="2:4" x14ac:dyDescent="0.25">
      <c r="B2166">
        <f t="shared" ca="1" si="101"/>
        <v>41495.662014076835</v>
      </c>
      <c r="C2166">
        <f t="shared" ca="1" si="99"/>
        <v>0</v>
      </c>
      <c r="D2166">
        <f t="shared" ca="1" si="100"/>
        <v>1495.6620140768355</v>
      </c>
    </row>
    <row r="2167" spans="2:4" x14ac:dyDescent="0.25">
      <c r="B2167">
        <f t="shared" ca="1" si="101"/>
        <v>46928.501500955157</v>
      </c>
      <c r="C2167">
        <f t="shared" ca="1" si="99"/>
        <v>0</v>
      </c>
      <c r="D2167">
        <f t="shared" ca="1" si="100"/>
        <v>6928.5015009551571</v>
      </c>
    </row>
    <row r="2168" spans="2:4" x14ac:dyDescent="0.25">
      <c r="B2168">
        <f t="shared" ca="1" si="101"/>
        <v>51866.292927770242</v>
      </c>
      <c r="C2168">
        <f t="shared" ca="1" si="99"/>
        <v>0</v>
      </c>
      <c r="D2168">
        <f t="shared" ca="1" si="100"/>
        <v>11866.292927770242</v>
      </c>
    </row>
    <row r="2169" spans="2:4" x14ac:dyDescent="0.25">
      <c r="B2169">
        <f t="shared" ca="1" si="101"/>
        <v>42161.546990766685</v>
      </c>
      <c r="C2169">
        <f t="shared" ca="1" si="99"/>
        <v>0</v>
      </c>
      <c r="D2169">
        <f t="shared" ca="1" si="100"/>
        <v>2161.5469907666848</v>
      </c>
    </row>
    <row r="2170" spans="2:4" x14ac:dyDescent="0.25">
      <c r="B2170">
        <f t="shared" ca="1" si="101"/>
        <v>49596.762355269406</v>
      </c>
      <c r="C2170">
        <f t="shared" ca="1" si="99"/>
        <v>0</v>
      </c>
      <c r="D2170">
        <f t="shared" ca="1" si="100"/>
        <v>9596.7623552694058</v>
      </c>
    </row>
    <row r="2171" spans="2:4" x14ac:dyDescent="0.25">
      <c r="B2171">
        <f t="shared" ca="1" si="101"/>
        <v>45996.242981122465</v>
      </c>
      <c r="C2171">
        <f t="shared" ca="1" si="99"/>
        <v>0</v>
      </c>
      <c r="D2171">
        <f t="shared" ca="1" si="100"/>
        <v>5996.2429811224647</v>
      </c>
    </row>
    <row r="2172" spans="2:4" x14ac:dyDescent="0.25">
      <c r="B2172">
        <f t="shared" ca="1" si="101"/>
        <v>40487.451953071752</v>
      </c>
      <c r="C2172">
        <f t="shared" ca="1" si="99"/>
        <v>0</v>
      </c>
      <c r="D2172">
        <f t="shared" ca="1" si="100"/>
        <v>487.45195307175163</v>
      </c>
    </row>
    <row r="2173" spans="2:4" x14ac:dyDescent="0.25">
      <c r="B2173">
        <f t="shared" ca="1" si="101"/>
        <v>46552.207962772234</v>
      </c>
      <c r="C2173">
        <f t="shared" ca="1" si="99"/>
        <v>0</v>
      </c>
      <c r="D2173">
        <f t="shared" ca="1" si="100"/>
        <v>6552.2079627722342</v>
      </c>
    </row>
    <row r="2174" spans="2:4" x14ac:dyDescent="0.25">
      <c r="B2174">
        <f t="shared" ca="1" si="101"/>
        <v>46182.397780607884</v>
      </c>
      <c r="C2174">
        <f t="shared" ca="1" si="99"/>
        <v>0</v>
      </c>
      <c r="D2174">
        <f t="shared" ca="1" si="100"/>
        <v>6182.3977806078838</v>
      </c>
    </row>
    <row r="2175" spans="2:4" x14ac:dyDescent="0.25">
      <c r="B2175">
        <f t="shared" ca="1" si="101"/>
        <v>45173.609893864646</v>
      </c>
      <c r="C2175">
        <f t="shared" ca="1" si="99"/>
        <v>0</v>
      </c>
      <c r="D2175">
        <f t="shared" ca="1" si="100"/>
        <v>5173.6098938646464</v>
      </c>
    </row>
    <row r="2176" spans="2:4" x14ac:dyDescent="0.25">
      <c r="B2176">
        <f t="shared" ca="1" si="101"/>
        <v>54661.937100417977</v>
      </c>
      <c r="C2176">
        <f t="shared" ca="1" si="99"/>
        <v>0</v>
      </c>
      <c r="D2176">
        <f t="shared" ca="1" si="100"/>
        <v>14661.937100417977</v>
      </c>
    </row>
    <row r="2177" spans="2:4" x14ac:dyDescent="0.25">
      <c r="B2177">
        <f t="shared" ca="1" si="101"/>
        <v>47092.72985755391</v>
      </c>
      <c r="C2177">
        <f t="shared" ca="1" si="99"/>
        <v>0</v>
      </c>
      <c r="D2177">
        <f t="shared" ca="1" si="100"/>
        <v>7092.7298575539098</v>
      </c>
    </row>
    <row r="2178" spans="2:4" x14ac:dyDescent="0.25">
      <c r="B2178">
        <f t="shared" ca="1" si="101"/>
        <v>35790.286068827758</v>
      </c>
      <c r="C2178">
        <f t="shared" ca="1" si="99"/>
        <v>4209.7139311722422</v>
      </c>
      <c r="D2178">
        <f t="shared" ca="1" si="100"/>
        <v>0</v>
      </c>
    </row>
    <row r="2179" spans="2:4" x14ac:dyDescent="0.25">
      <c r="B2179">
        <f t="shared" ca="1" si="101"/>
        <v>42608.23016286768</v>
      </c>
      <c r="C2179">
        <f t="shared" ca="1" si="99"/>
        <v>0</v>
      </c>
      <c r="D2179">
        <f t="shared" ca="1" si="100"/>
        <v>2608.2301628676796</v>
      </c>
    </row>
    <row r="2180" spans="2:4" x14ac:dyDescent="0.25">
      <c r="B2180">
        <f t="shared" ca="1" si="101"/>
        <v>45080.464964430881</v>
      </c>
      <c r="C2180">
        <f t="shared" ca="1" si="99"/>
        <v>0</v>
      </c>
      <c r="D2180">
        <f t="shared" ca="1" si="100"/>
        <v>5080.4649644308811</v>
      </c>
    </row>
    <row r="2181" spans="2:4" x14ac:dyDescent="0.25">
      <c r="B2181">
        <f t="shared" ca="1" si="101"/>
        <v>45897.485038489976</v>
      </c>
      <c r="C2181">
        <f t="shared" ca="1" si="99"/>
        <v>0</v>
      </c>
      <c r="D2181">
        <f t="shared" ca="1" si="100"/>
        <v>5897.4850384899764</v>
      </c>
    </row>
    <row r="2182" spans="2:4" x14ac:dyDescent="0.25">
      <c r="B2182">
        <f t="shared" ca="1" si="101"/>
        <v>47906.837708430168</v>
      </c>
      <c r="C2182">
        <f t="shared" ca="1" si="99"/>
        <v>0</v>
      </c>
      <c r="D2182">
        <f t="shared" ca="1" si="100"/>
        <v>7906.8377084301683</v>
      </c>
    </row>
    <row r="2183" spans="2:4" x14ac:dyDescent="0.25">
      <c r="B2183">
        <f t="shared" ca="1" si="101"/>
        <v>49730.847318449785</v>
      </c>
      <c r="C2183">
        <f t="shared" ca="1" si="99"/>
        <v>0</v>
      </c>
      <c r="D2183">
        <f t="shared" ca="1" si="100"/>
        <v>9730.8473184497852</v>
      </c>
    </row>
    <row r="2184" spans="2:4" x14ac:dyDescent="0.25">
      <c r="B2184">
        <f t="shared" ca="1" si="101"/>
        <v>38672.633983671505</v>
      </c>
      <c r="C2184">
        <f t="shared" ca="1" si="99"/>
        <v>1327.3660163284949</v>
      </c>
      <c r="D2184">
        <f t="shared" ca="1" si="100"/>
        <v>0</v>
      </c>
    </row>
    <row r="2185" spans="2:4" x14ac:dyDescent="0.25">
      <c r="B2185">
        <f t="shared" ca="1" si="101"/>
        <v>35469.671144707834</v>
      </c>
      <c r="C2185">
        <f t="shared" ca="1" si="99"/>
        <v>4530.3288552921658</v>
      </c>
      <c r="D2185">
        <f t="shared" ca="1" si="100"/>
        <v>0</v>
      </c>
    </row>
    <row r="2186" spans="2:4" x14ac:dyDescent="0.25">
      <c r="B2186">
        <f t="shared" ca="1" si="101"/>
        <v>50739.5519864776</v>
      </c>
      <c r="C2186">
        <f t="shared" ca="1" si="99"/>
        <v>0</v>
      </c>
      <c r="D2186">
        <f t="shared" ca="1" si="100"/>
        <v>10739.5519864776</v>
      </c>
    </row>
    <row r="2187" spans="2:4" x14ac:dyDescent="0.25">
      <c r="B2187">
        <f t="shared" ca="1" si="101"/>
        <v>44550.90638773956</v>
      </c>
      <c r="C2187">
        <f t="shared" ca="1" si="99"/>
        <v>0</v>
      </c>
      <c r="D2187">
        <f t="shared" ca="1" si="100"/>
        <v>4550.9063877395602</v>
      </c>
    </row>
    <row r="2188" spans="2:4" x14ac:dyDescent="0.25">
      <c r="B2188">
        <f t="shared" ca="1" si="101"/>
        <v>47256.936548372738</v>
      </c>
      <c r="C2188">
        <f t="shared" ref="C2188:C2251" ca="1" si="102">IF(MAX($B$2-B2188)&lt;0,0,$B$2-B2188)</f>
        <v>0</v>
      </c>
      <c r="D2188">
        <f t="shared" ref="D2188:D2251" ca="1" si="103">IF(MAX(B2188-$B$2)&lt;0,0,B2188-$B$2)</f>
        <v>7256.9365483727379</v>
      </c>
    </row>
    <row r="2189" spans="2:4" x14ac:dyDescent="0.25">
      <c r="B2189">
        <f t="shared" ref="B2189:B2252" ca="1" si="104">$B$1*EXP((($B$4-($B$3^2)/2)*$B$5+$B$3*SQRT($B$5)*NORMSINV(RAND())))</f>
        <v>43832.120357059779</v>
      </c>
      <c r="C2189">
        <f t="shared" ca="1" si="102"/>
        <v>0</v>
      </c>
      <c r="D2189">
        <f t="shared" ca="1" si="103"/>
        <v>3832.1203570597791</v>
      </c>
    </row>
    <row r="2190" spans="2:4" x14ac:dyDescent="0.25">
      <c r="B2190">
        <f t="shared" ca="1" si="104"/>
        <v>44881.138907669498</v>
      </c>
      <c r="C2190">
        <f t="shared" ca="1" si="102"/>
        <v>0</v>
      </c>
      <c r="D2190">
        <f t="shared" ca="1" si="103"/>
        <v>4881.1389076694977</v>
      </c>
    </row>
    <row r="2191" spans="2:4" x14ac:dyDescent="0.25">
      <c r="B2191">
        <f t="shared" ca="1" si="104"/>
        <v>49807.082424584623</v>
      </c>
      <c r="C2191">
        <f t="shared" ca="1" si="102"/>
        <v>0</v>
      </c>
      <c r="D2191">
        <f t="shared" ca="1" si="103"/>
        <v>9807.0824245846234</v>
      </c>
    </row>
    <row r="2192" spans="2:4" x14ac:dyDescent="0.25">
      <c r="B2192">
        <f t="shared" ca="1" si="104"/>
        <v>46314.494608913687</v>
      </c>
      <c r="C2192">
        <f t="shared" ca="1" si="102"/>
        <v>0</v>
      </c>
      <c r="D2192">
        <f t="shared" ca="1" si="103"/>
        <v>6314.4946089136865</v>
      </c>
    </row>
    <row r="2193" spans="2:4" x14ac:dyDescent="0.25">
      <c r="B2193">
        <f t="shared" ca="1" si="104"/>
        <v>45240.665955387682</v>
      </c>
      <c r="C2193">
        <f t="shared" ca="1" si="102"/>
        <v>0</v>
      </c>
      <c r="D2193">
        <f t="shared" ca="1" si="103"/>
        <v>5240.6659553876816</v>
      </c>
    </row>
    <row r="2194" spans="2:4" x14ac:dyDescent="0.25">
      <c r="B2194">
        <f t="shared" ca="1" si="104"/>
        <v>37856.951371194104</v>
      </c>
      <c r="C2194">
        <f t="shared" ca="1" si="102"/>
        <v>2143.0486288058964</v>
      </c>
      <c r="D2194">
        <f t="shared" ca="1" si="103"/>
        <v>0</v>
      </c>
    </row>
    <row r="2195" spans="2:4" x14ac:dyDescent="0.25">
      <c r="B2195">
        <f t="shared" ca="1" si="104"/>
        <v>53313.480862985096</v>
      </c>
      <c r="C2195">
        <f t="shared" ca="1" si="102"/>
        <v>0</v>
      </c>
      <c r="D2195">
        <f t="shared" ca="1" si="103"/>
        <v>13313.480862985096</v>
      </c>
    </row>
    <row r="2196" spans="2:4" x14ac:dyDescent="0.25">
      <c r="B2196">
        <f t="shared" ca="1" si="104"/>
        <v>46086.811513641929</v>
      </c>
      <c r="C2196">
        <f t="shared" ca="1" si="102"/>
        <v>0</v>
      </c>
      <c r="D2196">
        <f t="shared" ca="1" si="103"/>
        <v>6086.8115136419292</v>
      </c>
    </row>
    <row r="2197" spans="2:4" x14ac:dyDescent="0.25">
      <c r="B2197">
        <f t="shared" ca="1" si="104"/>
        <v>46215.032206893586</v>
      </c>
      <c r="C2197">
        <f t="shared" ca="1" si="102"/>
        <v>0</v>
      </c>
      <c r="D2197">
        <f t="shared" ca="1" si="103"/>
        <v>6215.0322068935857</v>
      </c>
    </row>
    <row r="2198" spans="2:4" x14ac:dyDescent="0.25">
      <c r="B2198">
        <f t="shared" ca="1" si="104"/>
        <v>50392.348615834308</v>
      </c>
      <c r="C2198">
        <f t="shared" ca="1" si="102"/>
        <v>0</v>
      </c>
      <c r="D2198">
        <f t="shared" ca="1" si="103"/>
        <v>10392.348615834308</v>
      </c>
    </row>
    <row r="2199" spans="2:4" x14ac:dyDescent="0.25">
      <c r="B2199">
        <f t="shared" ca="1" si="104"/>
        <v>38164.89313705745</v>
      </c>
      <c r="C2199">
        <f t="shared" ca="1" si="102"/>
        <v>1835.1068629425499</v>
      </c>
      <c r="D2199">
        <f t="shared" ca="1" si="103"/>
        <v>0</v>
      </c>
    </row>
    <row r="2200" spans="2:4" x14ac:dyDescent="0.25">
      <c r="B2200">
        <f t="shared" ca="1" si="104"/>
        <v>45358.893932055631</v>
      </c>
      <c r="C2200">
        <f t="shared" ca="1" si="102"/>
        <v>0</v>
      </c>
      <c r="D2200">
        <f t="shared" ca="1" si="103"/>
        <v>5358.893932055631</v>
      </c>
    </row>
    <row r="2201" spans="2:4" x14ac:dyDescent="0.25">
      <c r="B2201">
        <f t="shared" ca="1" si="104"/>
        <v>54598.390538430023</v>
      </c>
      <c r="C2201">
        <f t="shared" ca="1" si="102"/>
        <v>0</v>
      </c>
      <c r="D2201">
        <f t="shared" ca="1" si="103"/>
        <v>14598.390538430023</v>
      </c>
    </row>
    <row r="2202" spans="2:4" x14ac:dyDescent="0.25">
      <c r="B2202">
        <f t="shared" ca="1" si="104"/>
        <v>40986.937636265488</v>
      </c>
      <c r="C2202">
        <f t="shared" ca="1" si="102"/>
        <v>0</v>
      </c>
      <c r="D2202">
        <f t="shared" ca="1" si="103"/>
        <v>986.93763626548753</v>
      </c>
    </row>
    <row r="2203" spans="2:4" x14ac:dyDescent="0.25">
      <c r="B2203">
        <f t="shared" ca="1" si="104"/>
        <v>36856.710146091958</v>
      </c>
      <c r="C2203">
        <f t="shared" ca="1" si="102"/>
        <v>3143.2898539080416</v>
      </c>
      <c r="D2203">
        <f t="shared" ca="1" si="103"/>
        <v>0</v>
      </c>
    </row>
    <row r="2204" spans="2:4" x14ac:dyDescent="0.25">
      <c r="B2204">
        <f t="shared" ca="1" si="104"/>
        <v>40718.278333604932</v>
      </c>
      <c r="C2204">
        <f t="shared" ca="1" si="102"/>
        <v>0</v>
      </c>
      <c r="D2204">
        <f t="shared" ca="1" si="103"/>
        <v>718.27833360493241</v>
      </c>
    </row>
    <row r="2205" spans="2:4" x14ac:dyDescent="0.25">
      <c r="B2205">
        <f t="shared" ca="1" si="104"/>
        <v>51723.317198429329</v>
      </c>
      <c r="C2205">
        <f t="shared" ca="1" si="102"/>
        <v>0</v>
      </c>
      <c r="D2205">
        <f t="shared" ca="1" si="103"/>
        <v>11723.317198429329</v>
      </c>
    </row>
    <row r="2206" spans="2:4" x14ac:dyDescent="0.25">
      <c r="B2206">
        <f t="shared" ca="1" si="104"/>
        <v>39164.331512081066</v>
      </c>
      <c r="C2206">
        <f t="shared" ca="1" si="102"/>
        <v>835.66848791893426</v>
      </c>
      <c r="D2206">
        <f t="shared" ca="1" si="103"/>
        <v>0</v>
      </c>
    </row>
    <row r="2207" spans="2:4" x14ac:dyDescent="0.25">
      <c r="B2207">
        <f t="shared" ca="1" si="104"/>
        <v>40715.278505122209</v>
      </c>
      <c r="C2207">
        <f t="shared" ca="1" si="102"/>
        <v>0</v>
      </c>
      <c r="D2207">
        <f t="shared" ca="1" si="103"/>
        <v>715.27850512220903</v>
      </c>
    </row>
    <row r="2208" spans="2:4" x14ac:dyDescent="0.25">
      <c r="B2208">
        <f t="shared" ca="1" si="104"/>
        <v>42184.031418974744</v>
      </c>
      <c r="C2208">
        <f t="shared" ca="1" si="102"/>
        <v>0</v>
      </c>
      <c r="D2208">
        <f t="shared" ca="1" si="103"/>
        <v>2184.0314189747442</v>
      </c>
    </row>
    <row r="2209" spans="2:4" x14ac:dyDescent="0.25">
      <c r="B2209">
        <f t="shared" ca="1" si="104"/>
        <v>47982.716728557745</v>
      </c>
      <c r="C2209">
        <f t="shared" ca="1" si="102"/>
        <v>0</v>
      </c>
      <c r="D2209">
        <f t="shared" ca="1" si="103"/>
        <v>7982.7167285577452</v>
      </c>
    </row>
    <row r="2210" spans="2:4" x14ac:dyDescent="0.25">
      <c r="B2210">
        <f t="shared" ca="1" si="104"/>
        <v>44504.886175524232</v>
      </c>
      <c r="C2210">
        <f t="shared" ca="1" si="102"/>
        <v>0</v>
      </c>
      <c r="D2210">
        <f t="shared" ca="1" si="103"/>
        <v>4504.8861755242324</v>
      </c>
    </row>
    <row r="2211" spans="2:4" x14ac:dyDescent="0.25">
      <c r="B2211">
        <f t="shared" ca="1" si="104"/>
        <v>43596.919024190363</v>
      </c>
      <c r="C2211">
        <f t="shared" ca="1" si="102"/>
        <v>0</v>
      </c>
      <c r="D2211">
        <f t="shared" ca="1" si="103"/>
        <v>3596.9190241903634</v>
      </c>
    </row>
    <row r="2212" spans="2:4" x14ac:dyDescent="0.25">
      <c r="B2212">
        <f t="shared" ca="1" si="104"/>
        <v>42009.204111319035</v>
      </c>
      <c r="C2212">
        <f t="shared" ca="1" si="102"/>
        <v>0</v>
      </c>
      <c r="D2212">
        <f t="shared" ca="1" si="103"/>
        <v>2009.2041113190353</v>
      </c>
    </row>
    <row r="2213" spans="2:4" x14ac:dyDescent="0.25">
      <c r="B2213">
        <f t="shared" ca="1" si="104"/>
        <v>45083.786105409672</v>
      </c>
      <c r="C2213">
        <f t="shared" ca="1" si="102"/>
        <v>0</v>
      </c>
      <c r="D2213">
        <f t="shared" ca="1" si="103"/>
        <v>5083.786105409672</v>
      </c>
    </row>
    <row r="2214" spans="2:4" x14ac:dyDescent="0.25">
      <c r="B2214">
        <f t="shared" ca="1" si="104"/>
        <v>45101.16039603862</v>
      </c>
      <c r="C2214">
        <f t="shared" ca="1" si="102"/>
        <v>0</v>
      </c>
      <c r="D2214">
        <f t="shared" ca="1" si="103"/>
        <v>5101.1603960386201</v>
      </c>
    </row>
    <row r="2215" spans="2:4" x14ac:dyDescent="0.25">
      <c r="B2215">
        <f t="shared" ca="1" si="104"/>
        <v>47975.717903163451</v>
      </c>
      <c r="C2215">
        <f t="shared" ca="1" si="102"/>
        <v>0</v>
      </c>
      <c r="D2215">
        <f t="shared" ca="1" si="103"/>
        <v>7975.7179031634514</v>
      </c>
    </row>
    <row r="2216" spans="2:4" x14ac:dyDescent="0.25">
      <c r="B2216">
        <f t="shared" ca="1" si="104"/>
        <v>44813.241562863186</v>
      </c>
      <c r="C2216">
        <f t="shared" ca="1" si="102"/>
        <v>0</v>
      </c>
      <c r="D2216">
        <f t="shared" ca="1" si="103"/>
        <v>4813.2415628631861</v>
      </c>
    </row>
    <row r="2217" spans="2:4" x14ac:dyDescent="0.25">
      <c r="B2217">
        <f t="shared" ca="1" si="104"/>
        <v>38063.71861243539</v>
      </c>
      <c r="C2217">
        <f t="shared" ca="1" si="102"/>
        <v>1936.2813875646098</v>
      </c>
      <c r="D2217">
        <f t="shared" ca="1" si="103"/>
        <v>0</v>
      </c>
    </row>
    <row r="2218" spans="2:4" x14ac:dyDescent="0.25">
      <c r="B2218">
        <f t="shared" ca="1" si="104"/>
        <v>44259.398627750867</v>
      </c>
      <c r="C2218">
        <f t="shared" ca="1" si="102"/>
        <v>0</v>
      </c>
      <c r="D2218">
        <f t="shared" ca="1" si="103"/>
        <v>4259.3986277508666</v>
      </c>
    </row>
    <row r="2219" spans="2:4" x14ac:dyDescent="0.25">
      <c r="B2219">
        <f t="shared" ca="1" si="104"/>
        <v>46772.037484992332</v>
      </c>
      <c r="C2219">
        <f t="shared" ca="1" si="102"/>
        <v>0</v>
      </c>
      <c r="D2219">
        <f t="shared" ca="1" si="103"/>
        <v>6772.0374849923319</v>
      </c>
    </row>
    <row r="2220" spans="2:4" x14ac:dyDescent="0.25">
      <c r="B2220">
        <f t="shared" ca="1" si="104"/>
        <v>42878.632399785638</v>
      </c>
      <c r="C2220">
        <f t="shared" ca="1" si="102"/>
        <v>0</v>
      </c>
      <c r="D2220">
        <f t="shared" ca="1" si="103"/>
        <v>2878.632399785638</v>
      </c>
    </row>
    <row r="2221" spans="2:4" x14ac:dyDescent="0.25">
      <c r="B2221">
        <f t="shared" ca="1" si="104"/>
        <v>42998.144141654564</v>
      </c>
      <c r="C2221">
        <f t="shared" ca="1" si="102"/>
        <v>0</v>
      </c>
      <c r="D2221">
        <f t="shared" ca="1" si="103"/>
        <v>2998.144141654564</v>
      </c>
    </row>
    <row r="2222" spans="2:4" x14ac:dyDescent="0.25">
      <c r="B2222">
        <f t="shared" ca="1" si="104"/>
        <v>45614.676497217777</v>
      </c>
      <c r="C2222">
        <f t="shared" ca="1" si="102"/>
        <v>0</v>
      </c>
      <c r="D2222">
        <f t="shared" ca="1" si="103"/>
        <v>5614.6764972177771</v>
      </c>
    </row>
    <row r="2223" spans="2:4" x14ac:dyDescent="0.25">
      <c r="B2223">
        <f t="shared" ca="1" si="104"/>
        <v>43639.695378857192</v>
      </c>
      <c r="C2223">
        <f t="shared" ca="1" si="102"/>
        <v>0</v>
      </c>
      <c r="D2223">
        <f t="shared" ca="1" si="103"/>
        <v>3639.6953788571918</v>
      </c>
    </row>
    <row r="2224" spans="2:4" x14ac:dyDescent="0.25">
      <c r="B2224">
        <f t="shared" ca="1" si="104"/>
        <v>52782.76628044169</v>
      </c>
      <c r="C2224">
        <f t="shared" ca="1" si="102"/>
        <v>0</v>
      </c>
      <c r="D2224">
        <f t="shared" ca="1" si="103"/>
        <v>12782.76628044169</v>
      </c>
    </row>
    <row r="2225" spans="2:4" x14ac:dyDescent="0.25">
      <c r="B2225">
        <f t="shared" ca="1" si="104"/>
        <v>42064.462115784823</v>
      </c>
      <c r="C2225">
        <f t="shared" ca="1" si="102"/>
        <v>0</v>
      </c>
      <c r="D2225">
        <f t="shared" ca="1" si="103"/>
        <v>2064.4621157848233</v>
      </c>
    </row>
    <row r="2226" spans="2:4" x14ac:dyDescent="0.25">
      <c r="B2226">
        <f t="shared" ca="1" si="104"/>
        <v>49079.831358605239</v>
      </c>
      <c r="C2226">
        <f t="shared" ca="1" si="102"/>
        <v>0</v>
      </c>
      <c r="D2226">
        <f t="shared" ca="1" si="103"/>
        <v>9079.8313586052391</v>
      </c>
    </row>
    <row r="2227" spans="2:4" x14ac:dyDescent="0.25">
      <c r="B2227">
        <f t="shared" ca="1" si="104"/>
        <v>39213.535426772454</v>
      </c>
      <c r="C2227">
        <f t="shared" ca="1" si="102"/>
        <v>786.46457322754577</v>
      </c>
      <c r="D2227">
        <f t="shared" ca="1" si="103"/>
        <v>0</v>
      </c>
    </row>
    <row r="2228" spans="2:4" x14ac:dyDescent="0.25">
      <c r="B2228">
        <f t="shared" ca="1" si="104"/>
        <v>43541.018010026026</v>
      </c>
      <c r="C2228">
        <f t="shared" ca="1" si="102"/>
        <v>0</v>
      </c>
      <c r="D2228">
        <f t="shared" ca="1" si="103"/>
        <v>3541.0180100260259</v>
      </c>
    </row>
    <row r="2229" spans="2:4" x14ac:dyDescent="0.25">
      <c r="B2229">
        <f t="shared" ca="1" si="104"/>
        <v>49403.618060287721</v>
      </c>
      <c r="C2229">
        <f t="shared" ca="1" si="102"/>
        <v>0</v>
      </c>
      <c r="D2229">
        <f t="shared" ca="1" si="103"/>
        <v>9403.6180602877212</v>
      </c>
    </row>
    <row r="2230" spans="2:4" x14ac:dyDescent="0.25">
      <c r="B2230">
        <f t="shared" ca="1" si="104"/>
        <v>44556.599198888645</v>
      </c>
      <c r="C2230">
        <f t="shared" ca="1" si="102"/>
        <v>0</v>
      </c>
      <c r="D2230">
        <f t="shared" ca="1" si="103"/>
        <v>4556.5991988886453</v>
      </c>
    </row>
    <row r="2231" spans="2:4" x14ac:dyDescent="0.25">
      <c r="B2231">
        <f t="shared" ca="1" si="104"/>
        <v>43713.322754656598</v>
      </c>
      <c r="C2231">
        <f t="shared" ca="1" si="102"/>
        <v>0</v>
      </c>
      <c r="D2231">
        <f t="shared" ca="1" si="103"/>
        <v>3713.3227546565977</v>
      </c>
    </row>
    <row r="2232" spans="2:4" x14ac:dyDescent="0.25">
      <c r="B2232">
        <f t="shared" ca="1" si="104"/>
        <v>39005.740093560118</v>
      </c>
      <c r="C2232">
        <f t="shared" ca="1" si="102"/>
        <v>994.25990643988189</v>
      </c>
      <c r="D2232">
        <f t="shared" ca="1" si="103"/>
        <v>0</v>
      </c>
    </row>
    <row r="2233" spans="2:4" x14ac:dyDescent="0.25">
      <c r="B2233">
        <f t="shared" ca="1" si="104"/>
        <v>46452.072862331239</v>
      </c>
      <c r="C2233">
        <f t="shared" ca="1" si="102"/>
        <v>0</v>
      </c>
      <c r="D2233">
        <f t="shared" ca="1" si="103"/>
        <v>6452.0728623312389</v>
      </c>
    </row>
    <row r="2234" spans="2:4" x14ac:dyDescent="0.25">
      <c r="B2234">
        <f t="shared" ca="1" si="104"/>
        <v>44411.153506633222</v>
      </c>
      <c r="C2234">
        <f t="shared" ca="1" si="102"/>
        <v>0</v>
      </c>
      <c r="D2234">
        <f t="shared" ca="1" si="103"/>
        <v>4411.1535066332217</v>
      </c>
    </row>
    <row r="2235" spans="2:4" x14ac:dyDescent="0.25">
      <c r="B2235">
        <f t="shared" ca="1" si="104"/>
        <v>46659.139709564639</v>
      </c>
      <c r="C2235">
        <f t="shared" ca="1" si="102"/>
        <v>0</v>
      </c>
      <c r="D2235">
        <f t="shared" ca="1" si="103"/>
        <v>6659.1397095646389</v>
      </c>
    </row>
    <row r="2236" spans="2:4" x14ac:dyDescent="0.25">
      <c r="B2236">
        <f t="shared" ca="1" si="104"/>
        <v>48779.703922349472</v>
      </c>
      <c r="C2236">
        <f t="shared" ca="1" si="102"/>
        <v>0</v>
      </c>
      <c r="D2236">
        <f t="shared" ca="1" si="103"/>
        <v>8779.7039223494721</v>
      </c>
    </row>
    <row r="2237" spans="2:4" x14ac:dyDescent="0.25">
      <c r="B2237">
        <f t="shared" ca="1" si="104"/>
        <v>39192.111066101468</v>
      </c>
      <c r="C2237">
        <f t="shared" ca="1" si="102"/>
        <v>807.88893389853183</v>
      </c>
      <c r="D2237">
        <f t="shared" ca="1" si="103"/>
        <v>0</v>
      </c>
    </row>
    <row r="2238" spans="2:4" x14ac:dyDescent="0.25">
      <c r="B2238">
        <f t="shared" ca="1" si="104"/>
        <v>42242.544483451609</v>
      </c>
      <c r="C2238">
        <f t="shared" ca="1" si="102"/>
        <v>0</v>
      </c>
      <c r="D2238">
        <f t="shared" ca="1" si="103"/>
        <v>2242.5444834516093</v>
      </c>
    </row>
    <row r="2239" spans="2:4" x14ac:dyDescent="0.25">
      <c r="B2239">
        <f t="shared" ca="1" si="104"/>
        <v>46741.773693682713</v>
      </c>
      <c r="C2239">
        <f t="shared" ca="1" si="102"/>
        <v>0</v>
      </c>
      <c r="D2239">
        <f t="shared" ca="1" si="103"/>
        <v>6741.7736936827132</v>
      </c>
    </row>
    <row r="2240" spans="2:4" x14ac:dyDescent="0.25">
      <c r="B2240">
        <f t="shared" ca="1" si="104"/>
        <v>39480.210097909148</v>
      </c>
      <c r="C2240">
        <f t="shared" ca="1" si="102"/>
        <v>519.78990209085168</v>
      </c>
      <c r="D2240">
        <f t="shared" ca="1" si="103"/>
        <v>0</v>
      </c>
    </row>
    <row r="2241" spans="2:4" x14ac:dyDescent="0.25">
      <c r="B2241">
        <f t="shared" ca="1" si="104"/>
        <v>47293.623964114544</v>
      </c>
      <c r="C2241">
        <f t="shared" ca="1" si="102"/>
        <v>0</v>
      </c>
      <c r="D2241">
        <f t="shared" ca="1" si="103"/>
        <v>7293.6239641145439</v>
      </c>
    </row>
    <row r="2242" spans="2:4" x14ac:dyDescent="0.25">
      <c r="B2242">
        <f t="shared" ca="1" si="104"/>
        <v>44113.593136867778</v>
      </c>
      <c r="C2242">
        <f t="shared" ca="1" si="102"/>
        <v>0</v>
      </c>
      <c r="D2242">
        <f t="shared" ca="1" si="103"/>
        <v>4113.5931368677775</v>
      </c>
    </row>
    <row r="2243" spans="2:4" x14ac:dyDescent="0.25">
      <c r="B2243">
        <f t="shared" ca="1" si="104"/>
        <v>50870.374483038264</v>
      </c>
      <c r="C2243">
        <f t="shared" ca="1" si="102"/>
        <v>0</v>
      </c>
      <c r="D2243">
        <f t="shared" ca="1" si="103"/>
        <v>10870.374483038264</v>
      </c>
    </row>
    <row r="2244" spans="2:4" x14ac:dyDescent="0.25">
      <c r="B2244">
        <f t="shared" ca="1" si="104"/>
        <v>46427.021423135091</v>
      </c>
      <c r="C2244">
        <f t="shared" ca="1" si="102"/>
        <v>0</v>
      </c>
      <c r="D2244">
        <f t="shared" ca="1" si="103"/>
        <v>6427.021423135091</v>
      </c>
    </row>
    <row r="2245" spans="2:4" x14ac:dyDescent="0.25">
      <c r="B2245">
        <f t="shared" ca="1" si="104"/>
        <v>48092.954282875668</v>
      </c>
      <c r="C2245">
        <f t="shared" ca="1" si="102"/>
        <v>0</v>
      </c>
      <c r="D2245">
        <f t="shared" ca="1" si="103"/>
        <v>8092.9542828756676</v>
      </c>
    </row>
    <row r="2246" spans="2:4" x14ac:dyDescent="0.25">
      <c r="B2246">
        <f t="shared" ca="1" si="104"/>
        <v>45991.079337611671</v>
      </c>
      <c r="C2246">
        <f t="shared" ca="1" si="102"/>
        <v>0</v>
      </c>
      <c r="D2246">
        <f t="shared" ca="1" si="103"/>
        <v>5991.0793376116708</v>
      </c>
    </row>
    <row r="2247" spans="2:4" x14ac:dyDescent="0.25">
      <c r="B2247">
        <f t="shared" ca="1" si="104"/>
        <v>43872.122098792599</v>
      </c>
      <c r="C2247">
        <f t="shared" ca="1" si="102"/>
        <v>0</v>
      </c>
      <c r="D2247">
        <f t="shared" ca="1" si="103"/>
        <v>3872.122098792599</v>
      </c>
    </row>
    <row r="2248" spans="2:4" x14ac:dyDescent="0.25">
      <c r="B2248">
        <f t="shared" ca="1" si="104"/>
        <v>52471.020820421749</v>
      </c>
      <c r="C2248">
        <f t="shared" ca="1" si="102"/>
        <v>0</v>
      </c>
      <c r="D2248">
        <f t="shared" ca="1" si="103"/>
        <v>12471.020820421749</v>
      </c>
    </row>
    <row r="2249" spans="2:4" x14ac:dyDescent="0.25">
      <c r="B2249">
        <f t="shared" ca="1" si="104"/>
        <v>41547.972863900104</v>
      </c>
      <c r="C2249">
        <f t="shared" ca="1" si="102"/>
        <v>0</v>
      </c>
      <c r="D2249">
        <f t="shared" ca="1" si="103"/>
        <v>1547.9728639001041</v>
      </c>
    </row>
    <row r="2250" spans="2:4" x14ac:dyDescent="0.25">
      <c r="B2250">
        <f t="shared" ca="1" si="104"/>
        <v>36778.289663051793</v>
      </c>
      <c r="C2250">
        <f t="shared" ca="1" si="102"/>
        <v>3221.7103369482065</v>
      </c>
      <c r="D2250">
        <f t="shared" ca="1" si="103"/>
        <v>0</v>
      </c>
    </row>
    <row r="2251" spans="2:4" x14ac:dyDescent="0.25">
      <c r="B2251">
        <f t="shared" ca="1" si="104"/>
        <v>42340.590542151018</v>
      </c>
      <c r="C2251">
        <f t="shared" ca="1" si="102"/>
        <v>0</v>
      </c>
      <c r="D2251">
        <f t="shared" ca="1" si="103"/>
        <v>2340.5905421510179</v>
      </c>
    </row>
    <row r="2252" spans="2:4" x14ac:dyDescent="0.25">
      <c r="B2252">
        <f t="shared" ca="1" si="104"/>
        <v>41802.283427121627</v>
      </c>
      <c r="C2252">
        <f t="shared" ref="C2252:C2315" ca="1" si="105">IF(MAX($B$2-B2252)&lt;0,0,$B$2-B2252)</f>
        <v>0</v>
      </c>
      <c r="D2252">
        <f t="shared" ref="D2252:D2315" ca="1" si="106">IF(MAX(B2252-$B$2)&lt;0,0,B2252-$B$2)</f>
        <v>1802.283427121627</v>
      </c>
    </row>
    <row r="2253" spans="2:4" x14ac:dyDescent="0.25">
      <c r="B2253">
        <f t="shared" ref="B2253:B2316" ca="1" si="107">$B$1*EXP((($B$4-($B$3^2)/2)*$B$5+$B$3*SQRT($B$5)*NORMSINV(RAND())))</f>
        <v>46376.456104780285</v>
      </c>
      <c r="C2253">
        <f t="shared" ca="1" si="105"/>
        <v>0</v>
      </c>
      <c r="D2253">
        <f t="shared" ca="1" si="106"/>
        <v>6376.4561047802854</v>
      </c>
    </row>
    <row r="2254" spans="2:4" x14ac:dyDescent="0.25">
      <c r="B2254">
        <f t="shared" ca="1" si="107"/>
        <v>48014.299547202434</v>
      </c>
      <c r="C2254">
        <f t="shared" ca="1" si="105"/>
        <v>0</v>
      </c>
      <c r="D2254">
        <f t="shared" ca="1" si="106"/>
        <v>8014.299547202434</v>
      </c>
    </row>
    <row r="2255" spans="2:4" x14ac:dyDescent="0.25">
      <c r="B2255">
        <f t="shared" ca="1" si="107"/>
        <v>45594.009676986847</v>
      </c>
      <c r="C2255">
        <f t="shared" ca="1" si="105"/>
        <v>0</v>
      </c>
      <c r="D2255">
        <f t="shared" ca="1" si="106"/>
        <v>5594.0096769868469</v>
      </c>
    </row>
    <row r="2256" spans="2:4" x14ac:dyDescent="0.25">
      <c r="B2256">
        <f t="shared" ca="1" si="107"/>
        <v>42120.002017864987</v>
      </c>
      <c r="C2256">
        <f t="shared" ca="1" si="105"/>
        <v>0</v>
      </c>
      <c r="D2256">
        <f t="shared" ca="1" si="106"/>
        <v>2120.0020178649866</v>
      </c>
    </row>
    <row r="2257" spans="2:4" x14ac:dyDescent="0.25">
      <c r="B2257">
        <f t="shared" ca="1" si="107"/>
        <v>44116.72045456223</v>
      </c>
      <c r="C2257">
        <f t="shared" ca="1" si="105"/>
        <v>0</v>
      </c>
      <c r="D2257">
        <f t="shared" ca="1" si="106"/>
        <v>4116.7204545622299</v>
      </c>
    </row>
    <row r="2258" spans="2:4" x14ac:dyDescent="0.25">
      <c r="B2258">
        <f t="shared" ca="1" si="107"/>
        <v>46006.441550027186</v>
      </c>
      <c r="C2258">
        <f t="shared" ca="1" si="105"/>
        <v>0</v>
      </c>
      <c r="D2258">
        <f t="shared" ca="1" si="106"/>
        <v>6006.4415500271862</v>
      </c>
    </row>
    <row r="2259" spans="2:4" x14ac:dyDescent="0.25">
      <c r="B2259">
        <f t="shared" ca="1" si="107"/>
        <v>44518.789991515565</v>
      </c>
      <c r="C2259">
        <f t="shared" ca="1" si="105"/>
        <v>0</v>
      </c>
      <c r="D2259">
        <f t="shared" ca="1" si="106"/>
        <v>4518.7899915155649</v>
      </c>
    </row>
    <row r="2260" spans="2:4" x14ac:dyDescent="0.25">
      <c r="B2260">
        <f t="shared" ca="1" si="107"/>
        <v>41197.833477475739</v>
      </c>
      <c r="C2260">
        <f t="shared" ca="1" si="105"/>
        <v>0</v>
      </c>
      <c r="D2260">
        <f t="shared" ca="1" si="106"/>
        <v>1197.8334774757386</v>
      </c>
    </row>
    <row r="2261" spans="2:4" x14ac:dyDescent="0.25">
      <c r="B2261">
        <f t="shared" ca="1" si="107"/>
        <v>38710.452185347778</v>
      </c>
      <c r="C2261">
        <f t="shared" ca="1" si="105"/>
        <v>1289.5478146522219</v>
      </c>
      <c r="D2261">
        <f t="shared" ca="1" si="106"/>
        <v>0</v>
      </c>
    </row>
    <row r="2262" spans="2:4" x14ac:dyDescent="0.25">
      <c r="B2262">
        <f t="shared" ca="1" si="107"/>
        <v>41820.386069483968</v>
      </c>
      <c r="C2262">
        <f t="shared" ca="1" si="105"/>
        <v>0</v>
      </c>
      <c r="D2262">
        <f t="shared" ca="1" si="106"/>
        <v>1820.3860694839677</v>
      </c>
    </row>
    <row r="2263" spans="2:4" x14ac:dyDescent="0.25">
      <c r="B2263">
        <f t="shared" ca="1" si="107"/>
        <v>49690.053871611432</v>
      </c>
      <c r="C2263">
        <f t="shared" ca="1" si="105"/>
        <v>0</v>
      </c>
      <c r="D2263">
        <f t="shared" ca="1" si="106"/>
        <v>9690.0538716114315</v>
      </c>
    </row>
    <row r="2264" spans="2:4" x14ac:dyDescent="0.25">
      <c r="B2264">
        <f t="shared" ca="1" si="107"/>
        <v>46554.784066977569</v>
      </c>
      <c r="C2264">
        <f t="shared" ca="1" si="105"/>
        <v>0</v>
      </c>
      <c r="D2264">
        <f t="shared" ca="1" si="106"/>
        <v>6554.7840669775687</v>
      </c>
    </row>
    <row r="2265" spans="2:4" x14ac:dyDescent="0.25">
      <c r="B2265">
        <f t="shared" ca="1" si="107"/>
        <v>46277.23707560503</v>
      </c>
      <c r="C2265">
        <f t="shared" ca="1" si="105"/>
        <v>0</v>
      </c>
      <c r="D2265">
        <f t="shared" ca="1" si="106"/>
        <v>6277.2370756050295</v>
      </c>
    </row>
    <row r="2266" spans="2:4" x14ac:dyDescent="0.25">
      <c r="B2266">
        <f t="shared" ca="1" si="107"/>
        <v>46481.69083813508</v>
      </c>
      <c r="C2266">
        <f t="shared" ca="1" si="105"/>
        <v>0</v>
      </c>
      <c r="D2266">
        <f t="shared" ca="1" si="106"/>
        <v>6481.6908381350804</v>
      </c>
    </row>
    <row r="2267" spans="2:4" x14ac:dyDescent="0.25">
      <c r="B2267">
        <f t="shared" ca="1" si="107"/>
        <v>38052.403175483516</v>
      </c>
      <c r="C2267">
        <f t="shared" ca="1" si="105"/>
        <v>1947.596824516484</v>
      </c>
      <c r="D2267">
        <f t="shared" ca="1" si="106"/>
        <v>0</v>
      </c>
    </row>
    <row r="2268" spans="2:4" x14ac:dyDescent="0.25">
      <c r="B2268">
        <f t="shared" ca="1" si="107"/>
        <v>50676.176361146274</v>
      </c>
      <c r="C2268">
        <f t="shared" ca="1" si="105"/>
        <v>0</v>
      </c>
      <c r="D2268">
        <f t="shared" ca="1" si="106"/>
        <v>10676.176361146274</v>
      </c>
    </row>
    <row r="2269" spans="2:4" x14ac:dyDescent="0.25">
      <c r="B2269">
        <f t="shared" ca="1" si="107"/>
        <v>48068.741981246931</v>
      </c>
      <c r="C2269">
        <f t="shared" ca="1" si="105"/>
        <v>0</v>
      </c>
      <c r="D2269">
        <f t="shared" ca="1" si="106"/>
        <v>8068.7419812469307</v>
      </c>
    </row>
    <row r="2270" spans="2:4" x14ac:dyDescent="0.25">
      <c r="B2270">
        <f t="shared" ca="1" si="107"/>
        <v>37777.501526251319</v>
      </c>
      <c r="C2270">
        <f t="shared" ca="1" si="105"/>
        <v>2222.4984737486811</v>
      </c>
      <c r="D2270">
        <f t="shared" ca="1" si="106"/>
        <v>0</v>
      </c>
    </row>
    <row r="2271" spans="2:4" x14ac:dyDescent="0.25">
      <c r="B2271">
        <f t="shared" ca="1" si="107"/>
        <v>39269.095140946374</v>
      </c>
      <c r="C2271">
        <f t="shared" ca="1" si="105"/>
        <v>730.90485905362584</v>
      </c>
      <c r="D2271">
        <f t="shared" ca="1" si="106"/>
        <v>0</v>
      </c>
    </row>
    <row r="2272" spans="2:4" x14ac:dyDescent="0.25">
      <c r="B2272">
        <f t="shared" ca="1" si="107"/>
        <v>50280.738468571915</v>
      </c>
      <c r="C2272">
        <f t="shared" ca="1" si="105"/>
        <v>0</v>
      </c>
      <c r="D2272">
        <f t="shared" ca="1" si="106"/>
        <v>10280.738468571915</v>
      </c>
    </row>
    <row r="2273" spans="2:4" x14ac:dyDescent="0.25">
      <c r="B2273">
        <f t="shared" ca="1" si="107"/>
        <v>39893.028482166046</v>
      </c>
      <c r="C2273">
        <f t="shared" ca="1" si="105"/>
        <v>106.97151783395384</v>
      </c>
      <c r="D2273">
        <f t="shared" ca="1" si="106"/>
        <v>0</v>
      </c>
    </row>
    <row r="2274" spans="2:4" x14ac:dyDescent="0.25">
      <c r="B2274">
        <f t="shared" ca="1" si="107"/>
        <v>47584.554298942166</v>
      </c>
      <c r="C2274">
        <f t="shared" ca="1" si="105"/>
        <v>0</v>
      </c>
      <c r="D2274">
        <f t="shared" ca="1" si="106"/>
        <v>7584.5542989421665</v>
      </c>
    </row>
    <row r="2275" spans="2:4" x14ac:dyDescent="0.25">
      <c r="B2275">
        <f t="shared" ca="1" si="107"/>
        <v>44420.32025602214</v>
      </c>
      <c r="C2275">
        <f t="shared" ca="1" si="105"/>
        <v>0</v>
      </c>
      <c r="D2275">
        <f t="shared" ca="1" si="106"/>
        <v>4420.3202560221398</v>
      </c>
    </row>
    <row r="2276" spans="2:4" x14ac:dyDescent="0.25">
      <c r="B2276">
        <f t="shared" ca="1" si="107"/>
        <v>45037.890586893176</v>
      </c>
      <c r="C2276">
        <f t="shared" ca="1" si="105"/>
        <v>0</v>
      </c>
      <c r="D2276">
        <f t="shared" ca="1" si="106"/>
        <v>5037.8905868931761</v>
      </c>
    </row>
    <row r="2277" spans="2:4" x14ac:dyDescent="0.25">
      <c r="B2277">
        <f t="shared" ca="1" si="107"/>
        <v>44290.336299746858</v>
      </c>
      <c r="C2277">
        <f t="shared" ca="1" si="105"/>
        <v>0</v>
      </c>
      <c r="D2277">
        <f t="shared" ca="1" si="106"/>
        <v>4290.3362997468575</v>
      </c>
    </row>
    <row r="2278" spans="2:4" x14ac:dyDescent="0.25">
      <c r="B2278">
        <f t="shared" ca="1" si="107"/>
        <v>43178.673670969343</v>
      </c>
      <c r="C2278">
        <f t="shared" ca="1" si="105"/>
        <v>0</v>
      </c>
      <c r="D2278">
        <f t="shared" ca="1" si="106"/>
        <v>3178.6736709693432</v>
      </c>
    </row>
    <row r="2279" spans="2:4" x14ac:dyDescent="0.25">
      <c r="B2279">
        <f t="shared" ca="1" si="107"/>
        <v>42967.51199929537</v>
      </c>
      <c r="C2279">
        <f t="shared" ca="1" si="105"/>
        <v>0</v>
      </c>
      <c r="D2279">
        <f t="shared" ca="1" si="106"/>
        <v>2967.5119992953696</v>
      </c>
    </row>
    <row r="2280" spans="2:4" x14ac:dyDescent="0.25">
      <c r="B2280">
        <f t="shared" ca="1" si="107"/>
        <v>48250.890670353161</v>
      </c>
      <c r="C2280">
        <f t="shared" ca="1" si="105"/>
        <v>0</v>
      </c>
      <c r="D2280">
        <f t="shared" ca="1" si="106"/>
        <v>8250.8906703531611</v>
      </c>
    </row>
    <row r="2281" spans="2:4" x14ac:dyDescent="0.25">
      <c r="B2281">
        <f t="shared" ca="1" si="107"/>
        <v>51490.422255011283</v>
      </c>
      <c r="C2281">
        <f t="shared" ca="1" si="105"/>
        <v>0</v>
      </c>
      <c r="D2281">
        <f t="shared" ca="1" si="106"/>
        <v>11490.422255011283</v>
      </c>
    </row>
    <row r="2282" spans="2:4" x14ac:dyDescent="0.25">
      <c r="B2282">
        <f t="shared" ca="1" si="107"/>
        <v>55988.020362665811</v>
      </c>
      <c r="C2282">
        <f t="shared" ca="1" si="105"/>
        <v>0</v>
      </c>
      <c r="D2282">
        <f t="shared" ca="1" si="106"/>
        <v>15988.020362665811</v>
      </c>
    </row>
    <row r="2283" spans="2:4" x14ac:dyDescent="0.25">
      <c r="B2283">
        <f t="shared" ca="1" si="107"/>
        <v>45527.221952241256</v>
      </c>
      <c r="C2283">
        <f t="shared" ca="1" si="105"/>
        <v>0</v>
      </c>
      <c r="D2283">
        <f t="shared" ca="1" si="106"/>
        <v>5527.2219522412561</v>
      </c>
    </row>
    <row r="2284" spans="2:4" x14ac:dyDescent="0.25">
      <c r="B2284">
        <f t="shared" ca="1" si="107"/>
        <v>40557.86922578964</v>
      </c>
      <c r="C2284">
        <f t="shared" ca="1" si="105"/>
        <v>0</v>
      </c>
      <c r="D2284">
        <f t="shared" ca="1" si="106"/>
        <v>557.86922578964004</v>
      </c>
    </row>
    <row r="2285" spans="2:4" x14ac:dyDescent="0.25">
      <c r="B2285">
        <f t="shared" ca="1" si="107"/>
        <v>39046.282662982761</v>
      </c>
      <c r="C2285">
        <f t="shared" ca="1" si="105"/>
        <v>953.71733701723861</v>
      </c>
      <c r="D2285">
        <f t="shared" ca="1" si="106"/>
        <v>0</v>
      </c>
    </row>
    <row r="2286" spans="2:4" x14ac:dyDescent="0.25">
      <c r="B2286">
        <f t="shared" ca="1" si="107"/>
        <v>44686.302301751595</v>
      </c>
      <c r="C2286">
        <f t="shared" ca="1" si="105"/>
        <v>0</v>
      </c>
      <c r="D2286">
        <f t="shared" ca="1" si="106"/>
        <v>4686.3023017515952</v>
      </c>
    </row>
    <row r="2287" spans="2:4" x14ac:dyDescent="0.25">
      <c r="B2287">
        <f t="shared" ca="1" si="107"/>
        <v>42479.712008695104</v>
      </c>
      <c r="C2287">
        <f t="shared" ca="1" si="105"/>
        <v>0</v>
      </c>
      <c r="D2287">
        <f t="shared" ca="1" si="106"/>
        <v>2479.7120086951036</v>
      </c>
    </row>
    <row r="2288" spans="2:4" x14ac:dyDescent="0.25">
      <c r="B2288">
        <f t="shared" ca="1" si="107"/>
        <v>48312.48885309988</v>
      </c>
      <c r="C2288">
        <f t="shared" ca="1" si="105"/>
        <v>0</v>
      </c>
      <c r="D2288">
        <f t="shared" ca="1" si="106"/>
        <v>8312.4888530998796</v>
      </c>
    </row>
    <row r="2289" spans="2:4" x14ac:dyDescent="0.25">
      <c r="B2289">
        <f t="shared" ca="1" si="107"/>
        <v>41128.005071314044</v>
      </c>
      <c r="C2289">
        <f t="shared" ca="1" si="105"/>
        <v>0</v>
      </c>
      <c r="D2289">
        <f t="shared" ca="1" si="106"/>
        <v>1128.0050713140445</v>
      </c>
    </row>
    <row r="2290" spans="2:4" x14ac:dyDescent="0.25">
      <c r="B2290">
        <f t="shared" ca="1" si="107"/>
        <v>39511.700601902849</v>
      </c>
      <c r="C2290">
        <f t="shared" ca="1" si="105"/>
        <v>488.29939809715142</v>
      </c>
      <c r="D2290">
        <f t="shared" ca="1" si="106"/>
        <v>0</v>
      </c>
    </row>
    <row r="2291" spans="2:4" x14ac:dyDescent="0.25">
      <c r="B2291">
        <f t="shared" ca="1" si="107"/>
        <v>39433.055499838942</v>
      </c>
      <c r="C2291">
        <f t="shared" ca="1" si="105"/>
        <v>566.94450016105839</v>
      </c>
      <c r="D2291">
        <f t="shared" ca="1" si="106"/>
        <v>0</v>
      </c>
    </row>
    <row r="2292" spans="2:4" x14ac:dyDescent="0.25">
      <c r="B2292">
        <f t="shared" ca="1" si="107"/>
        <v>39610.101219579745</v>
      </c>
      <c r="C2292">
        <f t="shared" ca="1" si="105"/>
        <v>389.89878042025521</v>
      </c>
      <c r="D2292">
        <f t="shared" ca="1" si="106"/>
        <v>0</v>
      </c>
    </row>
    <row r="2293" spans="2:4" x14ac:dyDescent="0.25">
      <c r="B2293">
        <f t="shared" ca="1" si="107"/>
        <v>40877.814236688377</v>
      </c>
      <c r="C2293">
        <f t="shared" ca="1" si="105"/>
        <v>0</v>
      </c>
      <c r="D2293">
        <f t="shared" ca="1" si="106"/>
        <v>877.8142366883767</v>
      </c>
    </row>
    <row r="2294" spans="2:4" x14ac:dyDescent="0.25">
      <c r="B2294">
        <f t="shared" ca="1" si="107"/>
        <v>38554.095958087921</v>
      </c>
      <c r="C2294">
        <f t="shared" ca="1" si="105"/>
        <v>1445.9040419120793</v>
      </c>
      <c r="D2294">
        <f t="shared" ca="1" si="106"/>
        <v>0</v>
      </c>
    </row>
    <row r="2295" spans="2:4" x14ac:dyDescent="0.25">
      <c r="B2295">
        <f t="shared" ca="1" si="107"/>
        <v>51177.306937727837</v>
      </c>
      <c r="C2295">
        <f t="shared" ca="1" si="105"/>
        <v>0</v>
      </c>
      <c r="D2295">
        <f t="shared" ca="1" si="106"/>
        <v>11177.306937727837</v>
      </c>
    </row>
    <row r="2296" spans="2:4" x14ac:dyDescent="0.25">
      <c r="B2296">
        <f t="shared" ca="1" si="107"/>
        <v>50151.88801547687</v>
      </c>
      <c r="C2296">
        <f t="shared" ca="1" si="105"/>
        <v>0</v>
      </c>
      <c r="D2296">
        <f t="shared" ca="1" si="106"/>
        <v>10151.88801547687</v>
      </c>
    </row>
    <row r="2297" spans="2:4" x14ac:dyDescent="0.25">
      <c r="B2297">
        <f t="shared" ca="1" si="107"/>
        <v>44965.064147139943</v>
      </c>
      <c r="C2297">
        <f t="shared" ca="1" si="105"/>
        <v>0</v>
      </c>
      <c r="D2297">
        <f t="shared" ca="1" si="106"/>
        <v>4965.0641471399431</v>
      </c>
    </row>
    <row r="2298" spans="2:4" x14ac:dyDescent="0.25">
      <c r="B2298">
        <f t="shared" ca="1" si="107"/>
        <v>48010.709902693197</v>
      </c>
      <c r="C2298">
        <f t="shared" ca="1" si="105"/>
        <v>0</v>
      </c>
      <c r="D2298">
        <f t="shared" ca="1" si="106"/>
        <v>8010.7099026931974</v>
      </c>
    </row>
    <row r="2299" spans="2:4" x14ac:dyDescent="0.25">
      <c r="B2299">
        <f t="shared" ca="1" si="107"/>
        <v>51300.990504830326</v>
      </c>
      <c r="C2299">
        <f t="shared" ca="1" si="105"/>
        <v>0</v>
      </c>
      <c r="D2299">
        <f t="shared" ca="1" si="106"/>
        <v>11300.990504830326</v>
      </c>
    </row>
    <row r="2300" spans="2:4" x14ac:dyDescent="0.25">
      <c r="B2300">
        <f t="shared" ca="1" si="107"/>
        <v>41990.757669838189</v>
      </c>
      <c r="C2300">
        <f t="shared" ca="1" si="105"/>
        <v>0</v>
      </c>
      <c r="D2300">
        <f t="shared" ca="1" si="106"/>
        <v>1990.757669838189</v>
      </c>
    </row>
    <row r="2301" spans="2:4" x14ac:dyDescent="0.25">
      <c r="B2301">
        <f t="shared" ca="1" si="107"/>
        <v>46702.756517411341</v>
      </c>
      <c r="C2301">
        <f t="shared" ca="1" si="105"/>
        <v>0</v>
      </c>
      <c r="D2301">
        <f t="shared" ca="1" si="106"/>
        <v>6702.7565174113406</v>
      </c>
    </row>
    <row r="2302" spans="2:4" x14ac:dyDescent="0.25">
      <c r="B2302">
        <f t="shared" ca="1" si="107"/>
        <v>50406.137088939213</v>
      </c>
      <c r="C2302">
        <f t="shared" ca="1" si="105"/>
        <v>0</v>
      </c>
      <c r="D2302">
        <f t="shared" ca="1" si="106"/>
        <v>10406.137088939213</v>
      </c>
    </row>
    <row r="2303" spans="2:4" x14ac:dyDescent="0.25">
      <c r="B2303">
        <f t="shared" ca="1" si="107"/>
        <v>46358.521321487671</v>
      </c>
      <c r="C2303">
        <f t="shared" ca="1" si="105"/>
        <v>0</v>
      </c>
      <c r="D2303">
        <f t="shared" ca="1" si="106"/>
        <v>6358.5213214876712</v>
      </c>
    </row>
    <row r="2304" spans="2:4" x14ac:dyDescent="0.25">
      <c r="B2304">
        <f t="shared" ca="1" si="107"/>
        <v>44775.487232340631</v>
      </c>
      <c r="C2304">
        <f t="shared" ca="1" si="105"/>
        <v>0</v>
      </c>
      <c r="D2304">
        <f t="shared" ca="1" si="106"/>
        <v>4775.4872323406307</v>
      </c>
    </row>
    <row r="2305" spans="2:4" x14ac:dyDescent="0.25">
      <c r="B2305">
        <f t="shared" ca="1" si="107"/>
        <v>48171.985964785497</v>
      </c>
      <c r="C2305">
        <f t="shared" ca="1" si="105"/>
        <v>0</v>
      </c>
      <c r="D2305">
        <f t="shared" ca="1" si="106"/>
        <v>8171.9859647854973</v>
      </c>
    </row>
    <row r="2306" spans="2:4" x14ac:dyDescent="0.25">
      <c r="B2306">
        <f t="shared" ca="1" si="107"/>
        <v>52595.85327359759</v>
      </c>
      <c r="C2306">
        <f t="shared" ca="1" si="105"/>
        <v>0</v>
      </c>
      <c r="D2306">
        <f t="shared" ca="1" si="106"/>
        <v>12595.85327359759</v>
      </c>
    </row>
    <row r="2307" spans="2:4" x14ac:dyDescent="0.25">
      <c r="B2307">
        <f t="shared" ca="1" si="107"/>
        <v>43562.855237466647</v>
      </c>
      <c r="C2307">
        <f t="shared" ca="1" si="105"/>
        <v>0</v>
      </c>
      <c r="D2307">
        <f t="shared" ca="1" si="106"/>
        <v>3562.8552374666469</v>
      </c>
    </row>
    <row r="2308" spans="2:4" x14ac:dyDescent="0.25">
      <c r="B2308">
        <f t="shared" ca="1" si="107"/>
        <v>51686.41439638361</v>
      </c>
      <c r="C2308">
        <f t="shared" ca="1" si="105"/>
        <v>0</v>
      </c>
      <c r="D2308">
        <f t="shared" ca="1" si="106"/>
        <v>11686.41439638361</v>
      </c>
    </row>
    <row r="2309" spans="2:4" x14ac:dyDescent="0.25">
      <c r="B2309">
        <f t="shared" ca="1" si="107"/>
        <v>42484.998560191416</v>
      </c>
      <c r="C2309">
        <f t="shared" ca="1" si="105"/>
        <v>0</v>
      </c>
      <c r="D2309">
        <f t="shared" ca="1" si="106"/>
        <v>2484.9985601914159</v>
      </c>
    </row>
    <row r="2310" spans="2:4" x14ac:dyDescent="0.25">
      <c r="B2310">
        <f t="shared" ca="1" si="107"/>
        <v>43231.589535040606</v>
      </c>
      <c r="C2310">
        <f t="shared" ca="1" si="105"/>
        <v>0</v>
      </c>
      <c r="D2310">
        <f t="shared" ca="1" si="106"/>
        <v>3231.5895350406063</v>
      </c>
    </row>
    <row r="2311" spans="2:4" x14ac:dyDescent="0.25">
      <c r="B2311">
        <f t="shared" ca="1" si="107"/>
        <v>39548.824751048705</v>
      </c>
      <c r="C2311">
        <f t="shared" ca="1" si="105"/>
        <v>451.17524895129463</v>
      </c>
      <c r="D2311">
        <f t="shared" ca="1" si="106"/>
        <v>0</v>
      </c>
    </row>
    <row r="2312" spans="2:4" x14ac:dyDescent="0.25">
      <c r="B2312">
        <f t="shared" ca="1" si="107"/>
        <v>49172.586214081755</v>
      </c>
      <c r="C2312">
        <f t="shared" ca="1" si="105"/>
        <v>0</v>
      </c>
      <c r="D2312">
        <f t="shared" ca="1" si="106"/>
        <v>9172.5862140817553</v>
      </c>
    </row>
    <row r="2313" spans="2:4" x14ac:dyDescent="0.25">
      <c r="B2313">
        <f t="shared" ca="1" si="107"/>
        <v>45438.047501141446</v>
      </c>
      <c r="C2313">
        <f t="shared" ca="1" si="105"/>
        <v>0</v>
      </c>
      <c r="D2313">
        <f t="shared" ca="1" si="106"/>
        <v>5438.0475011414455</v>
      </c>
    </row>
    <row r="2314" spans="2:4" x14ac:dyDescent="0.25">
      <c r="B2314">
        <f t="shared" ca="1" si="107"/>
        <v>47687.928599500869</v>
      </c>
      <c r="C2314">
        <f t="shared" ca="1" si="105"/>
        <v>0</v>
      </c>
      <c r="D2314">
        <f t="shared" ca="1" si="106"/>
        <v>7687.9285995008686</v>
      </c>
    </row>
    <row r="2315" spans="2:4" x14ac:dyDescent="0.25">
      <c r="B2315">
        <f t="shared" ca="1" si="107"/>
        <v>42492.206932842331</v>
      </c>
      <c r="C2315">
        <f t="shared" ca="1" si="105"/>
        <v>0</v>
      </c>
      <c r="D2315">
        <f t="shared" ca="1" si="106"/>
        <v>2492.2069328423313</v>
      </c>
    </row>
    <row r="2316" spans="2:4" x14ac:dyDescent="0.25">
      <c r="B2316">
        <f t="shared" ca="1" si="107"/>
        <v>44846.031213686336</v>
      </c>
      <c r="C2316">
        <f t="shared" ref="C2316:C2379" ca="1" si="108">IF(MAX($B$2-B2316)&lt;0,0,$B$2-B2316)</f>
        <v>0</v>
      </c>
      <c r="D2316">
        <f t="shared" ref="D2316:D2379" ca="1" si="109">IF(MAX(B2316-$B$2)&lt;0,0,B2316-$B$2)</f>
        <v>4846.0312136863358</v>
      </c>
    </row>
    <row r="2317" spans="2:4" x14ac:dyDescent="0.25">
      <c r="B2317">
        <f t="shared" ref="B2317:B2380" ca="1" si="110">$B$1*EXP((($B$4-($B$3^2)/2)*$B$5+$B$3*SQRT($B$5)*NORMSINV(RAND())))</f>
        <v>44330.455533039771</v>
      </c>
      <c r="C2317">
        <f t="shared" ca="1" si="108"/>
        <v>0</v>
      </c>
      <c r="D2317">
        <f t="shared" ca="1" si="109"/>
        <v>4330.4555330397707</v>
      </c>
    </row>
    <row r="2318" spans="2:4" x14ac:dyDescent="0.25">
      <c r="B2318">
        <f t="shared" ca="1" si="110"/>
        <v>39834.465832643771</v>
      </c>
      <c r="C2318">
        <f t="shared" ca="1" si="108"/>
        <v>165.53416735622886</v>
      </c>
      <c r="D2318">
        <f t="shared" ca="1" si="109"/>
        <v>0</v>
      </c>
    </row>
    <row r="2319" spans="2:4" x14ac:dyDescent="0.25">
      <c r="B2319">
        <f t="shared" ca="1" si="110"/>
        <v>48010.219874697337</v>
      </c>
      <c r="C2319">
        <f t="shared" ca="1" si="108"/>
        <v>0</v>
      </c>
      <c r="D2319">
        <f t="shared" ca="1" si="109"/>
        <v>8010.2198746973372</v>
      </c>
    </row>
    <row r="2320" spans="2:4" x14ac:dyDescent="0.25">
      <c r="B2320">
        <f t="shared" ca="1" si="110"/>
        <v>48617.790512287916</v>
      </c>
      <c r="C2320">
        <f t="shared" ca="1" si="108"/>
        <v>0</v>
      </c>
      <c r="D2320">
        <f t="shared" ca="1" si="109"/>
        <v>8617.7905122879165</v>
      </c>
    </row>
    <row r="2321" spans="2:4" x14ac:dyDescent="0.25">
      <c r="B2321">
        <f t="shared" ca="1" si="110"/>
        <v>51812.762873741027</v>
      </c>
      <c r="C2321">
        <f t="shared" ca="1" si="108"/>
        <v>0</v>
      </c>
      <c r="D2321">
        <f t="shared" ca="1" si="109"/>
        <v>11812.762873741027</v>
      </c>
    </row>
    <row r="2322" spans="2:4" x14ac:dyDescent="0.25">
      <c r="B2322">
        <f t="shared" ca="1" si="110"/>
        <v>41699.330369848976</v>
      </c>
      <c r="C2322">
        <f t="shared" ca="1" si="108"/>
        <v>0</v>
      </c>
      <c r="D2322">
        <f t="shared" ca="1" si="109"/>
        <v>1699.3303698489763</v>
      </c>
    </row>
    <row r="2323" spans="2:4" x14ac:dyDescent="0.25">
      <c r="B2323">
        <f t="shared" ca="1" si="110"/>
        <v>40697.974115976402</v>
      </c>
      <c r="C2323">
        <f t="shared" ca="1" si="108"/>
        <v>0</v>
      </c>
      <c r="D2323">
        <f t="shared" ca="1" si="109"/>
        <v>697.97411597640166</v>
      </c>
    </row>
    <row r="2324" spans="2:4" x14ac:dyDescent="0.25">
      <c r="B2324">
        <f t="shared" ca="1" si="110"/>
        <v>52577.162774783625</v>
      </c>
      <c r="C2324">
        <f t="shared" ca="1" si="108"/>
        <v>0</v>
      </c>
      <c r="D2324">
        <f t="shared" ca="1" si="109"/>
        <v>12577.162774783625</v>
      </c>
    </row>
    <row r="2325" spans="2:4" x14ac:dyDescent="0.25">
      <c r="B2325">
        <f t="shared" ca="1" si="110"/>
        <v>48174.61098716261</v>
      </c>
      <c r="C2325">
        <f t="shared" ca="1" si="108"/>
        <v>0</v>
      </c>
      <c r="D2325">
        <f t="shared" ca="1" si="109"/>
        <v>8174.6109871626104</v>
      </c>
    </row>
    <row r="2326" spans="2:4" x14ac:dyDescent="0.25">
      <c r="B2326">
        <f t="shared" ca="1" si="110"/>
        <v>37831.514810354442</v>
      </c>
      <c r="C2326">
        <f t="shared" ca="1" si="108"/>
        <v>2168.4851896455584</v>
      </c>
      <c r="D2326">
        <f t="shared" ca="1" si="109"/>
        <v>0</v>
      </c>
    </row>
    <row r="2327" spans="2:4" x14ac:dyDescent="0.25">
      <c r="B2327">
        <f t="shared" ca="1" si="110"/>
        <v>45587.28463532999</v>
      </c>
      <c r="C2327">
        <f t="shared" ca="1" si="108"/>
        <v>0</v>
      </c>
      <c r="D2327">
        <f t="shared" ca="1" si="109"/>
        <v>5587.2846353299901</v>
      </c>
    </row>
    <row r="2328" spans="2:4" x14ac:dyDescent="0.25">
      <c r="B2328">
        <f t="shared" ca="1" si="110"/>
        <v>51189.772780265943</v>
      </c>
      <c r="C2328">
        <f t="shared" ca="1" si="108"/>
        <v>0</v>
      </c>
      <c r="D2328">
        <f t="shared" ca="1" si="109"/>
        <v>11189.772780265943</v>
      </c>
    </row>
    <row r="2329" spans="2:4" x14ac:dyDescent="0.25">
      <c r="B2329">
        <f t="shared" ca="1" si="110"/>
        <v>46406.590254349881</v>
      </c>
      <c r="C2329">
        <f t="shared" ca="1" si="108"/>
        <v>0</v>
      </c>
      <c r="D2329">
        <f t="shared" ca="1" si="109"/>
        <v>6406.5902543498814</v>
      </c>
    </row>
    <row r="2330" spans="2:4" x14ac:dyDescent="0.25">
      <c r="B2330">
        <f t="shared" ca="1" si="110"/>
        <v>47077.879820283313</v>
      </c>
      <c r="C2330">
        <f t="shared" ca="1" si="108"/>
        <v>0</v>
      </c>
      <c r="D2330">
        <f t="shared" ca="1" si="109"/>
        <v>7077.8798202833132</v>
      </c>
    </row>
    <row r="2331" spans="2:4" x14ac:dyDescent="0.25">
      <c r="B2331">
        <f t="shared" ca="1" si="110"/>
        <v>34197.274520855237</v>
      </c>
      <c r="C2331">
        <f t="shared" ca="1" si="108"/>
        <v>5802.7254791447631</v>
      </c>
      <c r="D2331">
        <f t="shared" ca="1" si="109"/>
        <v>0</v>
      </c>
    </row>
    <row r="2332" spans="2:4" x14ac:dyDescent="0.25">
      <c r="B2332">
        <f t="shared" ca="1" si="110"/>
        <v>45156.062505147798</v>
      </c>
      <c r="C2332">
        <f t="shared" ca="1" si="108"/>
        <v>0</v>
      </c>
      <c r="D2332">
        <f t="shared" ca="1" si="109"/>
        <v>5156.0625051477982</v>
      </c>
    </row>
    <row r="2333" spans="2:4" x14ac:dyDescent="0.25">
      <c r="B2333">
        <f t="shared" ca="1" si="110"/>
        <v>48726.184167829437</v>
      </c>
      <c r="C2333">
        <f t="shared" ca="1" si="108"/>
        <v>0</v>
      </c>
      <c r="D2333">
        <f t="shared" ca="1" si="109"/>
        <v>8726.1841678294368</v>
      </c>
    </row>
    <row r="2334" spans="2:4" x14ac:dyDescent="0.25">
      <c r="B2334">
        <f t="shared" ca="1" si="110"/>
        <v>49954.658076776323</v>
      </c>
      <c r="C2334">
        <f t="shared" ca="1" si="108"/>
        <v>0</v>
      </c>
      <c r="D2334">
        <f t="shared" ca="1" si="109"/>
        <v>9954.6580767763226</v>
      </c>
    </row>
    <row r="2335" spans="2:4" x14ac:dyDescent="0.25">
      <c r="B2335">
        <f t="shared" ca="1" si="110"/>
        <v>43749.015192343424</v>
      </c>
      <c r="C2335">
        <f t="shared" ca="1" si="108"/>
        <v>0</v>
      </c>
      <c r="D2335">
        <f t="shared" ca="1" si="109"/>
        <v>3749.0151923434241</v>
      </c>
    </row>
    <row r="2336" spans="2:4" x14ac:dyDescent="0.25">
      <c r="B2336">
        <f t="shared" ca="1" si="110"/>
        <v>42357.605534372458</v>
      </c>
      <c r="C2336">
        <f t="shared" ca="1" si="108"/>
        <v>0</v>
      </c>
      <c r="D2336">
        <f t="shared" ca="1" si="109"/>
        <v>2357.6055343724584</v>
      </c>
    </row>
    <row r="2337" spans="2:4" x14ac:dyDescent="0.25">
      <c r="B2337">
        <f t="shared" ca="1" si="110"/>
        <v>38694.429647632765</v>
      </c>
      <c r="C2337">
        <f t="shared" ca="1" si="108"/>
        <v>1305.5703523672346</v>
      </c>
      <c r="D2337">
        <f t="shared" ca="1" si="109"/>
        <v>0</v>
      </c>
    </row>
    <row r="2338" spans="2:4" x14ac:dyDescent="0.25">
      <c r="B2338">
        <f t="shared" ca="1" si="110"/>
        <v>47006.659045183354</v>
      </c>
      <c r="C2338">
        <f t="shared" ca="1" si="108"/>
        <v>0</v>
      </c>
      <c r="D2338">
        <f t="shared" ca="1" si="109"/>
        <v>7006.6590451833545</v>
      </c>
    </row>
    <row r="2339" spans="2:4" x14ac:dyDescent="0.25">
      <c r="B2339">
        <f t="shared" ca="1" si="110"/>
        <v>43593.654850530344</v>
      </c>
      <c r="C2339">
        <f t="shared" ca="1" si="108"/>
        <v>0</v>
      </c>
      <c r="D2339">
        <f t="shared" ca="1" si="109"/>
        <v>3593.6548505303435</v>
      </c>
    </row>
    <row r="2340" spans="2:4" x14ac:dyDescent="0.25">
      <c r="B2340">
        <f t="shared" ca="1" si="110"/>
        <v>47887.639463642096</v>
      </c>
      <c r="C2340">
        <f t="shared" ca="1" si="108"/>
        <v>0</v>
      </c>
      <c r="D2340">
        <f t="shared" ca="1" si="109"/>
        <v>7887.6394636420955</v>
      </c>
    </row>
    <row r="2341" spans="2:4" x14ac:dyDescent="0.25">
      <c r="B2341">
        <f t="shared" ca="1" si="110"/>
        <v>51673.350942524608</v>
      </c>
      <c r="C2341">
        <f t="shared" ca="1" si="108"/>
        <v>0</v>
      </c>
      <c r="D2341">
        <f t="shared" ca="1" si="109"/>
        <v>11673.350942524608</v>
      </c>
    </row>
    <row r="2342" spans="2:4" x14ac:dyDescent="0.25">
      <c r="B2342">
        <f t="shared" ca="1" si="110"/>
        <v>38788.657662815429</v>
      </c>
      <c r="C2342">
        <f t="shared" ca="1" si="108"/>
        <v>1211.3423371845711</v>
      </c>
      <c r="D2342">
        <f t="shared" ca="1" si="109"/>
        <v>0</v>
      </c>
    </row>
    <row r="2343" spans="2:4" x14ac:dyDescent="0.25">
      <c r="B2343">
        <f t="shared" ca="1" si="110"/>
        <v>37579.511989774648</v>
      </c>
      <c r="C2343">
        <f t="shared" ca="1" si="108"/>
        <v>2420.4880102253519</v>
      </c>
      <c r="D2343">
        <f t="shared" ca="1" si="109"/>
        <v>0</v>
      </c>
    </row>
    <row r="2344" spans="2:4" x14ac:dyDescent="0.25">
      <c r="B2344">
        <f t="shared" ca="1" si="110"/>
        <v>46168.884150621758</v>
      </c>
      <c r="C2344">
        <f t="shared" ca="1" si="108"/>
        <v>0</v>
      </c>
      <c r="D2344">
        <f t="shared" ca="1" si="109"/>
        <v>6168.8841506217577</v>
      </c>
    </row>
    <row r="2345" spans="2:4" x14ac:dyDescent="0.25">
      <c r="B2345">
        <f t="shared" ca="1" si="110"/>
        <v>47394.268006651568</v>
      </c>
      <c r="C2345">
        <f t="shared" ca="1" si="108"/>
        <v>0</v>
      </c>
      <c r="D2345">
        <f t="shared" ca="1" si="109"/>
        <v>7394.2680066515677</v>
      </c>
    </row>
    <row r="2346" spans="2:4" x14ac:dyDescent="0.25">
      <c r="B2346">
        <f t="shared" ca="1" si="110"/>
        <v>47641.899987019424</v>
      </c>
      <c r="C2346">
        <f t="shared" ca="1" si="108"/>
        <v>0</v>
      </c>
      <c r="D2346">
        <f t="shared" ca="1" si="109"/>
        <v>7641.8999870194239</v>
      </c>
    </row>
    <row r="2347" spans="2:4" x14ac:dyDescent="0.25">
      <c r="B2347">
        <f t="shared" ca="1" si="110"/>
        <v>50202.97569420738</v>
      </c>
      <c r="C2347">
        <f t="shared" ca="1" si="108"/>
        <v>0</v>
      </c>
      <c r="D2347">
        <f t="shared" ca="1" si="109"/>
        <v>10202.97569420738</v>
      </c>
    </row>
    <row r="2348" spans="2:4" x14ac:dyDescent="0.25">
      <c r="B2348">
        <f t="shared" ca="1" si="110"/>
        <v>43634.744303658066</v>
      </c>
      <c r="C2348">
        <f t="shared" ca="1" si="108"/>
        <v>0</v>
      </c>
      <c r="D2348">
        <f t="shared" ca="1" si="109"/>
        <v>3634.7443036580662</v>
      </c>
    </row>
    <row r="2349" spans="2:4" x14ac:dyDescent="0.25">
      <c r="B2349">
        <f t="shared" ca="1" si="110"/>
        <v>42692.629410556896</v>
      </c>
      <c r="C2349">
        <f t="shared" ca="1" si="108"/>
        <v>0</v>
      </c>
      <c r="D2349">
        <f t="shared" ca="1" si="109"/>
        <v>2692.6294105568959</v>
      </c>
    </row>
    <row r="2350" spans="2:4" x14ac:dyDescent="0.25">
      <c r="B2350">
        <f t="shared" ca="1" si="110"/>
        <v>40394.180160102165</v>
      </c>
      <c r="C2350">
        <f t="shared" ca="1" si="108"/>
        <v>0</v>
      </c>
      <c r="D2350">
        <f t="shared" ca="1" si="109"/>
        <v>394.18016010216525</v>
      </c>
    </row>
    <row r="2351" spans="2:4" x14ac:dyDescent="0.25">
      <c r="B2351">
        <f t="shared" ca="1" si="110"/>
        <v>48904.339895162469</v>
      </c>
      <c r="C2351">
        <f t="shared" ca="1" si="108"/>
        <v>0</v>
      </c>
      <c r="D2351">
        <f t="shared" ca="1" si="109"/>
        <v>8904.3398951624695</v>
      </c>
    </row>
    <row r="2352" spans="2:4" x14ac:dyDescent="0.25">
      <c r="B2352">
        <f t="shared" ca="1" si="110"/>
        <v>39843.786759064235</v>
      </c>
      <c r="C2352">
        <f t="shared" ca="1" si="108"/>
        <v>156.2132409357655</v>
      </c>
      <c r="D2352">
        <f t="shared" ca="1" si="109"/>
        <v>0</v>
      </c>
    </row>
    <row r="2353" spans="2:4" x14ac:dyDescent="0.25">
      <c r="B2353">
        <f t="shared" ca="1" si="110"/>
        <v>51085.875978369208</v>
      </c>
      <c r="C2353">
        <f t="shared" ca="1" si="108"/>
        <v>0</v>
      </c>
      <c r="D2353">
        <f t="shared" ca="1" si="109"/>
        <v>11085.875978369208</v>
      </c>
    </row>
    <row r="2354" spans="2:4" x14ac:dyDescent="0.25">
      <c r="B2354">
        <f t="shared" ca="1" si="110"/>
        <v>48254.988198408792</v>
      </c>
      <c r="C2354">
        <f t="shared" ca="1" si="108"/>
        <v>0</v>
      </c>
      <c r="D2354">
        <f t="shared" ca="1" si="109"/>
        <v>8254.9881984087915</v>
      </c>
    </row>
    <row r="2355" spans="2:4" x14ac:dyDescent="0.25">
      <c r="B2355">
        <f t="shared" ca="1" si="110"/>
        <v>42348.299997531387</v>
      </c>
      <c r="C2355">
        <f t="shared" ca="1" si="108"/>
        <v>0</v>
      </c>
      <c r="D2355">
        <f t="shared" ca="1" si="109"/>
        <v>2348.2999975313869</v>
      </c>
    </row>
    <row r="2356" spans="2:4" x14ac:dyDescent="0.25">
      <c r="B2356">
        <f t="shared" ca="1" si="110"/>
        <v>39824.376183705324</v>
      </c>
      <c r="C2356">
        <f t="shared" ca="1" si="108"/>
        <v>175.62381629467563</v>
      </c>
      <c r="D2356">
        <f t="shared" ca="1" si="109"/>
        <v>0</v>
      </c>
    </row>
    <row r="2357" spans="2:4" x14ac:dyDescent="0.25">
      <c r="B2357">
        <f t="shared" ca="1" si="110"/>
        <v>52274.259386530066</v>
      </c>
      <c r="C2357">
        <f t="shared" ca="1" si="108"/>
        <v>0</v>
      </c>
      <c r="D2357">
        <f t="shared" ca="1" si="109"/>
        <v>12274.259386530066</v>
      </c>
    </row>
    <row r="2358" spans="2:4" x14ac:dyDescent="0.25">
      <c r="B2358">
        <f t="shared" ca="1" si="110"/>
        <v>42221.89201176956</v>
      </c>
      <c r="C2358">
        <f t="shared" ca="1" si="108"/>
        <v>0</v>
      </c>
      <c r="D2358">
        <f t="shared" ca="1" si="109"/>
        <v>2221.8920117695598</v>
      </c>
    </row>
    <row r="2359" spans="2:4" x14ac:dyDescent="0.25">
      <c r="B2359">
        <f t="shared" ca="1" si="110"/>
        <v>45409.415639825216</v>
      </c>
      <c r="C2359">
        <f t="shared" ca="1" si="108"/>
        <v>0</v>
      </c>
      <c r="D2359">
        <f t="shared" ca="1" si="109"/>
        <v>5409.4156398252162</v>
      </c>
    </row>
    <row r="2360" spans="2:4" x14ac:dyDescent="0.25">
      <c r="B2360">
        <f t="shared" ca="1" si="110"/>
        <v>48610.610938456717</v>
      </c>
      <c r="C2360">
        <f t="shared" ca="1" si="108"/>
        <v>0</v>
      </c>
      <c r="D2360">
        <f t="shared" ca="1" si="109"/>
        <v>8610.6109384567171</v>
      </c>
    </row>
    <row r="2361" spans="2:4" x14ac:dyDescent="0.25">
      <c r="B2361">
        <f t="shared" ca="1" si="110"/>
        <v>44304.421472996502</v>
      </c>
      <c r="C2361">
        <f t="shared" ca="1" si="108"/>
        <v>0</v>
      </c>
      <c r="D2361">
        <f t="shared" ca="1" si="109"/>
        <v>4304.4214729965024</v>
      </c>
    </row>
    <row r="2362" spans="2:4" x14ac:dyDescent="0.25">
      <c r="B2362">
        <f t="shared" ca="1" si="110"/>
        <v>46664.643514554315</v>
      </c>
      <c r="C2362">
        <f t="shared" ca="1" si="108"/>
        <v>0</v>
      </c>
      <c r="D2362">
        <f t="shared" ca="1" si="109"/>
        <v>6664.6435145543146</v>
      </c>
    </row>
    <row r="2363" spans="2:4" x14ac:dyDescent="0.25">
      <c r="B2363">
        <f t="shared" ca="1" si="110"/>
        <v>49037.403590065464</v>
      </c>
      <c r="C2363">
        <f t="shared" ca="1" si="108"/>
        <v>0</v>
      </c>
      <c r="D2363">
        <f t="shared" ca="1" si="109"/>
        <v>9037.4035900654635</v>
      </c>
    </row>
    <row r="2364" spans="2:4" x14ac:dyDescent="0.25">
      <c r="B2364">
        <f t="shared" ca="1" si="110"/>
        <v>50115.482212051036</v>
      </c>
      <c r="C2364">
        <f t="shared" ca="1" si="108"/>
        <v>0</v>
      </c>
      <c r="D2364">
        <f t="shared" ca="1" si="109"/>
        <v>10115.482212051036</v>
      </c>
    </row>
    <row r="2365" spans="2:4" x14ac:dyDescent="0.25">
      <c r="B2365">
        <f t="shared" ca="1" si="110"/>
        <v>41706.970811623512</v>
      </c>
      <c r="C2365">
        <f t="shared" ca="1" si="108"/>
        <v>0</v>
      </c>
      <c r="D2365">
        <f t="shared" ca="1" si="109"/>
        <v>1706.9708116235124</v>
      </c>
    </row>
    <row r="2366" spans="2:4" x14ac:dyDescent="0.25">
      <c r="B2366">
        <f t="shared" ca="1" si="110"/>
        <v>46741.499603717486</v>
      </c>
      <c r="C2366">
        <f t="shared" ca="1" si="108"/>
        <v>0</v>
      </c>
      <c r="D2366">
        <f t="shared" ca="1" si="109"/>
        <v>6741.499603717486</v>
      </c>
    </row>
    <row r="2367" spans="2:4" x14ac:dyDescent="0.25">
      <c r="B2367">
        <f t="shared" ca="1" si="110"/>
        <v>38681.741855359884</v>
      </c>
      <c r="C2367">
        <f t="shared" ca="1" si="108"/>
        <v>1318.2581446401164</v>
      </c>
      <c r="D2367">
        <f t="shared" ca="1" si="109"/>
        <v>0</v>
      </c>
    </row>
    <row r="2368" spans="2:4" x14ac:dyDescent="0.25">
      <c r="B2368">
        <f t="shared" ca="1" si="110"/>
        <v>47839.550994576748</v>
      </c>
      <c r="C2368">
        <f t="shared" ca="1" si="108"/>
        <v>0</v>
      </c>
      <c r="D2368">
        <f t="shared" ca="1" si="109"/>
        <v>7839.5509945767481</v>
      </c>
    </row>
    <row r="2369" spans="2:4" x14ac:dyDescent="0.25">
      <c r="B2369">
        <f t="shared" ca="1" si="110"/>
        <v>43759.933230881361</v>
      </c>
      <c r="C2369">
        <f t="shared" ca="1" si="108"/>
        <v>0</v>
      </c>
      <c r="D2369">
        <f t="shared" ca="1" si="109"/>
        <v>3759.9332308813609</v>
      </c>
    </row>
    <row r="2370" spans="2:4" x14ac:dyDescent="0.25">
      <c r="B2370">
        <f t="shared" ca="1" si="110"/>
        <v>55477.707927029805</v>
      </c>
      <c r="C2370">
        <f t="shared" ca="1" si="108"/>
        <v>0</v>
      </c>
      <c r="D2370">
        <f t="shared" ca="1" si="109"/>
        <v>15477.707927029805</v>
      </c>
    </row>
    <row r="2371" spans="2:4" x14ac:dyDescent="0.25">
      <c r="B2371">
        <f t="shared" ca="1" si="110"/>
        <v>41627.893894879046</v>
      </c>
      <c r="C2371">
        <f t="shared" ca="1" si="108"/>
        <v>0</v>
      </c>
      <c r="D2371">
        <f t="shared" ca="1" si="109"/>
        <v>1627.8938948790455</v>
      </c>
    </row>
    <row r="2372" spans="2:4" x14ac:dyDescent="0.25">
      <c r="B2372">
        <f t="shared" ca="1" si="110"/>
        <v>38416.419563368821</v>
      </c>
      <c r="C2372">
        <f t="shared" ca="1" si="108"/>
        <v>1583.5804366311786</v>
      </c>
      <c r="D2372">
        <f t="shared" ca="1" si="109"/>
        <v>0</v>
      </c>
    </row>
    <row r="2373" spans="2:4" x14ac:dyDescent="0.25">
      <c r="B2373">
        <f t="shared" ca="1" si="110"/>
        <v>44737.977928043285</v>
      </c>
      <c r="C2373">
        <f t="shared" ca="1" si="108"/>
        <v>0</v>
      </c>
      <c r="D2373">
        <f t="shared" ca="1" si="109"/>
        <v>4737.9779280432849</v>
      </c>
    </row>
    <row r="2374" spans="2:4" x14ac:dyDescent="0.25">
      <c r="B2374">
        <f t="shared" ca="1" si="110"/>
        <v>46703.873831740537</v>
      </c>
      <c r="C2374">
        <f t="shared" ca="1" si="108"/>
        <v>0</v>
      </c>
      <c r="D2374">
        <f t="shared" ca="1" si="109"/>
        <v>6703.8738317405368</v>
      </c>
    </row>
    <row r="2375" spans="2:4" x14ac:dyDescent="0.25">
      <c r="B2375">
        <f t="shared" ca="1" si="110"/>
        <v>41240.219292205627</v>
      </c>
      <c r="C2375">
        <f t="shared" ca="1" si="108"/>
        <v>0</v>
      </c>
      <c r="D2375">
        <f t="shared" ca="1" si="109"/>
        <v>1240.2192922056274</v>
      </c>
    </row>
    <row r="2376" spans="2:4" x14ac:dyDescent="0.25">
      <c r="B2376">
        <f t="shared" ca="1" si="110"/>
        <v>52295.145760496438</v>
      </c>
      <c r="C2376">
        <f t="shared" ca="1" si="108"/>
        <v>0</v>
      </c>
      <c r="D2376">
        <f t="shared" ca="1" si="109"/>
        <v>12295.145760496438</v>
      </c>
    </row>
    <row r="2377" spans="2:4" x14ac:dyDescent="0.25">
      <c r="B2377">
        <f t="shared" ca="1" si="110"/>
        <v>43718.694289761894</v>
      </c>
      <c r="C2377">
        <f t="shared" ca="1" si="108"/>
        <v>0</v>
      </c>
      <c r="D2377">
        <f t="shared" ca="1" si="109"/>
        <v>3718.6942897618937</v>
      </c>
    </row>
    <row r="2378" spans="2:4" x14ac:dyDescent="0.25">
      <c r="B2378">
        <f t="shared" ca="1" si="110"/>
        <v>42149.529237006791</v>
      </c>
      <c r="C2378">
        <f t="shared" ca="1" si="108"/>
        <v>0</v>
      </c>
      <c r="D2378">
        <f t="shared" ca="1" si="109"/>
        <v>2149.5292370067909</v>
      </c>
    </row>
    <row r="2379" spans="2:4" x14ac:dyDescent="0.25">
      <c r="B2379">
        <f t="shared" ca="1" si="110"/>
        <v>50414.825867119267</v>
      </c>
      <c r="C2379">
        <f t="shared" ca="1" si="108"/>
        <v>0</v>
      </c>
      <c r="D2379">
        <f t="shared" ca="1" si="109"/>
        <v>10414.825867119267</v>
      </c>
    </row>
    <row r="2380" spans="2:4" x14ac:dyDescent="0.25">
      <c r="B2380">
        <f t="shared" ca="1" si="110"/>
        <v>51012.105701729954</v>
      </c>
      <c r="C2380">
        <f t="shared" ref="C2380:C2443" ca="1" si="111">IF(MAX($B$2-B2380)&lt;0,0,$B$2-B2380)</f>
        <v>0</v>
      </c>
      <c r="D2380">
        <f t="shared" ref="D2380:D2443" ca="1" si="112">IF(MAX(B2380-$B$2)&lt;0,0,B2380-$B$2)</f>
        <v>11012.105701729954</v>
      </c>
    </row>
    <row r="2381" spans="2:4" x14ac:dyDescent="0.25">
      <c r="B2381">
        <f t="shared" ref="B2381:B2444" ca="1" si="113">$B$1*EXP((($B$4-($B$3^2)/2)*$B$5+$B$3*SQRT($B$5)*NORMSINV(RAND())))</f>
        <v>40359.005733749742</v>
      </c>
      <c r="C2381">
        <f t="shared" ca="1" si="111"/>
        <v>0</v>
      </c>
      <c r="D2381">
        <f t="shared" ca="1" si="112"/>
        <v>359.00573374974192</v>
      </c>
    </row>
    <row r="2382" spans="2:4" x14ac:dyDescent="0.25">
      <c r="B2382">
        <f t="shared" ca="1" si="113"/>
        <v>42262.277037006759</v>
      </c>
      <c r="C2382">
        <f t="shared" ca="1" si="111"/>
        <v>0</v>
      </c>
      <c r="D2382">
        <f t="shared" ca="1" si="112"/>
        <v>2262.2770370067592</v>
      </c>
    </row>
    <row r="2383" spans="2:4" x14ac:dyDescent="0.25">
      <c r="B2383">
        <f t="shared" ca="1" si="113"/>
        <v>46412.117467167307</v>
      </c>
      <c r="C2383">
        <f t="shared" ca="1" si="111"/>
        <v>0</v>
      </c>
      <c r="D2383">
        <f t="shared" ca="1" si="112"/>
        <v>6412.117467167307</v>
      </c>
    </row>
    <row r="2384" spans="2:4" x14ac:dyDescent="0.25">
      <c r="B2384">
        <f t="shared" ca="1" si="113"/>
        <v>40268.338503421815</v>
      </c>
      <c r="C2384">
        <f t="shared" ca="1" si="111"/>
        <v>0</v>
      </c>
      <c r="D2384">
        <f t="shared" ca="1" si="112"/>
        <v>268.3385034218154</v>
      </c>
    </row>
    <row r="2385" spans="2:4" x14ac:dyDescent="0.25">
      <c r="B2385">
        <f t="shared" ca="1" si="113"/>
        <v>38003.325620629796</v>
      </c>
      <c r="C2385">
        <f t="shared" ca="1" si="111"/>
        <v>1996.6743793702044</v>
      </c>
      <c r="D2385">
        <f t="shared" ca="1" si="112"/>
        <v>0</v>
      </c>
    </row>
    <row r="2386" spans="2:4" x14ac:dyDescent="0.25">
      <c r="B2386">
        <f t="shared" ca="1" si="113"/>
        <v>50834.953110003175</v>
      </c>
      <c r="C2386">
        <f t="shared" ca="1" si="111"/>
        <v>0</v>
      </c>
      <c r="D2386">
        <f t="shared" ca="1" si="112"/>
        <v>10834.953110003175</v>
      </c>
    </row>
    <row r="2387" spans="2:4" x14ac:dyDescent="0.25">
      <c r="B2387">
        <f t="shared" ca="1" si="113"/>
        <v>43893.50622582862</v>
      </c>
      <c r="C2387">
        <f t="shared" ca="1" si="111"/>
        <v>0</v>
      </c>
      <c r="D2387">
        <f t="shared" ca="1" si="112"/>
        <v>3893.5062258286198</v>
      </c>
    </row>
    <row r="2388" spans="2:4" x14ac:dyDescent="0.25">
      <c r="B2388">
        <f t="shared" ca="1" si="113"/>
        <v>49316.346636579168</v>
      </c>
      <c r="C2388">
        <f t="shared" ca="1" si="111"/>
        <v>0</v>
      </c>
      <c r="D2388">
        <f t="shared" ca="1" si="112"/>
        <v>9316.3466365791683</v>
      </c>
    </row>
    <row r="2389" spans="2:4" x14ac:dyDescent="0.25">
      <c r="B2389">
        <f t="shared" ca="1" si="113"/>
        <v>47516.888423039738</v>
      </c>
      <c r="C2389">
        <f t="shared" ca="1" si="111"/>
        <v>0</v>
      </c>
      <c r="D2389">
        <f t="shared" ca="1" si="112"/>
        <v>7516.888423039738</v>
      </c>
    </row>
    <row r="2390" spans="2:4" x14ac:dyDescent="0.25">
      <c r="B2390">
        <f t="shared" ca="1" si="113"/>
        <v>45502.839778613066</v>
      </c>
      <c r="C2390">
        <f t="shared" ca="1" si="111"/>
        <v>0</v>
      </c>
      <c r="D2390">
        <f t="shared" ca="1" si="112"/>
        <v>5502.8397786130663</v>
      </c>
    </row>
    <row r="2391" spans="2:4" x14ac:dyDescent="0.25">
      <c r="B2391">
        <f t="shared" ca="1" si="113"/>
        <v>36462.363586010819</v>
      </c>
      <c r="C2391">
        <f t="shared" ca="1" si="111"/>
        <v>3537.6364139891812</v>
      </c>
      <c r="D2391">
        <f t="shared" ca="1" si="112"/>
        <v>0</v>
      </c>
    </row>
    <row r="2392" spans="2:4" x14ac:dyDescent="0.25">
      <c r="B2392">
        <f t="shared" ca="1" si="113"/>
        <v>46240.769158254407</v>
      </c>
      <c r="C2392">
        <f t="shared" ca="1" si="111"/>
        <v>0</v>
      </c>
      <c r="D2392">
        <f t="shared" ca="1" si="112"/>
        <v>6240.7691582544066</v>
      </c>
    </row>
    <row r="2393" spans="2:4" x14ac:dyDescent="0.25">
      <c r="B2393">
        <f t="shared" ca="1" si="113"/>
        <v>40188.942112372199</v>
      </c>
      <c r="C2393">
        <f t="shared" ca="1" si="111"/>
        <v>0</v>
      </c>
      <c r="D2393">
        <f t="shared" ca="1" si="112"/>
        <v>188.94211237219861</v>
      </c>
    </row>
    <row r="2394" spans="2:4" x14ac:dyDescent="0.25">
      <c r="B2394">
        <f t="shared" ca="1" si="113"/>
        <v>48288.783516095413</v>
      </c>
      <c r="C2394">
        <f t="shared" ca="1" si="111"/>
        <v>0</v>
      </c>
      <c r="D2394">
        <f t="shared" ca="1" si="112"/>
        <v>8288.7835160954128</v>
      </c>
    </row>
    <row r="2395" spans="2:4" x14ac:dyDescent="0.25">
      <c r="B2395">
        <f t="shared" ca="1" si="113"/>
        <v>48141.277516806702</v>
      </c>
      <c r="C2395">
        <f t="shared" ca="1" si="111"/>
        <v>0</v>
      </c>
      <c r="D2395">
        <f t="shared" ca="1" si="112"/>
        <v>8141.2775168067019</v>
      </c>
    </row>
    <row r="2396" spans="2:4" x14ac:dyDescent="0.25">
      <c r="B2396">
        <f t="shared" ca="1" si="113"/>
        <v>40712.865438404529</v>
      </c>
      <c r="C2396">
        <f t="shared" ca="1" si="111"/>
        <v>0</v>
      </c>
      <c r="D2396">
        <f t="shared" ca="1" si="112"/>
        <v>712.86543840452941</v>
      </c>
    </row>
    <row r="2397" spans="2:4" x14ac:dyDescent="0.25">
      <c r="B2397">
        <f t="shared" ca="1" si="113"/>
        <v>60309.54949881613</v>
      </c>
      <c r="C2397">
        <f t="shared" ca="1" si="111"/>
        <v>0</v>
      </c>
      <c r="D2397">
        <f t="shared" ca="1" si="112"/>
        <v>20309.54949881613</v>
      </c>
    </row>
    <row r="2398" spans="2:4" x14ac:dyDescent="0.25">
      <c r="B2398">
        <f t="shared" ca="1" si="113"/>
        <v>48425.937834300465</v>
      </c>
      <c r="C2398">
        <f t="shared" ca="1" si="111"/>
        <v>0</v>
      </c>
      <c r="D2398">
        <f t="shared" ca="1" si="112"/>
        <v>8425.9378343004646</v>
      </c>
    </row>
    <row r="2399" spans="2:4" x14ac:dyDescent="0.25">
      <c r="B2399">
        <f t="shared" ca="1" si="113"/>
        <v>35618.39241724235</v>
      </c>
      <c r="C2399">
        <f t="shared" ca="1" si="111"/>
        <v>4381.6075827576497</v>
      </c>
      <c r="D2399">
        <f t="shared" ca="1" si="112"/>
        <v>0</v>
      </c>
    </row>
    <row r="2400" spans="2:4" x14ac:dyDescent="0.25">
      <c r="B2400">
        <f t="shared" ca="1" si="113"/>
        <v>39029.071114149563</v>
      </c>
      <c r="C2400">
        <f t="shared" ca="1" si="111"/>
        <v>970.92888585043693</v>
      </c>
      <c r="D2400">
        <f t="shared" ca="1" si="112"/>
        <v>0</v>
      </c>
    </row>
    <row r="2401" spans="2:4" x14ac:dyDescent="0.25">
      <c r="B2401">
        <f t="shared" ca="1" si="113"/>
        <v>44143.75120425249</v>
      </c>
      <c r="C2401">
        <f t="shared" ca="1" si="111"/>
        <v>0</v>
      </c>
      <c r="D2401">
        <f t="shared" ca="1" si="112"/>
        <v>4143.7512042524904</v>
      </c>
    </row>
    <row r="2402" spans="2:4" x14ac:dyDescent="0.25">
      <c r="B2402">
        <f t="shared" ca="1" si="113"/>
        <v>50700.644798490459</v>
      </c>
      <c r="C2402">
        <f t="shared" ca="1" si="111"/>
        <v>0</v>
      </c>
      <c r="D2402">
        <f t="shared" ca="1" si="112"/>
        <v>10700.644798490459</v>
      </c>
    </row>
    <row r="2403" spans="2:4" x14ac:dyDescent="0.25">
      <c r="B2403">
        <f t="shared" ca="1" si="113"/>
        <v>46541.201517802634</v>
      </c>
      <c r="C2403">
        <f t="shared" ca="1" si="111"/>
        <v>0</v>
      </c>
      <c r="D2403">
        <f t="shared" ca="1" si="112"/>
        <v>6541.201517802634</v>
      </c>
    </row>
    <row r="2404" spans="2:4" x14ac:dyDescent="0.25">
      <c r="B2404">
        <f t="shared" ca="1" si="113"/>
        <v>45044.878016498566</v>
      </c>
      <c r="C2404">
        <f t="shared" ca="1" si="111"/>
        <v>0</v>
      </c>
      <c r="D2404">
        <f t="shared" ca="1" si="112"/>
        <v>5044.8780164985656</v>
      </c>
    </row>
    <row r="2405" spans="2:4" x14ac:dyDescent="0.25">
      <c r="B2405">
        <f t="shared" ca="1" si="113"/>
        <v>46280.867403094409</v>
      </c>
      <c r="C2405">
        <f t="shared" ca="1" si="111"/>
        <v>0</v>
      </c>
      <c r="D2405">
        <f t="shared" ca="1" si="112"/>
        <v>6280.8674030944094</v>
      </c>
    </row>
    <row r="2406" spans="2:4" x14ac:dyDescent="0.25">
      <c r="B2406">
        <f t="shared" ca="1" si="113"/>
        <v>37287.385419278806</v>
      </c>
      <c r="C2406">
        <f t="shared" ca="1" si="111"/>
        <v>2712.6145807211942</v>
      </c>
      <c r="D2406">
        <f t="shared" ca="1" si="112"/>
        <v>0</v>
      </c>
    </row>
    <row r="2407" spans="2:4" x14ac:dyDescent="0.25">
      <c r="B2407">
        <f t="shared" ca="1" si="113"/>
        <v>41546.012472931638</v>
      </c>
      <c r="C2407">
        <f t="shared" ca="1" si="111"/>
        <v>0</v>
      </c>
      <c r="D2407">
        <f t="shared" ca="1" si="112"/>
        <v>1546.0124729316376</v>
      </c>
    </row>
    <row r="2408" spans="2:4" x14ac:dyDescent="0.25">
      <c r="B2408">
        <f t="shared" ca="1" si="113"/>
        <v>49362.896704258637</v>
      </c>
      <c r="C2408">
        <f t="shared" ca="1" si="111"/>
        <v>0</v>
      </c>
      <c r="D2408">
        <f t="shared" ca="1" si="112"/>
        <v>9362.8967042586373</v>
      </c>
    </row>
    <row r="2409" spans="2:4" x14ac:dyDescent="0.25">
      <c r="B2409">
        <f t="shared" ca="1" si="113"/>
        <v>43196.807598182299</v>
      </c>
      <c r="C2409">
        <f t="shared" ca="1" si="111"/>
        <v>0</v>
      </c>
      <c r="D2409">
        <f t="shared" ca="1" si="112"/>
        <v>3196.8075981822985</v>
      </c>
    </row>
    <row r="2410" spans="2:4" x14ac:dyDescent="0.25">
      <c r="B2410">
        <f t="shared" ca="1" si="113"/>
        <v>45222.369905873311</v>
      </c>
      <c r="C2410">
        <f t="shared" ca="1" si="111"/>
        <v>0</v>
      </c>
      <c r="D2410">
        <f t="shared" ca="1" si="112"/>
        <v>5222.3699058733109</v>
      </c>
    </row>
    <row r="2411" spans="2:4" x14ac:dyDescent="0.25">
      <c r="B2411">
        <f t="shared" ca="1" si="113"/>
        <v>47771.499830984991</v>
      </c>
      <c r="C2411">
        <f t="shared" ca="1" si="111"/>
        <v>0</v>
      </c>
      <c r="D2411">
        <f t="shared" ca="1" si="112"/>
        <v>7771.4998309849907</v>
      </c>
    </row>
    <row r="2412" spans="2:4" x14ac:dyDescent="0.25">
      <c r="B2412">
        <f t="shared" ca="1" si="113"/>
        <v>45525.33355144348</v>
      </c>
      <c r="C2412">
        <f t="shared" ca="1" si="111"/>
        <v>0</v>
      </c>
      <c r="D2412">
        <f t="shared" ca="1" si="112"/>
        <v>5525.3335514434802</v>
      </c>
    </row>
    <row r="2413" spans="2:4" x14ac:dyDescent="0.25">
      <c r="B2413">
        <f t="shared" ca="1" si="113"/>
        <v>42536.310229212562</v>
      </c>
      <c r="C2413">
        <f t="shared" ca="1" si="111"/>
        <v>0</v>
      </c>
      <c r="D2413">
        <f t="shared" ca="1" si="112"/>
        <v>2536.3102292125623</v>
      </c>
    </row>
    <row r="2414" spans="2:4" x14ac:dyDescent="0.25">
      <c r="B2414">
        <f t="shared" ca="1" si="113"/>
        <v>39920.438619942383</v>
      </c>
      <c r="C2414">
        <f t="shared" ca="1" si="111"/>
        <v>79.561380057617498</v>
      </c>
      <c r="D2414">
        <f t="shared" ca="1" si="112"/>
        <v>0</v>
      </c>
    </row>
    <row r="2415" spans="2:4" x14ac:dyDescent="0.25">
      <c r="B2415">
        <f t="shared" ca="1" si="113"/>
        <v>48233.468568109041</v>
      </c>
      <c r="C2415">
        <f t="shared" ca="1" si="111"/>
        <v>0</v>
      </c>
      <c r="D2415">
        <f t="shared" ca="1" si="112"/>
        <v>8233.4685681090414</v>
      </c>
    </row>
    <row r="2416" spans="2:4" x14ac:dyDescent="0.25">
      <c r="B2416">
        <f t="shared" ca="1" si="113"/>
        <v>39320.648609133314</v>
      </c>
      <c r="C2416">
        <f t="shared" ca="1" si="111"/>
        <v>679.35139086668642</v>
      </c>
      <c r="D2416">
        <f t="shared" ca="1" si="112"/>
        <v>0</v>
      </c>
    </row>
    <row r="2417" spans="2:4" x14ac:dyDescent="0.25">
      <c r="B2417">
        <f t="shared" ca="1" si="113"/>
        <v>48044.96334153397</v>
      </c>
      <c r="C2417">
        <f t="shared" ca="1" si="111"/>
        <v>0</v>
      </c>
      <c r="D2417">
        <f t="shared" ca="1" si="112"/>
        <v>8044.9633415339704</v>
      </c>
    </row>
    <row r="2418" spans="2:4" x14ac:dyDescent="0.25">
      <c r="B2418">
        <f t="shared" ca="1" si="113"/>
        <v>45122.203930976641</v>
      </c>
      <c r="C2418">
        <f t="shared" ca="1" si="111"/>
        <v>0</v>
      </c>
      <c r="D2418">
        <f t="shared" ca="1" si="112"/>
        <v>5122.2039309766405</v>
      </c>
    </row>
    <row r="2419" spans="2:4" x14ac:dyDescent="0.25">
      <c r="B2419">
        <f t="shared" ca="1" si="113"/>
        <v>41838.716147729283</v>
      </c>
      <c r="C2419">
        <f t="shared" ca="1" si="111"/>
        <v>0</v>
      </c>
      <c r="D2419">
        <f t="shared" ca="1" si="112"/>
        <v>1838.716147729283</v>
      </c>
    </row>
    <row r="2420" spans="2:4" x14ac:dyDescent="0.25">
      <c r="B2420">
        <f t="shared" ca="1" si="113"/>
        <v>44096.463923957148</v>
      </c>
      <c r="C2420">
        <f t="shared" ca="1" si="111"/>
        <v>0</v>
      </c>
      <c r="D2420">
        <f t="shared" ca="1" si="112"/>
        <v>4096.4639239571479</v>
      </c>
    </row>
    <row r="2421" spans="2:4" x14ac:dyDescent="0.25">
      <c r="B2421">
        <f t="shared" ca="1" si="113"/>
        <v>39025.967631066691</v>
      </c>
      <c r="C2421">
        <f t="shared" ca="1" si="111"/>
        <v>974.03236893330904</v>
      </c>
      <c r="D2421">
        <f t="shared" ca="1" si="112"/>
        <v>0</v>
      </c>
    </row>
    <row r="2422" spans="2:4" x14ac:dyDescent="0.25">
      <c r="B2422">
        <f t="shared" ca="1" si="113"/>
        <v>47925.118175564967</v>
      </c>
      <c r="C2422">
        <f t="shared" ca="1" si="111"/>
        <v>0</v>
      </c>
      <c r="D2422">
        <f t="shared" ca="1" si="112"/>
        <v>7925.1181755649668</v>
      </c>
    </row>
    <row r="2423" spans="2:4" x14ac:dyDescent="0.25">
      <c r="B2423">
        <f t="shared" ca="1" si="113"/>
        <v>42148.479809762604</v>
      </c>
      <c r="C2423">
        <f t="shared" ca="1" si="111"/>
        <v>0</v>
      </c>
      <c r="D2423">
        <f t="shared" ca="1" si="112"/>
        <v>2148.4798097626044</v>
      </c>
    </row>
    <row r="2424" spans="2:4" x14ac:dyDescent="0.25">
      <c r="B2424">
        <f t="shared" ca="1" si="113"/>
        <v>42026.30533418509</v>
      </c>
      <c r="C2424">
        <f t="shared" ca="1" si="111"/>
        <v>0</v>
      </c>
      <c r="D2424">
        <f t="shared" ca="1" si="112"/>
        <v>2026.30533418509</v>
      </c>
    </row>
    <row r="2425" spans="2:4" x14ac:dyDescent="0.25">
      <c r="B2425">
        <f t="shared" ca="1" si="113"/>
        <v>42911.132572317409</v>
      </c>
      <c r="C2425">
        <f t="shared" ca="1" si="111"/>
        <v>0</v>
      </c>
      <c r="D2425">
        <f t="shared" ca="1" si="112"/>
        <v>2911.1325723174086</v>
      </c>
    </row>
    <row r="2426" spans="2:4" x14ac:dyDescent="0.25">
      <c r="B2426">
        <f t="shared" ca="1" si="113"/>
        <v>47862.709374376238</v>
      </c>
      <c r="C2426">
        <f t="shared" ca="1" si="111"/>
        <v>0</v>
      </c>
      <c r="D2426">
        <f t="shared" ca="1" si="112"/>
        <v>7862.709374376238</v>
      </c>
    </row>
    <row r="2427" spans="2:4" x14ac:dyDescent="0.25">
      <c r="B2427">
        <f t="shared" ca="1" si="113"/>
        <v>49331.322266553354</v>
      </c>
      <c r="C2427">
        <f t="shared" ca="1" si="111"/>
        <v>0</v>
      </c>
      <c r="D2427">
        <f t="shared" ca="1" si="112"/>
        <v>9331.322266553354</v>
      </c>
    </row>
    <row r="2428" spans="2:4" x14ac:dyDescent="0.25">
      <c r="B2428">
        <f t="shared" ca="1" si="113"/>
        <v>42396.940953358826</v>
      </c>
      <c r="C2428">
        <f t="shared" ca="1" si="111"/>
        <v>0</v>
      </c>
      <c r="D2428">
        <f t="shared" ca="1" si="112"/>
        <v>2396.9409533588259</v>
      </c>
    </row>
    <row r="2429" spans="2:4" x14ac:dyDescent="0.25">
      <c r="B2429">
        <f t="shared" ca="1" si="113"/>
        <v>46079.269015938</v>
      </c>
      <c r="C2429">
        <f t="shared" ca="1" si="111"/>
        <v>0</v>
      </c>
      <c r="D2429">
        <f t="shared" ca="1" si="112"/>
        <v>6079.2690159379999</v>
      </c>
    </row>
    <row r="2430" spans="2:4" x14ac:dyDescent="0.25">
      <c r="B2430">
        <f t="shared" ca="1" si="113"/>
        <v>43963.120590443439</v>
      </c>
      <c r="C2430">
        <f t="shared" ca="1" si="111"/>
        <v>0</v>
      </c>
      <c r="D2430">
        <f t="shared" ca="1" si="112"/>
        <v>3963.1205904434391</v>
      </c>
    </row>
    <row r="2431" spans="2:4" x14ac:dyDescent="0.25">
      <c r="B2431">
        <f t="shared" ca="1" si="113"/>
        <v>45129.46458088603</v>
      </c>
      <c r="C2431">
        <f t="shared" ca="1" si="111"/>
        <v>0</v>
      </c>
      <c r="D2431">
        <f t="shared" ca="1" si="112"/>
        <v>5129.4645808860296</v>
      </c>
    </row>
    <row r="2432" spans="2:4" x14ac:dyDescent="0.25">
      <c r="B2432">
        <f t="shared" ca="1" si="113"/>
        <v>51922.294629408017</v>
      </c>
      <c r="C2432">
        <f t="shared" ca="1" si="111"/>
        <v>0</v>
      </c>
      <c r="D2432">
        <f t="shared" ca="1" si="112"/>
        <v>11922.294629408017</v>
      </c>
    </row>
    <row r="2433" spans="2:4" x14ac:dyDescent="0.25">
      <c r="B2433">
        <f t="shared" ca="1" si="113"/>
        <v>43056.975268145572</v>
      </c>
      <c r="C2433">
        <f t="shared" ca="1" si="111"/>
        <v>0</v>
      </c>
      <c r="D2433">
        <f t="shared" ca="1" si="112"/>
        <v>3056.975268145572</v>
      </c>
    </row>
    <row r="2434" spans="2:4" x14ac:dyDescent="0.25">
      <c r="B2434">
        <f t="shared" ca="1" si="113"/>
        <v>37520.015140382064</v>
      </c>
      <c r="C2434">
        <f t="shared" ca="1" si="111"/>
        <v>2479.9848596179363</v>
      </c>
      <c r="D2434">
        <f t="shared" ca="1" si="112"/>
        <v>0</v>
      </c>
    </row>
    <row r="2435" spans="2:4" x14ac:dyDescent="0.25">
      <c r="B2435">
        <f t="shared" ca="1" si="113"/>
        <v>42811.515619497135</v>
      </c>
      <c r="C2435">
        <f t="shared" ca="1" si="111"/>
        <v>0</v>
      </c>
      <c r="D2435">
        <f t="shared" ca="1" si="112"/>
        <v>2811.515619497135</v>
      </c>
    </row>
    <row r="2436" spans="2:4" x14ac:dyDescent="0.25">
      <c r="B2436">
        <f t="shared" ca="1" si="113"/>
        <v>49486.716437234289</v>
      </c>
      <c r="C2436">
        <f t="shared" ca="1" si="111"/>
        <v>0</v>
      </c>
      <c r="D2436">
        <f t="shared" ca="1" si="112"/>
        <v>9486.7164372342886</v>
      </c>
    </row>
    <row r="2437" spans="2:4" x14ac:dyDescent="0.25">
      <c r="B2437">
        <f t="shared" ca="1" si="113"/>
        <v>40252.979464572127</v>
      </c>
      <c r="C2437">
        <f t="shared" ca="1" si="111"/>
        <v>0</v>
      </c>
      <c r="D2437">
        <f t="shared" ca="1" si="112"/>
        <v>252.97946457212674</v>
      </c>
    </row>
    <row r="2438" spans="2:4" x14ac:dyDescent="0.25">
      <c r="B2438">
        <f t="shared" ca="1" si="113"/>
        <v>39449.996714915353</v>
      </c>
      <c r="C2438">
        <f t="shared" ca="1" si="111"/>
        <v>550.00328508464736</v>
      </c>
      <c r="D2438">
        <f t="shared" ca="1" si="112"/>
        <v>0</v>
      </c>
    </row>
    <row r="2439" spans="2:4" x14ac:dyDescent="0.25">
      <c r="B2439">
        <f t="shared" ca="1" si="113"/>
        <v>42100.381311510166</v>
      </c>
      <c r="C2439">
        <f t="shared" ca="1" si="111"/>
        <v>0</v>
      </c>
      <c r="D2439">
        <f t="shared" ca="1" si="112"/>
        <v>2100.3813115101657</v>
      </c>
    </row>
    <row r="2440" spans="2:4" x14ac:dyDescent="0.25">
      <c r="B2440">
        <f t="shared" ca="1" si="113"/>
        <v>47454.854932686416</v>
      </c>
      <c r="C2440">
        <f t="shared" ca="1" si="111"/>
        <v>0</v>
      </c>
      <c r="D2440">
        <f t="shared" ca="1" si="112"/>
        <v>7454.8549326864159</v>
      </c>
    </row>
    <row r="2441" spans="2:4" x14ac:dyDescent="0.25">
      <c r="B2441">
        <f t="shared" ca="1" si="113"/>
        <v>43642.628906656319</v>
      </c>
      <c r="C2441">
        <f t="shared" ca="1" si="111"/>
        <v>0</v>
      </c>
      <c r="D2441">
        <f t="shared" ca="1" si="112"/>
        <v>3642.6289066563186</v>
      </c>
    </row>
    <row r="2442" spans="2:4" x14ac:dyDescent="0.25">
      <c r="B2442">
        <f t="shared" ca="1" si="113"/>
        <v>46452.881523416167</v>
      </c>
      <c r="C2442">
        <f t="shared" ca="1" si="111"/>
        <v>0</v>
      </c>
      <c r="D2442">
        <f t="shared" ca="1" si="112"/>
        <v>6452.8815234161666</v>
      </c>
    </row>
    <row r="2443" spans="2:4" x14ac:dyDescent="0.25">
      <c r="B2443">
        <f t="shared" ca="1" si="113"/>
        <v>44554.555617205995</v>
      </c>
      <c r="C2443">
        <f t="shared" ca="1" si="111"/>
        <v>0</v>
      </c>
      <c r="D2443">
        <f t="shared" ca="1" si="112"/>
        <v>4554.5556172059951</v>
      </c>
    </row>
    <row r="2444" spans="2:4" x14ac:dyDescent="0.25">
      <c r="B2444">
        <f t="shared" ca="1" si="113"/>
        <v>47105.926481579947</v>
      </c>
      <c r="C2444">
        <f t="shared" ref="C2444:C2507" ca="1" si="114">IF(MAX($B$2-B2444)&lt;0,0,$B$2-B2444)</f>
        <v>0</v>
      </c>
      <c r="D2444">
        <f t="shared" ref="D2444:D2507" ca="1" si="115">IF(MAX(B2444-$B$2)&lt;0,0,B2444-$B$2)</f>
        <v>7105.926481579947</v>
      </c>
    </row>
    <row r="2445" spans="2:4" x14ac:dyDescent="0.25">
      <c r="B2445">
        <f t="shared" ref="B2445:B2508" ca="1" si="116">$B$1*EXP((($B$4-($B$3^2)/2)*$B$5+$B$3*SQRT($B$5)*NORMSINV(RAND())))</f>
        <v>49435.036773860811</v>
      </c>
      <c r="C2445">
        <f t="shared" ca="1" si="114"/>
        <v>0</v>
      </c>
      <c r="D2445">
        <f t="shared" ca="1" si="115"/>
        <v>9435.0367738608111</v>
      </c>
    </row>
    <row r="2446" spans="2:4" x14ac:dyDescent="0.25">
      <c r="B2446">
        <f t="shared" ca="1" si="116"/>
        <v>41664.109279582066</v>
      </c>
      <c r="C2446">
        <f t="shared" ca="1" si="114"/>
        <v>0</v>
      </c>
      <c r="D2446">
        <f t="shared" ca="1" si="115"/>
        <v>1664.1092795820659</v>
      </c>
    </row>
    <row r="2447" spans="2:4" x14ac:dyDescent="0.25">
      <c r="B2447">
        <f t="shared" ca="1" si="116"/>
        <v>48861.498762273819</v>
      </c>
      <c r="C2447">
        <f t="shared" ca="1" si="114"/>
        <v>0</v>
      </c>
      <c r="D2447">
        <f t="shared" ca="1" si="115"/>
        <v>8861.498762273819</v>
      </c>
    </row>
    <row r="2448" spans="2:4" x14ac:dyDescent="0.25">
      <c r="B2448">
        <f t="shared" ca="1" si="116"/>
        <v>42167.388291409341</v>
      </c>
      <c r="C2448">
        <f t="shared" ca="1" si="114"/>
        <v>0</v>
      </c>
      <c r="D2448">
        <f t="shared" ca="1" si="115"/>
        <v>2167.388291409341</v>
      </c>
    </row>
    <row r="2449" spans="2:4" x14ac:dyDescent="0.25">
      <c r="B2449">
        <f t="shared" ca="1" si="116"/>
        <v>51449.404595613407</v>
      </c>
      <c r="C2449">
        <f t="shared" ca="1" si="114"/>
        <v>0</v>
      </c>
      <c r="D2449">
        <f t="shared" ca="1" si="115"/>
        <v>11449.404595613407</v>
      </c>
    </row>
    <row r="2450" spans="2:4" x14ac:dyDescent="0.25">
      <c r="B2450">
        <f t="shared" ca="1" si="116"/>
        <v>45821.218680373167</v>
      </c>
      <c r="C2450">
        <f t="shared" ca="1" si="114"/>
        <v>0</v>
      </c>
      <c r="D2450">
        <f t="shared" ca="1" si="115"/>
        <v>5821.2186803731674</v>
      </c>
    </row>
    <row r="2451" spans="2:4" x14ac:dyDescent="0.25">
      <c r="B2451">
        <f t="shared" ca="1" si="116"/>
        <v>41329.439802109162</v>
      </c>
      <c r="C2451">
        <f t="shared" ca="1" si="114"/>
        <v>0</v>
      </c>
      <c r="D2451">
        <f t="shared" ca="1" si="115"/>
        <v>1329.439802109162</v>
      </c>
    </row>
    <row r="2452" spans="2:4" x14ac:dyDescent="0.25">
      <c r="B2452">
        <f t="shared" ca="1" si="116"/>
        <v>42140.383526240577</v>
      </c>
      <c r="C2452">
        <f t="shared" ca="1" si="114"/>
        <v>0</v>
      </c>
      <c r="D2452">
        <f t="shared" ca="1" si="115"/>
        <v>2140.3835262405773</v>
      </c>
    </row>
    <row r="2453" spans="2:4" x14ac:dyDescent="0.25">
      <c r="B2453">
        <f t="shared" ca="1" si="116"/>
        <v>42431.897662395422</v>
      </c>
      <c r="C2453">
        <f t="shared" ca="1" si="114"/>
        <v>0</v>
      </c>
      <c r="D2453">
        <f t="shared" ca="1" si="115"/>
        <v>2431.8976623954222</v>
      </c>
    </row>
    <row r="2454" spans="2:4" x14ac:dyDescent="0.25">
      <c r="B2454">
        <f t="shared" ca="1" si="116"/>
        <v>46171.183991811398</v>
      </c>
      <c r="C2454">
        <f t="shared" ca="1" si="114"/>
        <v>0</v>
      </c>
      <c r="D2454">
        <f t="shared" ca="1" si="115"/>
        <v>6171.1839918113983</v>
      </c>
    </row>
    <row r="2455" spans="2:4" x14ac:dyDescent="0.25">
      <c r="B2455">
        <f t="shared" ca="1" si="116"/>
        <v>43522.089419749791</v>
      </c>
      <c r="C2455">
        <f t="shared" ca="1" si="114"/>
        <v>0</v>
      </c>
      <c r="D2455">
        <f t="shared" ca="1" si="115"/>
        <v>3522.089419749791</v>
      </c>
    </row>
    <row r="2456" spans="2:4" x14ac:dyDescent="0.25">
      <c r="B2456">
        <f t="shared" ca="1" si="116"/>
        <v>41600.394408981592</v>
      </c>
      <c r="C2456">
        <f t="shared" ca="1" si="114"/>
        <v>0</v>
      </c>
      <c r="D2456">
        <f t="shared" ca="1" si="115"/>
        <v>1600.3944089815923</v>
      </c>
    </row>
    <row r="2457" spans="2:4" x14ac:dyDescent="0.25">
      <c r="B2457">
        <f t="shared" ca="1" si="116"/>
        <v>39158.199076138619</v>
      </c>
      <c r="C2457">
        <f t="shared" ca="1" si="114"/>
        <v>841.80092386138131</v>
      </c>
      <c r="D2457">
        <f t="shared" ca="1" si="115"/>
        <v>0</v>
      </c>
    </row>
    <row r="2458" spans="2:4" x14ac:dyDescent="0.25">
      <c r="B2458">
        <f t="shared" ca="1" si="116"/>
        <v>49180.394659754151</v>
      </c>
      <c r="C2458">
        <f t="shared" ca="1" si="114"/>
        <v>0</v>
      </c>
      <c r="D2458">
        <f t="shared" ca="1" si="115"/>
        <v>9180.3946597541508</v>
      </c>
    </row>
    <row r="2459" spans="2:4" x14ac:dyDescent="0.25">
      <c r="B2459">
        <f t="shared" ca="1" si="116"/>
        <v>47475.989791230801</v>
      </c>
      <c r="C2459">
        <f t="shared" ca="1" si="114"/>
        <v>0</v>
      </c>
      <c r="D2459">
        <f t="shared" ca="1" si="115"/>
        <v>7475.9897912308006</v>
      </c>
    </row>
    <row r="2460" spans="2:4" x14ac:dyDescent="0.25">
      <c r="B2460">
        <f t="shared" ca="1" si="116"/>
        <v>47406.85860134945</v>
      </c>
      <c r="C2460">
        <f t="shared" ca="1" si="114"/>
        <v>0</v>
      </c>
      <c r="D2460">
        <f t="shared" ca="1" si="115"/>
        <v>7406.8586013494496</v>
      </c>
    </row>
    <row r="2461" spans="2:4" x14ac:dyDescent="0.25">
      <c r="B2461">
        <f t="shared" ca="1" si="116"/>
        <v>39645.003142366564</v>
      </c>
      <c r="C2461">
        <f t="shared" ca="1" si="114"/>
        <v>354.99685763343587</v>
      </c>
      <c r="D2461">
        <f t="shared" ca="1" si="115"/>
        <v>0</v>
      </c>
    </row>
    <row r="2462" spans="2:4" x14ac:dyDescent="0.25">
      <c r="B2462">
        <f t="shared" ca="1" si="116"/>
        <v>45675.647115983367</v>
      </c>
      <c r="C2462">
        <f t="shared" ca="1" si="114"/>
        <v>0</v>
      </c>
      <c r="D2462">
        <f t="shared" ca="1" si="115"/>
        <v>5675.6471159833673</v>
      </c>
    </row>
    <row r="2463" spans="2:4" x14ac:dyDescent="0.25">
      <c r="B2463">
        <f t="shared" ca="1" si="116"/>
        <v>46284.700742706103</v>
      </c>
      <c r="C2463">
        <f t="shared" ca="1" si="114"/>
        <v>0</v>
      </c>
      <c r="D2463">
        <f t="shared" ca="1" si="115"/>
        <v>6284.7007427061035</v>
      </c>
    </row>
    <row r="2464" spans="2:4" x14ac:dyDescent="0.25">
      <c r="B2464">
        <f t="shared" ca="1" si="116"/>
        <v>39991.325626036589</v>
      </c>
      <c r="C2464">
        <f t="shared" ca="1" si="114"/>
        <v>8.6743739634111989</v>
      </c>
      <c r="D2464">
        <f t="shared" ca="1" si="115"/>
        <v>0</v>
      </c>
    </row>
    <row r="2465" spans="2:4" x14ac:dyDescent="0.25">
      <c r="B2465">
        <f t="shared" ca="1" si="116"/>
        <v>40364.122389954464</v>
      </c>
      <c r="C2465">
        <f t="shared" ca="1" si="114"/>
        <v>0</v>
      </c>
      <c r="D2465">
        <f t="shared" ca="1" si="115"/>
        <v>364.12238995446387</v>
      </c>
    </row>
    <row r="2466" spans="2:4" x14ac:dyDescent="0.25">
      <c r="B2466">
        <f t="shared" ca="1" si="116"/>
        <v>46676.064832219992</v>
      </c>
      <c r="C2466">
        <f t="shared" ca="1" si="114"/>
        <v>0</v>
      </c>
      <c r="D2466">
        <f t="shared" ca="1" si="115"/>
        <v>6676.0648322199922</v>
      </c>
    </row>
    <row r="2467" spans="2:4" x14ac:dyDescent="0.25">
      <c r="B2467">
        <f t="shared" ca="1" si="116"/>
        <v>44208.628940747585</v>
      </c>
      <c r="C2467">
        <f t="shared" ca="1" si="114"/>
        <v>0</v>
      </c>
      <c r="D2467">
        <f t="shared" ca="1" si="115"/>
        <v>4208.6289407475851</v>
      </c>
    </row>
    <row r="2468" spans="2:4" x14ac:dyDescent="0.25">
      <c r="B2468">
        <f t="shared" ca="1" si="116"/>
        <v>48500.475895950287</v>
      </c>
      <c r="C2468">
        <f t="shared" ca="1" si="114"/>
        <v>0</v>
      </c>
      <c r="D2468">
        <f t="shared" ca="1" si="115"/>
        <v>8500.4758959502869</v>
      </c>
    </row>
    <row r="2469" spans="2:4" x14ac:dyDescent="0.25">
      <c r="B2469">
        <f t="shared" ca="1" si="116"/>
        <v>47482.890346851971</v>
      </c>
      <c r="C2469">
        <f t="shared" ca="1" si="114"/>
        <v>0</v>
      </c>
      <c r="D2469">
        <f t="shared" ca="1" si="115"/>
        <v>7482.8903468519711</v>
      </c>
    </row>
    <row r="2470" spans="2:4" x14ac:dyDescent="0.25">
      <c r="B2470">
        <f t="shared" ca="1" si="116"/>
        <v>47353.656821275159</v>
      </c>
      <c r="C2470">
        <f t="shared" ca="1" si="114"/>
        <v>0</v>
      </c>
      <c r="D2470">
        <f t="shared" ca="1" si="115"/>
        <v>7353.656821275159</v>
      </c>
    </row>
    <row r="2471" spans="2:4" x14ac:dyDescent="0.25">
      <c r="B2471">
        <f t="shared" ca="1" si="116"/>
        <v>52363.996733241722</v>
      </c>
      <c r="C2471">
        <f t="shared" ca="1" si="114"/>
        <v>0</v>
      </c>
      <c r="D2471">
        <f t="shared" ca="1" si="115"/>
        <v>12363.996733241722</v>
      </c>
    </row>
    <row r="2472" spans="2:4" x14ac:dyDescent="0.25">
      <c r="B2472">
        <f t="shared" ca="1" si="116"/>
        <v>47658.862787372535</v>
      </c>
      <c r="C2472">
        <f t="shared" ca="1" si="114"/>
        <v>0</v>
      </c>
      <c r="D2472">
        <f t="shared" ca="1" si="115"/>
        <v>7658.8627873725345</v>
      </c>
    </row>
    <row r="2473" spans="2:4" x14ac:dyDescent="0.25">
      <c r="B2473">
        <f t="shared" ca="1" si="116"/>
        <v>56050.572182934498</v>
      </c>
      <c r="C2473">
        <f t="shared" ca="1" si="114"/>
        <v>0</v>
      </c>
      <c r="D2473">
        <f t="shared" ca="1" si="115"/>
        <v>16050.572182934498</v>
      </c>
    </row>
    <row r="2474" spans="2:4" x14ac:dyDescent="0.25">
      <c r="B2474">
        <f t="shared" ca="1" si="116"/>
        <v>42814.829455812454</v>
      </c>
      <c r="C2474">
        <f t="shared" ca="1" si="114"/>
        <v>0</v>
      </c>
      <c r="D2474">
        <f t="shared" ca="1" si="115"/>
        <v>2814.8294558124544</v>
      </c>
    </row>
    <row r="2475" spans="2:4" x14ac:dyDescent="0.25">
      <c r="B2475">
        <f t="shared" ca="1" si="116"/>
        <v>52019.783258156174</v>
      </c>
      <c r="C2475">
        <f t="shared" ca="1" si="114"/>
        <v>0</v>
      </c>
      <c r="D2475">
        <f t="shared" ca="1" si="115"/>
        <v>12019.783258156174</v>
      </c>
    </row>
    <row r="2476" spans="2:4" x14ac:dyDescent="0.25">
      <c r="B2476">
        <f t="shared" ca="1" si="116"/>
        <v>46832.598153779385</v>
      </c>
      <c r="C2476">
        <f t="shared" ca="1" si="114"/>
        <v>0</v>
      </c>
      <c r="D2476">
        <f t="shared" ca="1" si="115"/>
        <v>6832.598153779385</v>
      </c>
    </row>
    <row r="2477" spans="2:4" x14ac:dyDescent="0.25">
      <c r="B2477">
        <f t="shared" ca="1" si="116"/>
        <v>33626.867436648463</v>
      </c>
      <c r="C2477">
        <f t="shared" ca="1" si="114"/>
        <v>6373.1325633515371</v>
      </c>
      <c r="D2477">
        <f t="shared" ca="1" si="115"/>
        <v>0</v>
      </c>
    </row>
    <row r="2478" spans="2:4" x14ac:dyDescent="0.25">
      <c r="B2478">
        <f t="shared" ca="1" si="116"/>
        <v>47099.342316215421</v>
      </c>
      <c r="C2478">
        <f t="shared" ca="1" si="114"/>
        <v>0</v>
      </c>
      <c r="D2478">
        <f t="shared" ca="1" si="115"/>
        <v>7099.3423162154213</v>
      </c>
    </row>
    <row r="2479" spans="2:4" x14ac:dyDescent="0.25">
      <c r="B2479">
        <f t="shared" ca="1" si="116"/>
        <v>42253.530550600612</v>
      </c>
      <c r="C2479">
        <f t="shared" ca="1" si="114"/>
        <v>0</v>
      </c>
      <c r="D2479">
        <f t="shared" ca="1" si="115"/>
        <v>2253.5305506006116</v>
      </c>
    </row>
    <row r="2480" spans="2:4" x14ac:dyDescent="0.25">
      <c r="B2480">
        <f t="shared" ca="1" si="116"/>
        <v>46342.772936028297</v>
      </c>
      <c r="C2480">
        <f t="shared" ca="1" si="114"/>
        <v>0</v>
      </c>
      <c r="D2480">
        <f t="shared" ca="1" si="115"/>
        <v>6342.7729360282974</v>
      </c>
    </row>
    <row r="2481" spans="2:4" x14ac:dyDescent="0.25">
      <c r="B2481">
        <f t="shared" ca="1" si="116"/>
        <v>46478.287879750271</v>
      </c>
      <c r="C2481">
        <f t="shared" ca="1" si="114"/>
        <v>0</v>
      </c>
      <c r="D2481">
        <f t="shared" ca="1" si="115"/>
        <v>6478.2878797502708</v>
      </c>
    </row>
    <row r="2482" spans="2:4" x14ac:dyDescent="0.25">
      <c r="B2482">
        <f t="shared" ca="1" si="116"/>
        <v>49987.941258429011</v>
      </c>
      <c r="C2482">
        <f t="shared" ca="1" si="114"/>
        <v>0</v>
      </c>
      <c r="D2482">
        <f t="shared" ca="1" si="115"/>
        <v>9987.9412584290112</v>
      </c>
    </row>
    <row r="2483" spans="2:4" x14ac:dyDescent="0.25">
      <c r="B2483">
        <f t="shared" ca="1" si="116"/>
        <v>48135.672471897342</v>
      </c>
      <c r="C2483">
        <f t="shared" ca="1" si="114"/>
        <v>0</v>
      </c>
      <c r="D2483">
        <f t="shared" ca="1" si="115"/>
        <v>8135.6724718973419</v>
      </c>
    </row>
    <row r="2484" spans="2:4" x14ac:dyDescent="0.25">
      <c r="B2484">
        <f t="shared" ca="1" si="116"/>
        <v>37549.746727821963</v>
      </c>
      <c r="C2484">
        <f t="shared" ca="1" si="114"/>
        <v>2450.2532721780372</v>
      </c>
      <c r="D2484">
        <f t="shared" ca="1" si="115"/>
        <v>0</v>
      </c>
    </row>
    <row r="2485" spans="2:4" x14ac:dyDescent="0.25">
      <c r="B2485">
        <f t="shared" ca="1" si="116"/>
        <v>48681.076878938955</v>
      </c>
      <c r="C2485">
        <f t="shared" ca="1" si="114"/>
        <v>0</v>
      </c>
      <c r="D2485">
        <f t="shared" ca="1" si="115"/>
        <v>8681.0768789389549</v>
      </c>
    </row>
    <row r="2486" spans="2:4" x14ac:dyDescent="0.25">
      <c r="B2486">
        <f t="shared" ca="1" si="116"/>
        <v>38276.008802786251</v>
      </c>
      <c r="C2486">
        <f t="shared" ca="1" si="114"/>
        <v>1723.9911972137488</v>
      </c>
      <c r="D2486">
        <f t="shared" ca="1" si="115"/>
        <v>0</v>
      </c>
    </row>
    <row r="2487" spans="2:4" x14ac:dyDescent="0.25">
      <c r="B2487">
        <f t="shared" ca="1" si="116"/>
        <v>39480.478232340938</v>
      </c>
      <c r="C2487">
        <f t="shared" ca="1" si="114"/>
        <v>519.52176765906188</v>
      </c>
      <c r="D2487">
        <f t="shared" ca="1" si="115"/>
        <v>0</v>
      </c>
    </row>
    <row r="2488" spans="2:4" x14ac:dyDescent="0.25">
      <c r="B2488">
        <f t="shared" ca="1" si="116"/>
        <v>48088.89173655185</v>
      </c>
      <c r="C2488">
        <f t="shared" ca="1" si="114"/>
        <v>0</v>
      </c>
      <c r="D2488">
        <f t="shared" ca="1" si="115"/>
        <v>8088.89173655185</v>
      </c>
    </row>
    <row r="2489" spans="2:4" x14ac:dyDescent="0.25">
      <c r="B2489">
        <f t="shared" ca="1" si="116"/>
        <v>45957.176584394838</v>
      </c>
      <c r="C2489">
        <f t="shared" ca="1" si="114"/>
        <v>0</v>
      </c>
      <c r="D2489">
        <f t="shared" ca="1" si="115"/>
        <v>5957.1765843948378</v>
      </c>
    </row>
    <row r="2490" spans="2:4" x14ac:dyDescent="0.25">
      <c r="B2490">
        <f t="shared" ca="1" si="116"/>
        <v>41907.205444025785</v>
      </c>
      <c r="C2490">
        <f t="shared" ca="1" si="114"/>
        <v>0</v>
      </c>
      <c r="D2490">
        <f t="shared" ca="1" si="115"/>
        <v>1907.2054440257853</v>
      </c>
    </row>
    <row r="2491" spans="2:4" x14ac:dyDescent="0.25">
      <c r="B2491">
        <f t="shared" ca="1" si="116"/>
        <v>44698.100034802621</v>
      </c>
      <c r="C2491">
        <f t="shared" ca="1" si="114"/>
        <v>0</v>
      </c>
      <c r="D2491">
        <f t="shared" ca="1" si="115"/>
        <v>4698.1000348026209</v>
      </c>
    </row>
    <row r="2492" spans="2:4" x14ac:dyDescent="0.25">
      <c r="B2492">
        <f t="shared" ca="1" si="116"/>
        <v>36943.827233245072</v>
      </c>
      <c r="C2492">
        <f t="shared" ca="1" si="114"/>
        <v>3056.1727667549276</v>
      </c>
      <c r="D2492">
        <f t="shared" ca="1" si="115"/>
        <v>0</v>
      </c>
    </row>
    <row r="2493" spans="2:4" x14ac:dyDescent="0.25">
      <c r="B2493">
        <f t="shared" ca="1" si="116"/>
        <v>43290.870524511985</v>
      </c>
      <c r="C2493">
        <f t="shared" ca="1" si="114"/>
        <v>0</v>
      </c>
      <c r="D2493">
        <f t="shared" ca="1" si="115"/>
        <v>3290.8705245119854</v>
      </c>
    </row>
    <row r="2494" spans="2:4" x14ac:dyDescent="0.25">
      <c r="B2494">
        <f t="shared" ca="1" si="116"/>
        <v>50299.617929094784</v>
      </c>
      <c r="C2494">
        <f t="shared" ca="1" si="114"/>
        <v>0</v>
      </c>
      <c r="D2494">
        <f t="shared" ca="1" si="115"/>
        <v>10299.617929094784</v>
      </c>
    </row>
    <row r="2495" spans="2:4" x14ac:dyDescent="0.25">
      <c r="B2495">
        <f t="shared" ca="1" si="116"/>
        <v>39096.883141648737</v>
      </c>
      <c r="C2495">
        <f t="shared" ca="1" si="114"/>
        <v>903.11685835126264</v>
      </c>
      <c r="D2495">
        <f t="shared" ca="1" si="115"/>
        <v>0</v>
      </c>
    </row>
    <row r="2496" spans="2:4" x14ac:dyDescent="0.25">
      <c r="B2496">
        <f t="shared" ca="1" si="116"/>
        <v>47230.151776611616</v>
      </c>
      <c r="C2496">
        <f t="shared" ca="1" si="114"/>
        <v>0</v>
      </c>
      <c r="D2496">
        <f t="shared" ca="1" si="115"/>
        <v>7230.1517766116158</v>
      </c>
    </row>
    <row r="2497" spans="2:4" x14ac:dyDescent="0.25">
      <c r="B2497">
        <f t="shared" ca="1" si="116"/>
        <v>43984.768660547306</v>
      </c>
      <c r="C2497">
        <f t="shared" ca="1" si="114"/>
        <v>0</v>
      </c>
      <c r="D2497">
        <f t="shared" ca="1" si="115"/>
        <v>3984.7686605473064</v>
      </c>
    </row>
    <row r="2498" spans="2:4" x14ac:dyDescent="0.25">
      <c r="B2498">
        <f t="shared" ca="1" si="116"/>
        <v>45437.017479162583</v>
      </c>
      <c r="C2498">
        <f t="shared" ca="1" si="114"/>
        <v>0</v>
      </c>
      <c r="D2498">
        <f t="shared" ca="1" si="115"/>
        <v>5437.0174791625832</v>
      </c>
    </row>
    <row r="2499" spans="2:4" x14ac:dyDescent="0.25">
      <c r="B2499">
        <f t="shared" ca="1" si="116"/>
        <v>46255.895203304513</v>
      </c>
      <c r="C2499">
        <f t="shared" ca="1" si="114"/>
        <v>0</v>
      </c>
      <c r="D2499">
        <f t="shared" ca="1" si="115"/>
        <v>6255.8952033045134</v>
      </c>
    </row>
    <row r="2500" spans="2:4" x14ac:dyDescent="0.25">
      <c r="B2500">
        <f t="shared" ca="1" si="116"/>
        <v>44669.590095411892</v>
      </c>
      <c r="C2500">
        <f t="shared" ca="1" si="114"/>
        <v>0</v>
      </c>
      <c r="D2500">
        <f t="shared" ca="1" si="115"/>
        <v>4669.5900954118915</v>
      </c>
    </row>
    <row r="2501" spans="2:4" x14ac:dyDescent="0.25">
      <c r="B2501">
        <f t="shared" ca="1" si="116"/>
        <v>39250.416351678359</v>
      </c>
      <c r="C2501">
        <f t="shared" ca="1" si="114"/>
        <v>749.58364832164079</v>
      </c>
      <c r="D2501">
        <f t="shared" ca="1" si="115"/>
        <v>0</v>
      </c>
    </row>
    <row r="2502" spans="2:4" x14ac:dyDescent="0.25">
      <c r="B2502">
        <f t="shared" ca="1" si="116"/>
        <v>45889.216788362923</v>
      </c>
      <c r="C2502">
        <f t="shared" ca="1" si="114"/>
        <v>0</v>
      </c>
      <c r="D2502">
        <f t="shared" ca="1" si="115"/>
        <v>5889.2167883629227</v>
      </c>
    </row>
    <row r="2503" spans="2:4" x14ac:dyDescent="0.25">
      <c r="B2503">
        <f t="shared" ca="1" si="116"/>
        <v>50423.430740525524</v>
      </c>
      <c r="C2503">
        <f t="shared" ca="1" si="114"/>
        <v>0</v>
      </c>
      <c r="D2503">
        <f t="shared" ca="1" si="115"/>
        <v>10423.430740525524</v>
      </c>
    </row>
    <row r="2504" spans="2:4" x14ac:dyDescent="0.25">
      <c r="B2504">
        <f t="shared" ca="1" si="116"/>
        <v>39775.625746679805</v>
      </c>
      <c r="C2504">
        <f t="shared" ca="1" si="114"/>
        <v>224.37425332019484</v>
      </c>
      <c r="D2504">
        <f t="shared" ca="1" si="115"/>
        <v>0</v>
      </c>
    </row>
    <row r="2505" spans="2:4" x14ac:dyDescent="0.25">
      <c r="B2505">
        <f t="shared" ca="1" si="116"/>
        <v>46004.58815759416</v>
      </c>
      <c r="C2505">
        <f t="shared" ca="1" si="114"/>
        <v>0</v>
      </c>
      <c r="D2505">
        <f t="shared" ca="1" si="115"/>
        <v>6004.5881575941603</v>
      </c>
    </row>
    <row r="2506" spans="2:4" x14ac:dyDescent="0.25">
      <c r="B2506">
        <f t="shared" ca="1" si="116"/>
        <v>49904.458867086985</v>
      </c>
      <c r="C2506">
        <f t="shared" ca="1" si="114"/>
        <v>0</v>
      </c>
      <c r="D2506">
        <f t="shared" ca="1" si="115"/>
        <v>9904.4588670869853</v>
      </c>
    </row>
    <row r="2507" spans="2:4" x14ac:dyDescent="0.25">
      <c r="B2507">
        <f t="shared" ca="1" si="116"/>
        <v>47417.677538853684</v>
      </c>
      <c r="C2507">
        <f t="shared" ca="1" si="114"/>
        <v>0</v>
      </c>
      <c r="D2507">
        <f t="shared" ca="1" si="115"/>
        <v>7417.6775388536844</v>
      </c>
    </row>
    <row r="2508" spans="2:4" x14ac:dyDescent="0.25">
      <c r="B2508">
        <f t="shared" ca="1" si="116"/>
        <v>42247.691768048091</v>
      </c>
      <c r="C2508">
        <f t="shared" ref="C2508:C2571" ca="1" si="117">IF(MAX($B$2-B2508)&lt;0,0,$B$2-B2508)</f>
        <v>0</v>
      </c>
      <c r="D2508">
        <f t="shared" ref="D2508:D2571" ca="1" si="118">IF(MAX(B2508-$B$2)&lt;0,0,B2508-$B$2)</f>
        <v>2247.691768048091</v>
      </c>
    </row>
    <row r="2509" spans="2:4" x14ac:dyDescent="0.25">
      <c r="B2509">
        <f t="shared" ref="B2509:B2572" ca="1" si="119">$B$1*EXP((($B$4-($B$3^2)/2)*$B$5+$B$3*SQRT($B$5)*NORMSINV(RAND())))</f>
        <v>44488.120188720975</v>
      </c>
      <c r="C2509">
        <f t="shared" ca="1" si="117"/>
        <v>0</v>
      </c>
      <c r="D2509">
        <f t="shared" ca="1" si="118"/>
        <v>4488.1201887209754</v>
      </c>
    </row>
    <row r="2510" spans="2:4" x14ac:dyDescent="0.25">
      <c r="B2510">
        <f t="shared" ca="1" si="119"/>
        <v>41358.442128043411</v>
      </c>
      <c r="C2510">
        <f t="shared" ca="1" si="117"/>
        <v>0</v>
      </c>
      <c r="D2510">
        <f t="shared" ca="1" si="118"/>
        <v>1358.4421280434108</v>
      </c>
    </row>
    <row r="2511" spans="2:4" x14ac:dyDescent="0.25">
      <c r="B2511">
        <f t="shared" ca="1" si="119"/>
        <v>43117.452366674122</v>
      </c>
      <c r="C2511">
        <f t="shared" ca="1" si="117"/>
        <v>0</v>
      </c>
      <c r="D2511">
        <f t="shared" ca="1" si="118"/>
        <v>3117.4523666741225</v>
      </c>
    </row>
    <row r="2512" spans="2:4" x14ac:dyDescent="0.25">
      <c r="B2512">
        <f t="shared" ca="1" si="119"/>
        <v>46274.473087929793</v>
      </c>
      <c r="C2512">
        <f t="shared" ca="1" si="117"/>
        <v>0</v>
      </c>
      <c r="D2512">
        <f t="shared" ca="1" si="118"/>
        <v>6274.4730879297931</v>
      </c>
    </row>
    <row r="2513" spans="2:4" x14ac:dyDescent="0.25">
      <c r="B2513">
        <f t="shared" ca="1" si="119"/>
        <v>42072.350919226061</v>
      </c>
      <c r="C2513">
        <f t="shared" ca="1" si="117"/>
        <v>0</v>
      </c>
      <c r="D2513">
        <f t="shared" ca="1" si="118"/>
        <v>2072.3509192260608</v>
      </c>
    </row>
    <row r="2514" spans="2:4" x14ac:dyDescent="0.25">
      <c r="B2514">
        <f t="shared" ca="1" si="119"/>
        <v>43009.808613979243</v>
      </c>
      <c r="C2514">
        <f t="shared" ca="1" si="117"/>
        <v>0</v>
      </c>
      <c r="D2514">
        <f t="shared" ca="1" si="118"/>
        <v>3009.8086139792431</v>
      </c>
    </row>
    <row r="2515" spans="2:4" x14ac:dyDescent="0.25">
      <c r="B2515">
        <f t="shared" ca="1" si="119"/>
        <v>40798.601474254006</v>
      </c>
      <c r="C2515">
        <f t="shared" ca="1" si="117"/>
        <v>0</v>
      </c>
      <c r="D2515">
        <f t="shared" ca="1" si="118"/>
        <v>798.60147425400646</v>
      </c>
    </row>
    <row r="2516" spans="2:4" x14ac:dyDescent="0.25">
      <c r="B2516">
        <f t="shared" ca="1" si="119"/>
        <v>42415.437259741302</v>
      </c>
      <c r="C2516">
        <f t="shared" ca="1" si="117"/>
        <v>0</v>
      </c>
      <c r="D2516">
        <f t="shared" ca="1" si="118"/>
        <v>2415.4372597413021</v>
      </c>
    </row>
    <row r="2517" spans="2:4" x14ac:dyDescent="0.25">
      <c r="B2517">
        <f t="shared" ca="1" si="119"/>
        <v>46547.971240008555</v>
      </c>
      <c r="C2517">
        <f t="shared" ca="1" si="117"/>
        <v>0</v>
      </c>
      <c r="D2517">
        <f t="shared" ca="1" si="118"/>
        <v>6547.9712400085555</v>
      </c>
    </row>
    <row r="2518" spans="2:4" x14ac:dyDescent="0.25">
      <c r="B2518">
        <f t="shared" ca="1" si="119"/>
        <v>37259.896880873399</v>
      </c>
      <c r="C2518">
        <f t="shared" ca="1" si="117"/>
        <v>2740.1031191266011</v>
      </c>
      <c r="D2518">
        <f t="shared" ca="1" si="118"/>
        <v>0</v>
      </c>
    </row>
    <row r="2519" spans="2:4" x14ac:dyDescent="0.25">
      <c r="B2519">
        <f t="shared" ca="1" si="119"/>
        <v>43972.850147549419</v>
      </c>
      <c r="C2519">
        <f t="shared" ca="1" si="117"/>
        <v>0</v>
      </c>
      <c r="D2519">
        <f t="shared" ca="1" si="118"/>
        <v>3972.8501475494195</v>
      </c>
    </row>
    <row r="2520" spans="2:4" x14ac:dyDescent="0.25">
      <c r="B2520">
        <f t="shared" ca="1" si="119"/>
        <v>41831.658747945105</v>
      </c>
      <c r="C2520">
        <f t="shared" ca="1" si="117"/>
        <v>0</v>
      </c>
      <c r="D2520">
        <f t="shared" ca="1" si="118"/>
        <v>1831.6587479451046</v>
      </c>
    </row>
    <row r="2521" spans="2:4" x14ac:dyDescent="0.25">
      <c r="B2521">
        <f t="shared" ca="1" si="119"/>
        <v>43838.469045772246</v>
      </c>
      <c r="C2521">
        <f t="shared" ca="1" si="117"/>
        <v>0</v>
      </c>
      <c r="D2521">
        <f t="shared" ca="1" si="118"/>
        <v>3838.4690457722463</v>
      </c>
    </row>
    <row r="2522" spans="2:4" x14ac:dyDescent="0.25">
      <c r="B2522">
        <f t="shared" ca="1" si="119"/>
        <v>53550.070360908168</v>
      </c>
      <c r="C2522">
        <f t="shared" ca="1" si="117"/>
        <v>0</v>
      </c>
      <c r="D2522">
        <f t="shared" ca="1" si="118"/>
        <v>13550.070360908168</v>
      </c>
    </row>
    <row r="2523" spans="2:4" x14ac:dyDescent="0.25">
      <c r="B2523">
        <f t="shared" ca="1" si="119"/>
        <v>44669.187300280304</v>
      </c>
      <c r="C2523">
        <f t="shared" ca="1" si="117"/>
        <v>0</v>
      </c>
      <c r="D2523">
        <f t="shared" ca="1" si="118"/>
        <v>4669.187300280304</v>
      </c>
    </row>
    <row r="2524" spans="2:4" x14ac:dyDescent="0.25">
      <c r="B2524">
        <f t="shared" ca="1" si="119"/>
        <v>40147.890914250092</v>
      </c>
      <c r="C2524">
        <f t="shared" ca="1" si="117"/>
        <v>0</v>
      </c>
      <c r="D2524">
        <f t="shared" ca="1" si="118"/>
        <v>147.89091425009246</v>
      </c>
    </row>
    <row r="2525" spans="2:4" x14ac:dyDescent="0.25">
      <c r="B2525">
        <f t="shared" ca="1" si="119"/>
        <v>43312.42004614391</v>
      </c>
      <c r="C2525">
        <f t="shared" ca="1" si="117"/>
        <v>0</v>
      </c>
      <c r="D2525">
        <f t="shared" ca="1" si="118"/>
        <v>3312.4200461439104</v>
      </c>
    </row>
    <row r="2526" spans="2:4" x14ac:dyDescent="0.25">
      <c r="B2526">
        <f t="shared" ca="1" si="119"/>
        <v>43135.253900152937</v>
      </c>
      <c r="C2526">
        <f t="shared" ca="1" si="117"/>
        <v>0</v>
      </c>
      <c r="D2526">
        <f t="shared" ca="1" si="118"/>
        <v>3135.2539001529367</v>
      </c>
    </row>
    <row r="2527" spans="2:4" x14ac:dyDescent="0.25">
      <c r="B2527">
        <f t="shared" ca="1" si="119"/>
        <v>46944.691249242569</v>
      </c>
      <c r="C2527">
        <f t="shared" ca="1" si="117"/>
        <v>0</v>
      </c>
      <c r="D2527">
        <f t="shared" ca="1" si="118"/>
        <v>6944.691249242569</v>
      </c>
    </row>
    <row r="2528" spans="2:4" x14ac:dyDescent="0.25">
      <c r="B2528">
        <f t="shared" ca="1" si="119"/>
        <v>51800.923288756421</v>
      </c>
      <c r="C2528">
        <f t="shared" ca="1" si="117"/>
        <v>0</v>
      </c>
      <c r="D2528">
        <f t="shared" ca="1" si="118"/>
        <v>11800.923288756421</v>
      </c>
    </row>
    <row r="2529" spans="2:4" x14ac:dyDescent="0.25">
      <c r="B2529">
        <f t="shared" ca="1" si="119"/>
        <v>44188.701082637104</v>
      </c>
      <c r="C2529">
        <f t="shared" ca="1" si="117"/>
        <v>0</v>
      </c>
      <c r="D2529">
        <f t="shared" ca="1" si="118"/>
        <v>4188.7010826371043</v>
      </c>
    </row>
    <row r="2530" spans="2:4" x14ac:dyDescent="0.25">
      <c r="B2530">
        <f t="shared" ca="1" si="119"/>
        <v>43322.895276141848</v>
      </c>
      <c r="C2530">
        <f t="shared" ca="1" si="117"/>
        <v>0</v>
      </c>
      <c r="D2530">
        <f t="shared" ca="1" si="118"/>
        <v>3322.8952761418477</v>
      </c>
    </row>
    <row r="2531" spans="2:4" x14ac:dyDescent="0.25">
      <c r="B2531">
        <f t="shared" ca="1" si="119"/>
        <v>44935.212336165881</v>
      </c>
      <c r="C2531">
        <f t="shared" ca="1" si="117"/>
        <v>0</v>
      </c>
      <c r="D2531">
        <f t="shared" ca="1" si="118"/>
        <v>4935.2123361658814</v>
      </c>
    </row>
    <row r="2532" spans="2:4" x14ac:dyDescent="0.25">
      <c r="B2532">
        <f t="shared" ca="1" si="119"/>
        <v>45190.377543003364</v>
      </c>
      <c r="C2532">
        <f t="shared" ca="1" si="117"/>
        <v>0</v>
      </c>
      <c r="D2532">
        <f t="shared" ca="1" si="118"/>
        <v>5190.3775430033638</v>
      </c>
    </row>
    <row r="2533" spans="2:4" x14ac:dyDescent="0.25">
      <c r="B2533">
        <f t="shared" ca="1" si="119"/>
        <v>39818.926372817317</v>
      </c>
      <c r="C2533">
        <f t="shared" ca="1" si="117"/>
        <v>181.07362718268269</v>
      </c>
      <c r="D2533">
        <f t="shared" ca="1" si="118"/>
        <v>0</v>
      </c>
    </row>
    <row r="2534" spans="2:4" x14ac:dyDescent="0.25">
      <c r="B2534">
        <f t="shared" ca="1" si="119"/>
        <v>32708.516747693062</v>
      </c>
      <c r="C2534">
        <f t="shared" ca="1" si="117"/>
        <v>7291.4832523069381</v>
      </c>
      <c r="D2534">
        <f t="shared" ca="1" si="118"/>
        <v>0</v>
      </c>
    </row>
    <row r="2535" spans="2:4" x14ac:dyDescent="0.25">
      <c r="B2535">
        <f t="shared" ca="1" si="119"/>
        <v>37843.779117290651</v>
      </c>
      <c r="C2535">
        <f t="shared" ca="1" si="117"/>
        <v>2156.2208827093491</v>
      </c>
      <c r="D2535">
        <f t="shared" ca="1" si="118"/>
        <v>0</v>
      </c>
    </row>
    <row r="2536" spans="2:4" x14ac:dyDescent="0.25">
      <c r="B2536">
        <f t="shared" ca="1" si="119"/>
        <v>53186.003820786776</v>
      </c>
      <c r="C2536">
        <f t="shared" ca="1" si="117"/>
        <v>0</v>
      </c>
      <c r="D2536">
        <f t="shared" ca="1" si="118"/>
        <v>13186.003820786776</v>
      </c>
    </row>
    <row r="2537" spans="2:4" x14ac:dyDescent="0.25">
      <c r="B2537">
        <f t="shared" ca="1" si="119"/>
        <v>50162.792466968152</v>
      </c>
      <c r="C2537">
        <f t="shared" ca="1" si="117"/>
        <v>0</v>
      </c>
      <c r="D2537">
        <f t="shared" ca="1" si="118"/>
        <v>10162.792466968152</v>
      </c>
    </row>
    <row r="2538" spans="2:4" x14ac:dyDescent="0.25">
      <c r="B2538">
        <f t="shared" ca="1" si="119"/>
        <v>49822.796489469678</v>
      </c>
      <c r="C2538">
        <f t="shared" ca="1" si="117"/>
        <v>0</v>
      </c>
      <c r="D2538">
        <f t="shared" ca="1" si="118"/>
        <v>9822.7964894696779</v>
      </c>
    </row>
    <row r="2539" spans="2:4" x14ac:dyDescent="0.25">
      <c r="B2539">
        <f t="shared" ca="1" si="119"/>
        <v>41851.20857677739</v>
      </c>
      <c r="C2539">
        <f t="shared" ca="1" si="117"/>
        <v>0</v>
      </c>
      <c r="D2539">
        <f t="shared" ca="1" si="118"/>
        <v>1851.2085767773897</v>
      </c>
    </row>
    <row r="2540" spans="2:4" x14ac:dyDescent="0.25">
      <c r="B2540">
        <f t="shared" ca="1" si="119"/>
        <v>40503.558612065783</v>
      </c>
      <c r="C2540">
        <f t="shared" ca="1" si="117"/>
        <v>0</v>
      </c>
      <c r="D2540">
        <f t="shared" ca="1" si="118"/>
        <v>503.55861206578265</v>
      </c>
    </row>
    <row r="2541" spans="2:4" x14ac:dyDescent="0.25">
      <c r="B2541">
        <f t="shared" ca="1" si="119"/>
        <v>49600.374331873827</v>
      </c>
      <c r="C2541">
        <f t="shared" ca="1" si="117"/>
        <v>0</v>
      </c>
      <c r="D2541">
        <f t="shared" ca="1" si="118"/>
        <v>9600.374331873827</v>
      </c>
    </row>
    <row r="2542" spans="2:4" x14ac:dyDescent="0.25">
      <c r="B2542">
        <f t="shared" ca="1" si="119"/>
        <v>51780.686520436677</v>
      </c>
      <c r="C2542">
        <f t="shared" ca="1" si="117"/>
        <v>0</v>
      </c>
      <c r="D2542">
        <f t="shared" ca="1" si="118"/>
        <v>11780.686520436677</v>
      </c>
    </row>
    <row r="2543" spans="2:4" x14ac:dyDescent="0.25">
      <c r="B2543">
        <f t="shared" ca="1" si="119"/>
        <v>57856.955424551576</v>
      </c>
      <c r="C2543">
        <f t="shared" ca="1" si="117"/>
        <v>0</v>
      </c>
      <c r="D2543">
        <f t="shared" ca="1" si="118"/>
        <v>17856.955424551576</v>
      </c>
    </row>
    <row r="2544" spans="2:4" x14ac:dyDescent="0.25">
      <c r="B2544">
        <f t="shared" ca="1" si="119"/>
        <v>45023.242964266465</v>
      </c>
      <c r="C2544">
        <f t="shared" ca="1" si="117"/>
        <v>0</v>
      </c>
      <c r="D2544">
        <f t="shared" ca="1" si="118"/>
        <v>5023.2429642664647</v>
      </c>
    </row>
    <row r="2545" spans="2:4" x14ac:dyDescent="0.25">
      <c r="B2545">
        <f t="shared" ca="1" si="119"/>
        <v>41699.377060240025</v>
      </c>
      <c r="C2545">
        <f t="shared" ca="1" si="117"/>
        <v>0</v>
      </c>
      <c r="D2545">
        <f t="shared" ca="1" si="118"/>
        <v>1699.3770602400255</v>
      </c>
    </row>
    <row r="2546" spans="2:4" x14ac:dyDescent="0.25">
      <c r="B2546">
        <f t="shared" ca="1" si="119"/>
        <v>44401.649703987656</v>
      </c>
      <c r="C2546">
        <f t="shared" ca="1" si="117"/>
        <v>0</v>
      </c>
      <c r="D2546">
        <f t="shared" ca="1" si="118"/>
        <v>4401.6497039876558</v>
      </c>
    </row>
    <row r="2547" spans="2:4" x14ac:dyDescent="0.25">
      <c r="B2547">
        <f t="shared" ca="1" si="119"/>
        <v>46761.992232663848</v>
      </c>
      <c r="C2547">
        <f t="shared" ca="1" si="117"/>
        <v>0</v>
      </c>
      <c r="D2547">
        <f t="shared" ca="1" si="118"/>
        <v>6761.992232663848</v>
      </c>
    </row>
    <row r="2548" spans="2:4" x14ac:dyDescent="0.25">
      <c r="B2548">
        <f t="shared" ca="1" si="119"/>
        <v>37941.839969817396</v>
      </c>
      <c r="C2548">
        <f t="shared" ca="1" si="117"/>
        <v>2058.1600301826038</v>
      </c>
      <c r="D2548">
        <f t="shared" ca="1" si="118"/>
        <v>0</v>
      </c>
    </row>
    <row r="2549" spans="2:4" x14ac:dyDescent="0.25">
      <c r="B2549">
        <f t="shared" ca="1" si="119"/>
        <v>35801.314330222114</v>
      </c>
      <c r="C2549">
        <f t="shared" ca="1" si="117"/>
        <v>4198.6856697778858</v>
      </c>
      <c r="D2549">
        <f t="shared" ca="1" si="118"/>
        <v>0</v>
      </c>
    </row>
    <row r="2550" spans="2:4" x14ac:dyDescent="0.25">
      <c r="B2550">
        <f t="shared" ca="1" si="119"/>
        <v>54596.467144022041</v>
      </c>
      <c r="C2550">
        <f t="shared" ca="1" si="117"/>
        <v>0</v>
      </c>
      <c r="D2550">
        <f t="shared" ca="1" si="118"/>
        <v>14596.467144022041</v>
      </c>
    </row>
    <row r="2551" spans="2:4" x14ac:dyDescent="0.25">
      <c r="B2551">
        <f t="shared" ca="1" si="119"/>
        <v>44681.155760940354</v>
      </c>
      <c r="C2551">
        <f t="shared" ca="1" si="117"/>
        <v>0</v>
      </c>
      <c r="D2551">
        <f t="shared" ca="1" si="118"/>
        <v>4681.1557609403535</v>
      </c>
    </row>
    <row r="2552" spans="2:4" x14ac:dyDescent="0.25">
      <c r="B2552">
        <f t="shared" ca="1" si="119"/>
        <v>41758.216404990679</v>
      </c>
      <c r="C2552">
        <f t="shared" ca="1" si="117"/>
        <v>0</v>
      </c>
      <c r="D2552">
        <f t="shared" ca="1" si="118"/>
        <v>1758.2164049906787</v>
      </c>
    </row>
    <row r="2553" spans="2:4" x14ac:dyDescent="0.25">
      <c r="B2553">
        <f t="shared" ca="1" si="119"/>
        <v>54097.222496097354</v>
      </c>
      <c r="C2553">
        <f t="shared" ca="1" si="117"/>
        <v>0</v>
      </c>
      <c r="D2553">
        <f t="shared" ca="1" si="118"/>
        <v>14097.222496097354</v>
      </c>
    </row>
    <row r="2554" spans="2:4" x14ac:dyDescent="0.25">
      <c r="B2554">
        <f t="shared" ca="1" si="119"/>
        <v>34131.793055721173</v>
      </c>
      <c r="C2554">
        <f t="shared" ca="1" si="117"/>
        <v>5868.206944278827</v>
      </c>
      <c r="D2554">
        <f t="shared" ca="1" si="118"/>
        <v>0</v>
      </c>
    </row>
    <row r="2555" spans="2:4" x14ac:dyDescent="0.25">
      <c r="B2555">
        <f t="shared" ca="1" si="119"/>
        <v>47924.809794922679</v>
      </c>
      <c r="C2555">
        <f t="shared" ca="1" si="117"/>
        <v>0</v>
      </c>
      <c r="D2555">
        <f t="shared" ca="1" si="118"/>
        <v>7924.8097949226794</v>
      </c>
    </row>
    <row r="2556" spans="2:4" x14ac:dyDescent="0.25">
      <c r="B2556">
        <f t="shared" ca="1" si="119"/>
        <v>57289.550531960784</v>
      </c>
      <c r="C2556">
        <f t="shared" ca="1" si="117"/>
        <v>0</v>
      </c>
      <c r="D2556">
        <f t="shared" ca="1" si="118"/>
        <v>17289.550531960784</v>
      </c>
    </row>
    <row r="2557" spans="2:4" x14ac:dyDescent="0.25">
      <c r="B2557">
        <f t="shared" ca="1" si="119"/>
        <v>48697.038484478711</v>
      </c>
      <c r="C2557">
        <f t="shared" ca="1" si="117"/>
        <v>0</v>
      </c>
      <c r="D2557">
        <f t="shared" ca="1" si="118"/>
        <v>8697.0384844787113</v>
      </c>
    </row>
    <row r="2558" spans="2:4" x14ac:dyDescent="0.25">
      <c r="B2558">
        <f t="shared" ca="1" si="119"/>
        <v>45965.733448367908</v>
      </c>
      <c r="C2558">
        <f t="shared" ca="1" si="117"/>
        <v>0</v>
      </c>
      <c r="D2558">
        <f t="shared" ca="1" si="118"/>
        <v>5965.7334483679078</v>
      </c>
    </row>
    <row r="2559" spans="2:4" x14ac:dyDescent="0.25">
      <c r="B2559">
        <f t="shared" ca="1" si="119"/>
        <v>44185.214757139685</v>
      </c>
      <c r="C2559">
        <f t="shared" ca="1" si="117"/>
        <v>0</v>
      </c>
      <c r="D2559">
        <f t="shared" ca="1" si="118"/>
        <v>4185.2147571396854</v>
      </c>
    </row>
    <row r="2560" spans="2:4" x14ac:dyDescent="0.25">
      <c r="B2560">
        <f t="shared" ca="1" si="119"/>
        <v>41514.003304215526</v>
      </c>
      <c r="C2560">
        <f t="shared" ca="1" si="117"/>
        <v>0</v>
      </c>
      <c r="D2560">
        <f t="shared" ca="1" si="118"/>
        <v>1514.0033042155264</v>
      </c>
    </row>
    <row r="2561" spans="2:4" x14ac:dyDescent="0.25">
      <c r="B2561">
        <f t="shared" ca="1" si="119"/>
        <v>45915.038813114697</v>
      </c>
      <c r="C2561">
        <f t="shared" ca="1" si="117"/>
        <v>0</v>
      </c>
      <c r="D2561">
        <f t="shared" ca="1" si="118"/>
        <v>5915.0388131146974</v>
      </c>
    </row>
    <row r="2562" spans="2:4" x14ac:dyDescent="0.25">
      <c r="B2562">
        <f t="shared" ca="1" si="119"/>
        <v>40720.595469016102</v>
      </c>
      <c r="C2562">
        <f t="shared" ca="1" si="117"/>
        <v>0</v>
      </c>
      <c r="D2562">
        <f t="shared" ca="1" si="118"/>
        <v>720.59546901610156</v>
      </c>
    </row>
    <row r="2563" spans="2:4" x14ac:dyDescent="0.25">
      <c r="B2563">
        <f t="shared" ca="1" si="119"/>
        <v>43785.669926231589</v>
      </c>
      <c r="C2563">
        <f t="shared" ca="1" si="117"/>
        <v>0</v>
      </c>
      <c r="D2563">
        <f t="shared" ca="1" si="118"/>
        <v>3785.6699262315888</v>
      </c>
    </row>
    <row r="2564" spans="2:4" x14ac:dyDescent="0.25">
      <c r="B2564">
        <f t="shared" ca="1" si="119"/>
        <v>43564.303054502256</v>
      </c>
      <c r="C2564">
        <f t="shared" ca="1" si="117"/>
        <v>0</v>
      </c>
      <c r="D2564">
        <f t="shared" ca="1" si="118"/>
        <v>3564.3030545022557</v>
      </c>
    </row>
    <row r="2565" spans="2:4" x14ac:dyDescent="0.25">
      <c r="B2565">
        <f t="shared" ca="1" si="119"/>
        <v>43503.732493858079</v>
      </c>
      <c r="C2565">
        <f t="shared" ca="1" si="117"/>
        <v>0</v>
      </c>
      <c r="D2565">
        <f t="shared" ca="1" si="118"/>
        <v>3503.7324938580787</v>
      </c>
    </row>
    <row r="2566" spans="2:4" x14ac:dyDescent="0.25">
      <c r="B2566">
        <f t="shared" ca="1" si="119"/>
        <v>41563.376011245113</v>
      </c>
      <c r="C2566">
        <f t="shared" ca="1" si="117"/>
        <v>0</v>
      </c>
      <c r="D2566">
        <f t="shared" ca="1" si="118"/>
        <v>1563.3760112451127</v>
      </c>
    </row>
    <row r="2567" spans="2:4" x14ac:dyDescent="0.25">
      <c r="B2567">
        <f t="shared" ca="1" si="119"/>
        <v>44970.580001730385</v>
      </c>
      <c r="C2567">
        <f t="shared" ca="1" si="117"/>
        <v>0</v>
      </c>
      <c r="D2567">
        <f t="shared" ca="1" si="118"/>
        <v>4970.5800017303845</v>
      </c>
    </row>
    <row r="2568" spans="2:4" x14ac:dyDescent="0.25">
      <c r="B2568">
        <f t="shared" ca="1" si="119"/>
        <v>46877.275467069347</v>
      </c>
      <c r="C2568">
        <f t="shared" ca="1" si="117"/>
        <v>0</v>
      </c>
      <c r="D2568">
        <f t="shared" ca="1" si="118"/>
        <v>6877.2754670693466</v>
      </c>
    </row>
    <row r="2569" spans="2:4" x14ac:dyDescent="0.25">
      <c r="B2569">
        <f t="shared" ca="1" si="119"/>
        <v>43375.599105709749</v>
      </c>
      <c r="C2569">
        <f t="shared" ca="1" si="117"/>
        <v>0</v>
      </c>
      <c r="D2569">
        <f t="shared" ca="1" si="118"/>
        <v>3375.599105709749</v>
      </c>
    </row>
    <row r="2570" spans="2:4" x14ac:dyDescent="0.25">
      <c r="B2570">
        <f t="shared" ca="1" si="119"/>
        <v>36367.61095427</v>
      </c>
      <c r="C2570">
        <f t="shared" ca="1" si="117"/>
        <v>3632.3890457300004</v>
      </c>
      <c r="D2570">
        <f t="shared" ca="1" si="118"/>
        <v>0</v>
      </c>
    </row>
    <row r="2571" spans="2:4" x14ac:dyDescent="0.25">
      <c r="B2571">
        <f t="shared" ca="1" si="119"/>
        <v>39449.884639759686</v>
      </c>
      <c r="C2571">
        <f t="shared" ca="1" si="117"/>
        <v>550.11536024031375</v>
      </c>
      <c r="D2571">
        <f t="shared" ca="1" si="118"/>
        <v>0</v>
      </c>
    </row>
    <row r="2572" spans="2:4" x14ac:dyDescent="0.25">
      <c r="B2572">
        <f t="shared" ca="1" si="119"/>
        <v>38533.01215143736</v>
      </c>
      <c r="C2572">
        <f t="shared" ref="C2572:C2635" ca="1" si="120">IF(MAX($B$2-B2572)&lt;0,0,$B$2-B2572)</f>
        <v>1466.9878485626396</v>
      </c>
      <c r="D2572">
        <f t="shared" ref="D2572:D2635" ca="1" si="121">IF(MAX(B2572-$B$2)&lt;0,0,B2572-$B$2)</f>
        <v>0</v>
      </c>
    </row>
    <row r="2573" spans="2:4" x14ac:dyDescent="0.25">
      <c r="B2573">
        <f t="shared" ref="B2573:B2636" ca="1" si="122">$B$1*EXP((($B$4-($B$3^2)/2)*$B$5+$B$3*SQRT($B$5)*NORMSINV(RAND())))</f>
        <v>38285.200468939809</v>
      </c>
      <c r="C2573">
        <f t="shared" ca="1" si="120"/>
        <v>1714.7995310601909</v>
      </c>
      <c r="D2573">
        <f t="shared" ca="1" si="121"/>
        <v>0</v>
      </c>
    </row>
    <row r="2574" spans="2:4" x14ac:dyDescent="0.25">
      <c r="B2574">
        <f t="shared" ca="1" si="122"/>
        <v>40547.271276059815</v>
      </c>
      <c r="C2574">
        <f t="shared" ca="1" si="120"/>
        <v>0</v>
      </c>
      <c r="D2574">
        <f t="shared" ca="1" si="121"/>
        <v>547.27127605981514</v>
      </c>
    </row>
    <row r="2575" spans="2:4" x14ac:dyDescent="0.25">
      <c r="B2575">
        <f t="shared" ca="1" si="122"/>
        <v>45576.024340369397</v>
      </c>
      <c r="C2575">
        <f t="shared" ca="1" si="120"/>
        <v>0</v>
      </c>
      <c r="D2575">
        <f t="shared" ca="1" si="121"/>
        <v>5576.0243403693967</v>
      </c>
    </row>
    <row r="2576" spans="2:4" x14ac:dyDescent="0.25">
      <c r="B2576">
        <f t="shared" ca="1" si="122"/>
        <v>42594.007066844635</v>
      </c>
      <c r="C2576">
        <f t="shared" ca="1" si="120"/>
        <v>0</v>
      </c>
      <c r="D2576">
        <f t="shared" ca="1" si="121"/>
        <v>2594.0070668446351</v>
      </c>
    </row>
    <row r="2577" spans="2:4" x14ac:dyDescent="0.25">
      <c r="B2577">
        <f t="shared" ca="1" si="122"/>
        <v>49044.796246891812</v>
      </c>
      <c r="C2577">
        <f t="shared" ca="1" si="120"/>
        <v>0</v>
      </c>
      <c r="D2577">
        <f t="shared" ca="1" si="121"/>
        <v>9044.7962468918122</v>
      </c>
    </row>
    <row r="2578" spans="2:4" x14ac:dyDescent="0.25">
      <c r="B2578">
        <f t="shared" ca="1" si="122"/>
        <v>46204.364551882056</v>
      </c>
      <c r="C2578">
        <f t="shared" ca="1" si="120"/>
        <v>0</v>
      </c>
      <c r="D2578">
        <f t="shared" ca="1" si="121"/>
        <v>6204.3645518820558</v>
      </c>
    </row>
    <row r="2579" spans="2:4" x14ac:dyDescent="0.25">
      <c r="B2579">
        <f t="shared" ca="1" si="122"/>
        <v>41013.548739338301</v>
      </c>
      <c r="C2579">
        <f t="shared" ca="1" si="120"/>
        <v>0</v>
      </c>
      <c r="D2579">
        <f t="shared" ca="1" si="121"/>
        <v>1013.5487393383009</v>
      </c>
    </row>
    <row r="2580" spans="2:4" x14ac:dyDescent="0.25">
      <c r="B2580">
        <f t="shared" ca="1" si="122"/>
        <v>48830.120321388356</v>
      </c>
      <c r="C2580">
        <f t="shared" ca="1" si="120"/>
        <v>0</v>
      </c>
      <c r="D2580">
        <f t="shared" ca="1" si="121"/>
        <v>8830.1203213883564</v>
      </c>
    </row>
    <row r="2581" spans="2:4" x14ac:dyDescent="0.25">
      <c r="B2581">
        <f t="shared" ca="1" si="122"/>
        <v>39987.783976894527</v>
      </c>
      <c r="C2581">
        <f t="shared" ca="1" si="120"/>
        <v>12.216023105473141</v>
      </c>
      <c r="D2581">
        <f t="shared" ca="1" si="121"/>
        <v>0</v>
      </c>
    </row>
    <row r="2582" spans="2:4" x14ac:dyDescent="0.25">
      <c r="B2582">
        <f t="shared" ca="1" si="122"/>
        <v>37071.432571252786</v>
      </c>
      <c r="C2582">
        <f t="shared" ca="1" si="120"/>
        <v>2928.5674287472139</v>
      </c>
      <c r="D2582">
        <f t="shared" ca="1" si="121"/>
        <v>0</v>
      </c>
    </row>
    <row r="2583" spans="2:4" x14ac:dyDescent="0.25">
      <c r="B2583">
        <f t="shared" ca="1" si="122"/>
        <v>45275.657072620437</v>
      </c>
      <c r="C2583">
        <f t="shared" ca="1" si="120"/>
        <v>0</v>
      </c>
      <c r="D2583">
        <f t="shared" ca="1" si="121"/>
        <v>5275.6570726204372</v>
      </c>
    </row>
    <row r="2584" spans="2:4" x14ac:dyDescent="0.25">
      <c r="B2584">
        <f t="shared" ca="1" si="122"/>
        <v>47434.310980164679</v>
      </c>
      <c r="C2584">
        <f t="shared" ca="1" si="120"/>
        <v>0</v>
      </c>
      <c r="D2584">
        <f t="shared" ca="1" si="121"/>
        <v>7434.3109801646788</v>
      </c>
    </row>
    <row r="2585" spans="2:4" x14ac:dyDescent="0.25">
      <c r="B2585">
        <f t="shared" ca="1" si="122"/>
        <v>34465.217908068764</v>
      </c>
      <c r="C2585">
        <f t="shared" ca="1" si="120"/>
        <v>5534.7820919312362</v>
      </c>
      <c r="D2585">
        <f t="shared" ca="1" si="121"/>
        <v>0</v>
      </c>
    </row>
    <row r="2586" spans="2:4" x14ac:dyDescent="0.25">
      <c r="B2586">
        <f t="shared" ca="1" si="122"/>
        <v>45197.370822635501</v>
      </c>
      <c r="C2586">
        <f t="shared" ca="1" si="120"/>
        <v>0</v>
      </c>
      <c r="D2586">
        <f t="shared" ca="1" si="121"/>
        <v>5197.3708226355011</v>
      </c>
    </row>
    <row r="2587" spans="2:4" x14ac:dyDescent="0.25">
      <c r="B2587">
        <f t="shared" ca="1" si="122"/>
        <v>43166.50035178339</v>
      </c>
      <c r="C2587">
        <f t="shared" ca="1" si="120"/>
        <v>0</v>
      </c>
      <c r="D2587">
        <f t="shared" ca="1" si="121"/>
        <v>3166.5003517833902</v>
      </c>
    </row>
    <row r="2588" spans="2:4" x14ac:dyDescent="0.25">
      <c r="B2588">
        <f t="shared" ca="1" si="122"/>
        <v>48190.937832240241</v>
      </c>
      <c r="C2588">
        <f t="shared" ca="1" si="120"/>
        <v>0</v>
      </c>
      <c r="D2588">
        <f t="shared" ca="1" si="121"/>
        <v>8190.9378322402408</v>
      </c>
    </row>
    <row r="2589" spans="2:4" x14ac:dyDescent="0.25">
      <c r="B2589">
        <f t="shared" ca="1" si="122"/>
        <v>38318.124384349896</v>
      </c>
      <c r="C2589">
        <f t="shared" ca="1" si="120"/>
        <v>1681.875615650104</v>
      </c>
      <c r="D2589">
        <f t="shared" ca="1" si="121"/>
        <v>0</v>
      </c>
    </row>
    <row r="2590" spans="2:4" x14ac:dyDescent="0.25">
      <c r="B2590">
        <f t="shared" ca="1" si="122"/>
        <v>50078.636855486133</v>
      </c>
      <c r="C2590">
        <f t="shared" ca="1" si="120"/>
        <v>0</v>
      </c>
      <c r="D2590">
        <f t="shared" ca="1" si="121"/>
        <v>10078.636855486133</v>
      </c>
    </row>
    <row r="2591" spans="2:4" x14ac:dyDescent="0.25">
      <c r="B2591">
        <f t="shared" ca="1" si="122"/>
        <v>35195.735035276441</v>
      </c>
      <c r="C2591">
        <f t="shared" ca="1" si="120"/>
        <v>4804.2649647235594</v>
      </c>
      <c r="D2591">
        <f t="shared" ca="1" si="121"/>
        <v>0</v>
      </c>
    </row>
    <row r="2592" spans="2:4" x14ac:dyDescent="0.25">
      <c r="B2592">
        <f t="shared" ca="1" si="122"/>
        <v>37912.051430678082</v>
      </c>
      <c r="C2592">
        <f t="shared" ca="1" si="120"/>
        <v>2087.9485693219176</v>
      </c>
      <c r="D2592">
        <f t="shared" ca="1" si="121"/>
        <v>0</v>
      </c>
    </row>
    <row r="2593" spans="2:4" x14ac:dyDescent="0.25">
      <c r="B2593">
        <f t="shared" ca="1" si="122"/>
        <v>42978.101955276448</v>
      </c>
      <c r="C2593">
        <f t="shared" ca="1" si="120"/>
        <v>0</v>
      </c>
      <c r="D2593">
        <f t="shared" ca="1" si="121"/>
        <v>2978.1019552764483</v>
      </c>
    </row>
    <row r="2594" spans="2:4" x14ac:dyDescent="0.25">
      <c r="B2594">
        <f t="shared" ca="1" si="122"/>
        <v>47170.949612505516</v>
      </c>
      <c r="C2594">
        <f t="shared" ca="1" si="120"/>
        <v>0</v>
      </c>
      <c r="D2594">
        <f t="shared" ca="1" si="121"/>
        <v>7170.9496125055157</v>
      </c>
    </row>
    <row r="2595" spans="2:4" x14ac:dyDescent="0.25">
      <c r="B2595">
        <f t="shared" ca="1" si="122"/>
        <v>38582.738536102399</v>
      </c>
      <c r="C2595">
        <f t="shared" ca="1" si="120"/>
        <v>1417.2614638976011</v>
      </c>
      <c r="D2595">
        <f t="shared" ca="1" si="121"/>
        <v>0</v>
      </c>
    </row>
    <row r="2596" spans="2:4" x14ac:dyDescent="0.25">
      <c r="B2596">
        <f t="shared" ca="1" si="122"/>
        <v>42012.496586039691</v>
      </c>
      <c r="C2596">
        <f t="shared" ca="1" si="120"/>
        <v>0</v>
      </c>
      <c r="D2596">
        <f t="shared" ca="1" si="121"/>
        <v>2012.4965860396915</v>
      </c>
    </row>
    <row r="2597" spans="2:4" x14ac:dyDescent="0.25">
      <c r="B2597">
        <f t="shared" ca="1" si="122"/>
        <v>50276.707315539126</v>
      </c>
      <c r="C2597">
        <f t="shared" ca="1" si="120"/>
        <v>0</v>
      </c>
      <c r="D2597">
        <f t="shared" ca="1" si="121"/>
        <v>10276.707315539126</v>
      </c>
    </row>
    <row r="2598" spans="2:4" x14ac:dyDescent="0.25">
      <c r="B2598">
        <f t="shared" ca="1" si="122"/>
        <v>50457.637327561344</v>
      </c>
      <c r="C2598">
        <f t="shared" ca="1" si="120"/>
        <v>0</v>
      </c>
      <c r="D2598">
        <f t="shared" ca="1" si="121"/>
        <v>10457.637327561344</v>
      </c>
    </row>
    <row r="2599" spans="2:4" x14ac:dyDescent="0.25">
      <c r="B2599">
        <f t="shared" ca="1" si="122"/>
        <v>42211.290939432038</v>
      </c>
      <c r="C2599">
        <f t="shared" ca="1" si="120"/>
        <v>0</v>
      </c>
      <c r="D2599">
        <f t="shared" ca="1" si="121"/>
        <v>2211.2909394320377</v>
      </c>
    </row>
    <row r="2600" spans="2:4" x14ac:dyDescent="0.25">
      <c r="B2600">
        <f t="shared" ca="1" si="122"/>
        <v>53790.004039958512</v>
      </c>
      <c r="C2600">
        <f t="shared" ca="1" si="120"/>
        <v>0</v>
      </c>
      <c r="D2600">
        <f t="shared" ca="1" si="121"/>
        <v>13790.004039958512</v>
      </c>
    </row>
    <row r="2601" spans="2:4" x14ac:dyDescent="0.25">
      <c r="B2601">
        <f t="shared" ca="1" si="122"/>
        <v>51600.34340771116</v>
      </c>
      <c r="C2601">
        <f t="shared" ca="1" si="120"/>
        <v>0</v>
      </c>
      <c r="D2601">
        <f t="shared" ca="1" si="121"/>
        <v>11600.34340771116</v>
      </c>
    </row>
    <row r="2602" spans="2:4" x14ac:dyDescent="0.25">
      <c r="B2602">
        <f t="shared" ca="1" si="122"/>
        <v>41962.670120508483</v>
      </c>
      <c r="C2602">
        <f t="shared" ca="1" si="120"/>
        <v>0</v>
      </c>
      <c r="D2602">
        <f t="shared" ca="1" si="121"/>
        <v>1962.6701205084828</v>
      </c>
    </row>
    <row r="2603" spans="2:4" x14ac:dyDescent="0.25">
      <c r="B2603">
        <f t="shared" ca="1" si="122"/>
        <v>44074.904893512256</v>
      </c>
      <c r="C2603">
        <f t="shared" ca="1" si="120"/>
        <v>0</v>
      </c>
      <c r="D2603">
        <f t="shared" ca="1" si="121"/>
        <v>4074.9048935122555</v>
      </c>
    </row>
    <row r="2604" spans="2:4" x14ac:dyDescent="0.25">
      <c r="B2604">
        <f t="shared" ca="1" si="122"/>
        <v>44282.023127822584</v>
      </c>
      <c r="C2604">
        <f t="shared" ca="1" si="120"/>
        <v>0</v>
      </c>
      <c r="D2604">
        <f t="shared" ca="1" si="121"/>
        <v>4282.0231278225838</v>
      </c>
    </row>
    <row r="2605" spans="2:4" x14ac:dyDescent="0.25">
      <c r="B2605">
        <f t="shared" ca="1" si="122"/>
        <v>41480.566988791703</v>
      </c>
      <c r="C2605">
        <f t="shared" ca="1" si="120"/>
        <v>0</v>
      </c>
      <c r="D2605">
        <f t="shared" ca="1" si="121"/>
        <v>1480.5669887917029</v>
      </c>
    </row>
    <row r="2606" spans="2:4" x14ac:dyDescent="0.25">
      <c r="B2606">
        <f t="shared" ca="1" si="122"/>
        <v>46823.550973058278</v>
      </c>
      <c r="C2606">
        <f t="shared" ca="1" si="120"/>
        <v>0</v>
      </c>
      <c r="D2606">
        <f t="shared" ca="1" si="121"/>
        <v>6823.550973058278</v>
      </c>
    </row>
    <row r="2607" spans="2:4" x14ac:dyDescent="0.25">
      <c r="B2607">
        <f t="shared" ca="1" si="122"/>
        <v>42498.956717148212</v>
      </c>
      <c r="C2607">
        <f t="shared" ca="1" si="120"/>
        <v>0</v>
      </c>
      <c r="D2607">
        <f t="shared" ca="1" si="121"/>
        <v>2498.9567171482122</v>
      </c>
    </row>
    <row r="2608" spans="2:4" x14ac:dyDescent="0.25">
      <c r="B2608">
        <f t="shared" ca="1" si="122"/>
        <v>43719.491959760802</v>
      </c>
      <c r="C2608">
        <f t="shared" ca="1" si="120"/>
        <v>0</v>
      </c>
      <c r="D2608">
        <f t="shared" ca="1" si="121"/>
        <v>3719.4919597608023</v>
      </c>
    </row>
    <row r="2609" spans="2:4" x14ac:dyDescent="0.25">
      <c r="B2609">
        <f t="shared" ca="1" si="122"/>
        <v>42890.080226536287</v>
      </c>
      <c r="C2609">
        <f t="shared" ca="1" si="120"/>
        <v>0</v>
      </c>
      <c r="D2609">
        <f t="shared" ca="1" si="121"/>
        <v>2890.0802265362872</v>
      </c>
    </row>
    <row r="2610" spans="2:4" x14ac:dyDescent="0.25">
      <c r="B2610">
        <f t="shared" ca="1" si="122"/>
        <v>44461.786162304903</v>
      </c>
      <c r="C2610">
        <f t="shared" ca="1" si="120"/>
        <v>0</v>
      </c>
      <c r="D2610">
        <f t="shared" ca="1" si="121"/>
        <v>4461.786162304903</v>
      </c>
    </row>
    <row r="2611" spans="2:4" x14ac:dyDescent="0.25">
      <c r="B2611">
        <f t="shared" ca="1" si="122"/>
        <v>47091.726561011797</v>
      </c>
      <c r="C2611">
        <f t="shared" ca="1" si="120"/>
        <v>0</v>
      </c>
      <c r="D2611">
        <f t="shared" ca="1" si="121"/>
        <v>7091.7265610117975</v>
      </c>
    </row>
    <row r="2612" spans="2:4" x14ac:dyDescent="0.25">
      <c r="B2612">
        <f t="shared" ca="1" si="122"/>
        <v>44931.843765098347</v>
      </c>
      <c r="C2612">
        <f t="shared" ca="1" si="120"/>
        <v>0</v>
      </c>
      <c r="D2612">
        <f t="shared" ca="1" si="121"/>
        <v>4931.8437650983469</v>
      </c>
    </row>
    <row r="2613" spans="2:4" x14ac:dyDescent="0.25">
      <c r="B2613">
        <f t="shared" ca="1" si="122"/>
        <v>41855.35770883628</v>
      </c>
      <c r="C2613">
        <f t="shared" ca="1" si="120"/>
        <v>0</v>
      </c>
      <c r="D2613">
        <f t="shared" ca="1" si="121"/>
        <v>1855.3577088362799</v>
      </c>
    </row>
    <row r="2614" spans="2:4" x14ac:dyDescent="0.25">
      <c r="B2614">
        <f t="shared" ca="1" si="122"/>
        <v>52239.352678763433</v>
      </c>
      <c r="C2614">
        <f t="shared" ca="1" si="120"/>
        <v>0</v>
      </c>
      <c r="D2614">
        <f t="shared" ca="1" si="121"/>
        <v>12239.352678763433</v>
      </c>
    </row>
    <row r="2615" spans="2:4" x14ac:dyDescent="0.25">
      <c r="B2615">
        <f t="shared" ca="1" si="122"/>
        <v>40096.95740512239</v>
      </c>
      <c r="C2615">
        <f t="shared" ca="1" si="120"/>
        <v>0</v>
      </c>
      <c r="D2615">
        <f t="shared" ca="1" si="121"/>
        <v>96.9574051223899</v>
      </c>
    </row>
    <row r="2616" spans="2:4" x14ac:dyDescent="0.25">
      <c r="B2616">
        <f t="shared" ca="1" si="122"/>
        <v>42880.608383602899</v>
      </c>
      <c r="C2616">
        <f t="shared" ca="1" si="120"/>
        <v>0</v>
      </c>
      <c r="D2616">
        <f t="shared" ca="1" si="121"/>
        <v>2880.6083836028993</v>
      </c>
    </row>
    <row r="2617" spans="2:4" x14ac:dyDescent="0.25">
      <c r="B2617">
        <f t="shared" ca="1" si="122"/>
        <v>45055.607249548229</v>
      </c>
      <c r="C2617">
        <f t="shared" ca="1" si="120"/>
        <v>0</v>
      </c>
      <c r="D2617">
        <f t="shared" ca="1" si="121"/>
        <v>5055.6072495482294</v>
      </c>
    </row>
    <row r="2618" spans="2:4" x14ac:dyDescent="0.25">
      <c r="B2618">
        <f t="shared" ca="1" si="122"/>
        <v>45335.712959595927</v>
      </c>
      <c r="C2618">
        <f t="shared" ca="1" si="120"/>
        <v>0</v>
      </c>
      <c r="D2618">
        <f t="shared" ca="1" si="121"/>
        <v>5335.7129595959268</v>
      </c>
    </row>
    <row r="2619" spans="2:4" x14ac:dyDescent="0.25">
      <c r="B2619">
        <f t="shared" ca="1" si="122"/>
        <v>45295.506877622844</v>
      </c>
      <c r="C2619">
        <f t="shared" ca="1" si="120"/>
        <v>0</v>
      </c>
      <c r="D2619">
        <f t="shared" ca="1" si="121"/>
        <v>5295.5068776228436</v>
      </c>
    </row>
    <row r="2620" spans="2:4" x14ac:dyDescent="0.25">
      <c r="B2620">
        <f t="shared" ca="1" si="122"/>
        <v>46072.457340466302</v>
      </c>
      <c r="C2620">
        <f t="shared" ca="1" si="120"/>
        <v>0</v>
      </c>
      <c r="D2620">
        <f t="shared" ca="1" si="121"/>
        <v>6072.4573404663024</v>
      </c>
    </row>
    <row r="2621" spans="2:4" x14ac:dyDescent="0.25">
      <c r="B2621">
        <f t="shared" ca="1" si="122"/>
        <v>48157.136051193615</v>
      </c>
      <c r="C2621">
        <f t="shared" ca="1" si="120"/>
        <v>0</v>
      </c>
      <c r="D2621">
        <f t="shared" ca="1" si="121"/>
        <v>8157.1360511936145</v>
      </c>
    </row>
    <row r="2622" spans="2:4" x14ac:dyDescent="0.25">
      <c r="B2622">
        <f t="shared" ca="1" si="122"/>
        <v>40214.870995575962</v>
      </c>
      <c r="C2622">
        <f t="shared" ca="1" si="120"/>
        <v>0</v>
      </c>
      <c r="D2622">
        <f t="shared" ca="1" si="121"/>
        <v>214.8709955759623</v>
      </c>
    </row>
    <row r="2623" spans="2:4" x14ac:dyDescent="0.25">
      <c r="B2623">
        <f t="shared" ca="1" si="122"/>
        <v>44205.373189815065</v>
      </c>
      <c r="C2623">
        <f t="shared" ca="1" si="120"/>
        <v>0</v>
      </c>
      <c r="D2623">
        <f t="shared" ca="1" si="121"/>
        <v>4205.3731898150654</v>
      </c>
    </row>
    <row r="2624" spans="2:4" x14ac:dyDescent="0.25">
      <c r="B2624">
        <f t="shared" ca="1" si="122"/>
        <v>42147.554471909396</v>
      </c>
      <c r="C2624">
        <f t="shared" ca="1" si="120"/>
        <v>0</v>
      </c>
      <c r="D2624">
        <f t="shared" ca="1" si="121"/>
        <v>2147.5544719093959</v>
      </c>
    </row>
    <row r="2625" spans="2:4" x14ac:dyDescent="0.25">
      <c r="B2625">
        <f t="shared" ca="1" si="122"/>
        <v>48683.850827655915</v>
      </c>
      <c r="C2625">
        <f t="shared" ca="1" si="120"/>
        <v>0</v>
      </c>
      <c r="D2625">
        <f t="shared" ca="1" si="121"/>
        <v>8683.8508276559151</v>
      </c>
    </row>
    <row r="2626" spans="2:4" x14ac:dyDescent="0.25">
      <c r="B2626">
        <f t="shared" ca="1" si="122"/>
        <v>42702.805638051548</v>
      </c>
      <c r="C2626">
        <f t="shared" ca="1" si="120"/>
        <v>0</v>
      </c>
      <c r="D2626">
        <f t="shared" ca="1" si="121"/>
        <v>2702.8056380515482</v>
      </c>
    </row>
    <row r="2627" spans="2:4" x14ac:dyDescent="0.25">
      <c r="B2627">
        <f t="shared" ca="1" si="122"/>
        <v>42220.593468529107</v>
      </c>
      <c r="C2627">
        <f t="shared" ca="1" si="120"/>
        <v>0</v>
      </c>
      <c r="D2627">
        <f t="shared" ca="1" si="121"/>
        <v>2220.5934685291068</v>
      </c>
    </row>
    <row r="2628" spans="2:4" x14ac:dyDescent="0.25">
      <c r="B2628">
        <f t="shared" ca="1" si="122"/>
        <v>45950.868971650525</v>
      </c>
      <c r="C2628">
        <f t="shared" ca="1" si="120"/>
        <v>0</v>
      </c>
      <c r="D2628">
        <f t="shared" ca="1" si="121"/>
        <v>5950.8689716505251</v>
      </c>
    </row>
    <row r="2629" spans="2:4" x14ac:dyDescent="0.25">
      <c r="B2629">
        <f t="shared" ca="1" si="122"/>
        <v>47855.624534586663</v>
      </c>
      <c r="C2629">
        <f t="shared" ca="1" si="120"/>
        <v>0</v>
      </c>
      <c r="D2629">
        <f t="shared" ca="1" si="121"/>
        <v>7855.6245345866628</v>
      </c>
    </row>
    <row r="2630" spans="2:4" x14ac:dyDescent="0.25">
      <c r="B2630">
        <f t="shared" ca="1" si="122"/>
        <v>41654.319771886527</v>
      </c>
      <c r="C2630">
        <f t="shared" ca="1" si="120"/>
        <v>0</v>
      </c>
      <c r="D2630">
        <f t="shared" ca="1" si="121"/>
        <v>1654.3197718865267</v>
      </c>
    </row>
    <row r="2631" spans="2:4" x14ac:dyDescent="0.25">
      <c r="B2631">
        <f t="shared" ca="1" si="122"/>
        <v>47159.70810203228</v>
      </c>
      <c r="C2631">
        <f t="shared" ca="1" si="120"/>
        <v>0</v>
      </c>
      <c r="D2631">
        <f t="shared" ca="1" si="121"/>
        <v>7159.7081020322803</v>
      </c>
    </row>
    <row r="2632" spans="2:4" x14ac:dyDescent="0.25">
      <c r="B2632">
        <f t="shared" ca="1" si="122"/>
        <v>47395.672341590391</v>
      </c>
      <c r="C2632">
        <f t="shared" ca="1" si="120"/>
        <v>0</v>
      </c>
      <c r="D2632">
        <f t="shared" ca="1" si="121"/>
        <v>7395.6723415903907</v>
      </c>
    </row>
    <row r="2633" spans="2:4" x14ac:dyDescent="0.25">
      <c r="B2633">
        <f t="shared" ca="1" si="122"/>
        <v>47877.991756569922</v>
      </c>
      <c r="C2633">
        <f t="shared" ca="1" si="120"/>
        <v>0</v>
      </c>
      <c r="D2633">
        <f t="shared" ca="1" si="121"/>
        <v>7877.9917565699216</v>
      </c>
    </row>
    <row r="2634" spans="2:4" x14ac:dyDescent="0.25">
      <c r="B2634">
        <f t="shared" ca="1" si="122"/>
        <v>39045.191402098651</v>
      </c>
      <c r="C2634">
        <f t="shared" ca="1" si="120"/>
        <v>954.80859790134855</v>
      </c>
      <c r="D2634">
        <f t="shared" ca="1" si="121"/>
        <v>0</v>
      </c>
    </row>
    <row r="2635" spans="2:4" x14ac:dyDescent="0.25">
      <c r="B2635">
        <f t="shared" ca="1" si="122"/>
        <v>54627.888932624104</v>
      </c>
      <c r="C2635">
        <f t="shared" ca="1" si="120"/>
        <v>0</v>
      </c>
      <c r="D2635">
        <f t="shared" ca="1" si="121"/>
        <v>14627.888932624104</v>
      </c>
    </row>
    <row r="2636" spans="2:4" x14ac:dyDescent="0.25">
      <c r="B2636">
        <f t="shared" ca="1" si="122"/>
        <v>50652.498087869048</v>
      </c>
      <c r="C2636">
        <f t="shared" ref="C2636:C2699" ca="1" si="123">IF(MAX($B$2-B2636)&lt;0,0,$B$2-B2636)</f>
        <v>0</v>
      </c>
      <c r="D2636">
        <f t="shared" ref="D2636:D2699" ca="1" si="124">IF(MAX(B2636-$B$2)&lt;0,0,B2636-$B$2)</f>
        <v>10652.498087869048</v>
      </c>
    </row>
    <row r="2637" spans="2:4" x14ac:dyDescent="0.25">
      <c r="B2637">
        <f t="shared" ref="B2637:B2700" ca="1" si="125">$B$1*EXP((($B$4-($B$3^2)/2)*$B$5+$B$3*SQRT($B$5)*NORMSINV(RAND())))</f>
        <v>38663.290602182642</v>
      </c>
      <c r="C2637">
        <f t="shared" ca="1" si="123"/>
        <v>1336.709397817358</v>
      </c>
      <c r="D2637">
        <f t="shared" ca="1" si="124"/>
        <v>0</v>
      </c>
    </row>
    <row r="2638" spans="2:4" x14ac:dyDescent="0.25">
      <c r="B2638">
        <f t="shared" ca="1" si="125"/>
        <v>39931.147318432697</v>
      </c>
      <c r="C2638">
        <f t="shared" ca="1" si="123"/>
        <v>68.85268156730308</v>
      </c>
      <c r="D2638">
        <f t="shared" ca="1" si="124"/>
        <v>0</v>
      </c>
    </row>
    <row r="2639" spans="2:4" x14ac:dyDescent="0.25">
      <c r="B2639">
        <f t="shared" ca="1" si="125"/>
        <v>48446.506005237512</v>
      </c>
      <c r="C2639">
        <f t="shared" ca="1" si="123"/>
        <v>0</v>
      </c>
      <c r="D2639">
        <f t="shared" ca="1" si="124"/>
        <v>8446.506005237512</v>
      </c>
    </row>
    <row r="2640" spans="2:4" x14ac:dyDescent="0.25">
      <c r="B2640">
        <f t="shared" ca="1" si="125"/>
        <v>41688.45554368684</v>
      </c>
      <c r="C2640">
        <f t="shared" ca="1" si="123"/>
        <v>0</v>
      </c>
      <c r="D2640">
        <f t="shared" ca="1" si="124"/>
        <v>1688.4555436868395</v>
      </c>
    </row>
    <row r="2641" spans="2:4" x14ac:dyDescent="0.25">
      <c r="B2641">
        <f t="shared" ca="1" si="125"/>
        <v>47813.153396182439</v>
      </c>
      <c r="C2641">
        <f t="shared" ca="1" si="123"/>
        <v>0</v>
      </c>
      <c r="D2641">
        <f t="shared" ca="1" si="124"/>
        <v>7813.1533961824389</v>
      </c>
    </row>
    <row r="2642" spans="2:4" x14ac:dyDescent="0.25">
      <c r="B2642">
        <f t="shared" ca="1" si="125"/>
        <v>45854.667003452079</v>
      </c>
      <c r="C2642">
        <f t="shared" ca="1" si="123"/>
        <v>0</v>
      </c>
      <c r="D2642">
        <f t="shared" ca="1" si="124"/>
        <v>5854.6670034520794</v>
      </c>
    </row>
    <row r="2643" spans="2:4" x14ac:dyDescent="0.25">
      <c r="B2643">
        <f t="shared" ca="1" si="125"/>
        <v>54837.66101297782</v>
      </c>
      <c r="C2643">
        <f t="shared" ca="1" si="123"/>
        <v>0</v>
      </c>
      <c r="D2643">
        <f t="shared" ca="1" si="124"/>
        <v>14837.66101297782</v>
      </c>
    </row>
    <row r="2644" spans="2:4" x14ac:dyDescent="0.25">
      <c r="B2644">
        <f t="shared" ca="1" si="125"/>
        <v>47093.36005200864</v>
      </c>
      <c r="C2644">
        <f t="shared" ca="1" si="123"/>
        <v>0</v>
      </c>
      <c r="D2644">
        <f t="shared" ca="1" si="124"/>
        <v>7093.3600520086402</v>
      </c>
    </row>
    <row r="2645" spans="2:4" x14ac:dyDescent="0.25">
      <c r="B2645">
        <f t="shared" ca="1" si="125"/>
        <v>48706.816840055617</v>
      </c>
      <c r="C2645">
        <f t="shared" ca="1" si="123"/>
        <v>0</v>
      </c>
      <c r="D2645">
        <f t="shared" ca="1" si="124"/>
        <v>8706.8168400556169</v>
      </c>
    </row>
    <row r="2646" spans="2:4" x14ac:dyDescent="0.25">
      <c r="B2646">
        <f t="shared" ca="1" si="125"/>
        <v>44987.823369506041</v>
      </c>
      <c r="C2646">
        <f t="shared" ca="1" si="123"/>
        <v>0</v>
      </c>
      <c r="D2646">
        <f t="shared" ca="1" si="124"/>
        <v>4987.8233695060408</v>
      </c>
    </row>
    <row r="2647" spans="2:4" x14ac:dyDescent="0.25">
      <c r="B2647">
        <f t="shared" ca="1" si="125"/>
        <v>36654.574964920488</v>
      </c>
      <c r="C2647">
        <f t="shared" ca="1" si="123"/>
        <v>3345.4250350795119</v>
      </c>
      <c r="D2647">
        <f t="shared" ca="1" si="124"/>
        <v>0</v>
      </c>
    </row>
    <row r="2648" spans="2:4" x14ac:dyDescent="0.25">
      <c r="B2648">
        <f t="shared" ca="1" si="125"/>
        <v>42747.815220723067</v>
      </c>
      <c r="C2648">
        <f t="shared" ca="1" si="123"/>
        <v>0</v>
      </c>
      <c r="D2648">
        <f t="shared" ca="1" si="124"/>
        <v>2747.8152207230669</v>
      </c>
    </row>
    <row r="2649" spans="2:4" x14ac:dyDescent="0.25">
      <c r="B2649">
        <f t="shared" ca="1" si="125"/>
        <v>52167.781253891699</v>
      </c>
      <c r="C2649">
        <f t="shared" ca="1" si="123"/>
        <v>0</v>
      </c>
      <c r="D2649">
        <f t="shared" ca="1" si="124"/>
        <v>12167.781253891699</v>
      </c>
    </row>
    <row r="2650" spans="2:4" x14ac:dyDescent="0.25">
      <c r="B2650">
        <f t="shared" ca="1" si="125"/>
        <v>47455.404622578943</v>
      </c>
      <c r="C2650">
        <f t="shared" ca="1" si="123"/>
        <v>0</v>
      </c>
      <c r="D2650">
        <f t="shared" ca="1" si="124"/>
        <v>7455.4046225789425</v>
      </c>
    </row>
    <row r="2651" spans="2:4" x14ac:dyDescent="0.25">
      <c r="B2651">
        <f t="shared" ca="1" si="125"/>
        <v>46288.326349685864</v>
      </c>
      <c r="C2651">
        <f t="shared" ca="1" si="123"/>
        <v>0</v>
      </c>
      <c r="D2651">
        <f t="shared" ca="1" si="124"/>
        <v>6288.3263496858635</v>
      </c>
    </row>
    <row r="2652" spans="2:4" x14ac:dyDescent="0.25">
      <c r="B2652">
        <f t="shared" ca="1" si="125"/>
        <v>48812.947121915713</v>
      </c>
      <c r="C2652">
        <f t="shared" ca="1" si="123"/>
        <v>0</v>
      </c>
      <c r="D2652">
        <f t="shared" ca="1" si="124"/>
        <v>8812.9471219157131</v>
      </c>
    </row>
    <row r="2653" spans="2:4" x14ac:dyDescent="0.25">
      <c r="B2653">
        <f t="shared" ca="1" si="125"/>
        <v>45772.48604649023</v>
      </c>
      <c r="C2653">
        <f t="shared" ca="1" si="123"/>
        <v>0</v>
      </c>
      <c r="D2653">
        <f t="shared" ca="1" si="124"/>
        <v>5772.4860464902304</v>
      </c>
    </row>
    <row r="2654" spans="2:4" x14ac:dyDescent="0.25">
      <c r="B2654">
        <f t="shared" ca="1" si="125"/>
        <v>43603.234689434837</v>
      </c>
      <c r="C2654">
        <f t="shared" ca="1" si="123"/>
        <v>0</v>
      </c>
      <c r="D2654">
        <f t="shared" ca="1" si="124"/>
        <v>3603.2346894348375</v>
      </c>
    </row>
    <row r="2655" spans="2:4" x14ac:dyDescent="0.25">
      <c r="B2655">
        <f t="shared" ca="1" si="125"/>
        <v>49768.15293222382</v>
      </c>
      <c r="C2655">
        <f t="shared" ca="1" si="123"/>
        <v>0</v>
      </c>
      <c r="D2655">
        <f t="shared" ca="1" si="124"/>
        <v>9768.1529322238202</v>
      </c>
    </row>
    <row r="2656" spans="2:4" x14ac:dyDescent="0.25">
      <c r="B2656">
        <f t="shared" ca="1" si="125"/>
        <v>44751.960133824687</v>
      </c>
      <c r="C2656">
        <f t="shared" ca="1" si="123"/>
        <v>0</v>
      </c>
      <c r="D2656">
        <f t="shared" ca="1" si="124"/>
        <v>4751.9601338246866</v>
      </c>
    </row>
    <row r="2657" spans="2:4" x14ac:dyDescent="0.25">
      <c r="B2657">
        <f t="shared" ca="1" si="125"/>
        <v>39842.371148755694</v>
      </c>
      <c r="C2657">
        <f t="shared" ca="1" si="123"/>
        <v>157.62885124430613</v>
      </c>
      <c r="D2657">
        <f t="shared" ca="1" si="124"/>
        <v>0</v>
      </c>
    </row>
    <row r="2658" spans="2:4" x14ac:dyDescent="0.25">
      <c r="B2658">
        <f t="shared" ca="1" si="125"/>
        <v>46923.36046931622</v>
      </c>
      <c r="C2658">
        <f t="shared" ca="1" si="123"/>
        <v>0</v>
      </c>
      <c r="D2658">
        <f t="shared" ca="1" si="124"/>
        <v>6923.3604693162197</v>
      </c>
    </row>
    <row r="2659" spans="2:4" x14ac:dyDescent="0.25">
      <c r="B2659">
        <f t="shared" ca="1" si="125"/>
        <v>48060.054807167566</v>
      </c>
      <c r="C2659">
        <f t="shared" ca="1" si="123"/>
        <v>0</v>
      </c>
      <c r="D2659">
        <f t="shared" ca="1" si="124"/>
        <v>8060.0548071675657</v>
      </c>
    </row>
    <row r="2660" spans="2:4" x14ac:dyDescent="0.25">
      <c r="B2660">
        <f t="shared" ca="1" si="125"/>
        <v>40962.409111564673</v>
      </c>
      <c r="C2660">
        <f t="shared" ca="1" si="123"/>
        <v>0</v>
      </c>
      <c r="D2660">
        <f t="shared" ca="1" si="124"/>
        <v>962.40911156467337</v>
      </c>
    </row>
    <row r="2661" spans="2:4" x14ac:dyDescent="0.25">
      <c r="B2661">
        <f t="shared" ca="1" si="125"/>
        <v>44222.54816311867</v>
      </c>
      <c r="C2661">
        <f t="shared" ca="1" si="123"/>
        <v>0</v>
      </c>
      <c r="D2661">
        <f t="shared" ca="1" si="124"/>
        <v>4222.5481631186703</v>
      </c>
    </row>
    <row r="2662" spans="2:4" x14ac:dyDescent="0.25">
      <c r="B2662">
        <f t="shared" ca="1" si="125"/>
        <v>46863.834375233455</v>
      </c>
      <c r="C2662">
        <f t="shared" ca="1" si="123"/>
        <v>0</v>
      </c>
      <c r="D2662">
        <f t="shared" ca="1" si="124"/>
        <v>6863.8343752334549</v>
      </c>
    </row>
    <row r="2663" spans="2:4" x14ac:dyDescent="0.25">
      <c r="B2663">
        <f t="shared" ca="1" si="125"/>
        <v>45990.471562882653</v>
      </c>
      <c r="C2663">
        <f t="shared" ca="1" si="123"/>
        <v>0</v>
      </c>
      <c r="D2663">
        <f t="shared" ca="1" si="124"/>
        <v>5990.4715628826525</v>
      </c>
    </row>
    <row r="2664" spans="2:4" x14ac:dyDescent="0.25">
      <c r="B2664">
        <f t="shared" ca="1" si="125"/>
        <v>45532.251713763995</v>
      </c>
      <c r="C2664">
        <f t="shared" ca="1" si="123"/>
        <v>0</v>
      </c>
      <c r="D2664">
        <f t="shared" ca="1" si="124"/>
        <v>5532.2517137639952</v>
      </c>
    </row>
    <row r="2665" spans="2:4" x14ac:dyDescent="0.25">
      <c r="B2665">
        <f t="shared" ca="1" si="125"/>
        <v>46693.466376416123</v>
      </c>
      <c r="C2665">
        <f t="shared" ca="1" si="123"/>
        <v>0</v>
      </c>
      <c r="D2665">
        <f t="shared" ca="1" si="124"/>
        <v>6693.4663764161232</v>
      </c>
    </row>
    <row r="2666" spans="2:4" x14ac:dyDescent="0.25">
      <c r="B2666">
        <f t="shared" ca="1" si="125"/>
        <v>44467.049414967747</v>
      </c>
      <c r="C2666">
        <f t="shared" ca="1" si="123"/>
        <v>0</v>
      </c>
      <c r="D2666">
        <f t="shared" ca="1" si="124"/>
        <v>4467.049414967747</v>
      </c>
    </row>
    <row r="2667" spans="2:4" x14ac:dyDescent="0.25">
      <c r="B2667">
        <f t="shared" ca="1" si="125"/>
        <v>55878.703383864769</v>
      </c>
      <c r="C2667">
        <f t="shared" ca="1" si="123"/>
        <v>0</v>
      </c>
      <c r="D2667">
        <f t="shared" ca="1" si="124"/>
        <v>15878.703383864769</v>
      </c>
    </row>
    <row r="2668" spans="2:4" x14ac:dyDescent="0.25">
      <c r="B2668">
        <f t="shared" ca="1" si="125"/>
        <v>50345.273569936762</v>
      </c>
      <c r="C2668">
        <f t="shared" ca="1" si="123"/>
        <v>0</v>
      </c>
      <c r="D2668">
        <f t="shared" ca="1" si="124"/>
        <v>10345.273569936762</v>
      </c>
    </row>
    <row r="2669" spans="2:4" x14ac:dyDescent="0.25">
      <c r="B2669">
        <f t="shared" ca="1" si="125"/>
        <v>45183.77227803455</v>
      </c>
      <c r="C2669">
        <f t="shared" ca="1" si="123"/>
        <v>0</v>
      </c>
      <c r="D2669">
        <f t="shared" ca="1" si="124"/>
        <v>5183.7722780345503</v>
      </c>
    </row>
    <row r="2670" spans="2:4" x14ac:dyDescent="0.25">
      <c r="B2670">
        <f t="shared" ca="1" si="125"/>
        <v>40941.96023580397</v>
      </c>
      <c r="C2670">
        <f t="shared" ca="1" si="123"/>
        <v>0</v>
      </c>
      <c r="D2670">
        <f t="shared" ca="1" si="124"/>
        <v>941.96023580397014</v>
      </c>
    </row>
    <row r="2671" spans="2:4" x14ac:dyDescent="0.25">
      <c r="B2671">
        <f t="shared" ca="1" si="125"/>
        <v>38842.863966042503</v>
      </c>
      <c r="C2671">
        <f t="shared" ca="1" si="123"/>
        <v>1157.1360339574967</v>
      </c>
      <c r="D2671">
        <f t="shared" ca="1" si="124"/>
        <v>0</v>
      </c>
    </row>
    <row r="2672" spans="2:4" x14ac:dyDescent="0.25">
      <c r="B2672">
        <f t="shared" ca="1" si="125"/>
        <v>48163.867559154773</v>
      </c>
      <c r="C2672">
        <f t="shared" ca="1" si="123"/>
        <v>0</v>
      </c>
      <c r="D2672">
        <f t="shared" ca="1" si="124"/>
        <v>8163.8675591547726</v>
      </c>
    </row>
    <row r="2673" spans="2:4" x14ac:dyDescent="0.25">
      <c r="B2673">
        <f t="shared" ca="1" si="125"/>
        <v>43896.675018402777</v>
      </c>
      <c r="C2673">
        <f t="shared" ca="1" si="123"/>
        <v>0</v>
      </c>
      <c r="D2673">
        <f t="shared" ca="1" si="124"/>
        <v>3896.6750184027769</v>
      </c>
    </row>
    <row r="2674" spans="2:4" x14ac:dyDescent="0.25">
      <c r="B2674">
        <f t="shared" ca="1" si="125"/>
        <v>44089.948925829849</v>
      </c>
      <c r="C2674">
        <f t="shared" ca="1" si="123"/>
        <v>0</v>
      </c>
      <c r="D2674">
        <f t="shared" ca="1" si="124"/>
        <v>4089.948925829849</v>
      </c>
    </row>
    <row r="2675" spans="2:4" x14ac:dyDescent="0.25">
      <c r="B2675">
        <f t="shared" ca="1" si="125"/>
        <v>54454.924469201353</v>
      </c>
      <c r="C2675">
        <f t="shared" ca="1" si="123"/>
        <v>0</v>
      </c>
      <c r="D2675">
        <f t="shared" ca="1" si="124"/>
        <v>14454.924469201353</v>
      </c>
    </row>
    <row r="2676" spans="2:4" x14ac:dyDescent="0.25">
      <c r="B2676">
        <f t="shared" ca="1" si="125"/>
        <v>44200.994525192553</v>
      </c>
      <c r="C2676">
        <f t="shared" ca="1" si="123"/>
        <v>0</v>
      </c>
      <c r="D2676">
        <f t="shared" ca="1" si="124"/>
        <v>4200.9945251925528</v>
      </c>
    </row>
    <row r="2677" spans="2:4" x14ac:dyDescent="0.25">
      <c r="B2677">
        <f t="shared" ca="1" si="125"/>
        <v>41331.048469702466</v>
      </c>
      <c r="C2677">
        <f t="shared" ca="1" si="123"/>
        <v>0</v>
      </c>
      <c r="D2677">
        <f t="shared" ca="1" si="124"/>
        <v>1331.0484697024658</v>
      </c>
    </row>
    <row r="2678" spans="2:4" x14ac:dyDescent="0.25">
      <c r="B2678">
        <f t="shared" ca="1" si="125"/>
        <v>45696.037901333526</v>
      </c>
      <c r="C2678">
        <f t="shared" ca="1" si="123"/>
        <v>0</v>
      </c>
      <c r="D2678">
        <f t="shared" ca="1" si="124"/>
        <v>5696.037901333526</v>
      </c>
    </row>
    <row r="2679" spans="2:4" x14ac:dyDescent="0.25">
      <c r="B2679">
        <f t="shared" ca="1" si="125"/>
        <v>40137.082175439733</v>
      </c>
      <c r="C2679">
        <f t="shared" ca="1" si="123"/>
        <v>0</v>
      </c>
      <c r="D2679">
        <f t="shared" ca="1" si="124"/>
        <v>137.08217543973296</v>
      </c>
    </row>
    <row r="2680" spans="2:4" x14ac:dyDescent="0.25">
      <c r="B2680">
        <f t="shared" ca="1" si="125"/>
        <v>40512.536610668249</v>
      </c>
      <c r="C2680">
        <f t="shared" ca="1" si="123"/>
        <v>0</v>
      </c>
      <c r="D2680">
        <f t="shared" ca="1" si="124"/>
        <v>512.53661066824861</v>
      </c>
    </row>
    <row r="2681" spans="2:4" x14ac:dyDescent="0.25">
      <c r="B2681">
        <f t="shared" ca="1" si="125"/>
        <v>39390.750709548869</v>
      </c>
      <c r="C2681">
        <f t="shared" ca="1" si="123"/>
        <v>609.24929045113095</v>
      </c>
      <c r="D2681">
        <f t="shared" ca="1" si="124"/>
        <v>0</v>
      </c>
    </row>
    <row r="2682" spans="2:4" x14ac:dyDescent="0.25">
      <c r="B2682">
        <f t="shared" ca="1" si="125"/>
        <v>47540.972721738952</v>
      </c>
      <c r="C2682">
        <f t="shared" ca="1" si="123"/>
        <v>0</v>
      </c>
      <c r="D2682">
        <f t="shared" ca="1" si="124"/>
        <v>7540.9727217389518</v>
      </c>
    </row>
    <row r="2683" spans="2:4" x14ac:dyDescent="0.25">
      <c r="B2683">
        <f t="shared" ca="1" si="125"/>
        <v>51618.14863803301</v>
      </c>
      <c r="C2683">
        <f t="shared" ca="1" si="123"/>
        <v>0</v>
      </c>
      <c r="D2683">
        <f t="shared" ca="1" si="124"/>
        <v>11618.14863803301</v>
      </c>
    </row>
    <row r="2684" spans="2:4" x14ac:dyDescent="0.25">
      <c r="B2684">
        <f t="shared" ca="1" si="125"/>
        <v>44287.360058204882</v>
      </c>
      <c r="C2684">
        <f t="shared" ca="1" si="123"/>
        <v>0</v>
      </c>
      <c r="D2684">
        <f t="shared" ca="1" si="124"/>
        <v>4287.3600582048821</v>
      </c>
    </row>
    <row r="2685" spans="2:4" x14ac:dyDescent="0.25">
      <c r="B2685">
        <f t="shared" ca="1" si="125"/>
        <v>51793.562394792069</v>
      </c>
      <c r="C2685">
        <f t="shared" ca="1" si="123"/>
        <v>0</v>
      </c>
      <c r="D2685">
        <f t="shared" ca="1" si="124"/>
        <v>11793.562394792069</v>
      </c>
    </row>
    <row r="2686" spans="2:4" x14ac:dyDescent="0.25">
      <c r="B2686">
        <f t="shared" ca="1" si="125"/>
        <v>51786.623944019797</v>
      </c>
      <c r="C2686">
        <f t="shared" ca="1" si="123"/>
        <v>0</v>
      </c>
      <c r="D2686">
        <f t="shared" ca="1" si="124"/>
        <v>11786.623944019797</v>
      </c>
    </row>
    <row r="2687" spans="2:4" x14ac:dyDescent="0.25">
      <c r="B2687">
        <f t="shared" ca="1" si="125"/>
        <v>45230.281560367963</v>
      </c>
      <c r="C2687">
        <f t="shared" ca="1" si="123"/>
        <v>0</v>
      </c>
      <c r="D2687">
        <f t="shared" ca="1" si="124"/>
        <v>5230.2815603679628</v>
      </c>
    </row>
    <row r="2688" spans="2:4" x14ac:dyDescent="0.25">
      <c r="B2688">
        <f t="shared" ca="1" si="125"/>
        <v>44045.695498062087</v>
      </c>
      <c r="C2688">
        <f t="shared" ca="1" si="123"/>
        <v>0</v>
      </c>
      <c r="D2688">
        <f t="shared" ca="1" si="124"/>
        <v>4045.6954980620867</v>
      </c>
    </row>
    <row r="2689" spans="2:4" x14ac:dyDescent="0.25">
      <c r="B2689">
        <f t="shared" ca="1" si="125"/>
        <v>48741.338787127999</v>
      </c>
      <c r="C2689">
        <f t="shared" ca="1" si="123"/>
        <v>0</v>
      </c>
      <c r="D2689">
        <f t="shared" ca="1" si="124"/>
        <v>8741.3387871279992</v>
      </c>
    </row>
    <row r="2690" spans="2:4" x14ac:dyDescent="0.25">
      <c r="B2690">
        <f t="shared" ca="1" si="125"/>
        <v>41346.884974361004</v>
      </c>
      <c r="C2690">
        <f t="shared" ca="1" si="123"/>
        <v>0</v>
      </c>
      <c r="D2690">
        <f t="shared" ca="1" si="124"/>
        <v>1346.8849743610044</v>
      </c>
    </row>
    <row r="2691" spans="2:4" x14ac:dyDescent="0.25">
      <c r="B2691">
        <f t="shared" ca="1" si="125"/>
        <v>40865.669120149949</v>
      </c>
      <c r="C2691">
        <f t="shared" ca="1" si="123"/>
        <v>0</v>
      </c>
      <c r="D2691">
        <f t="shared" ca="1" si="124"/>
        <v>865.66912014994887</v>
      </c>
    </row>
    <row r="2692" spans="2:4" x14ac:dyDescent="0.25">
      <c r="B2692">
        <f t="shared" ca="1" si="125"/>
        <v>46039.298706754351</v>
      </c>
      <c r="C2692">
        <f t="shared" ca="1" si="123"/>
        <v>0</v>
      </c>
      <c r="D2692">
        <f t="shared" ca="1" si="124"/>
        <v>6039.2987067543509</v>
      </c>
    </row>
    <row r="2693" spans="2:4" x14ac:dyDescent="0.25">
      <c r="B2693">
        <f t="shared" ca="1" si="125"/>
        <v>40611.401787091861</v>
      </c>
      <c r="C2693">
        <f t="shared" ca="1" si="123"/>
        <v>0</v>
      </c>
      <c r="D2693">
        <f t="shared" ca="1" si="124"/>
        <v>611.40178709186148</v>
      </c>
    </row>
    <row r="2694" spans="2:4" x14ac:dyDescent="0.25">
      <c r="B2694">
        <f t="shared" ca="1" si="125"/>
        <v>48081.223758276537</v>
      </c>
      <c r="C2694">
        <f t="shared" ca="1" si="123"/>
        <v>0</v>
      </c>
      <c r="D2694">
        <f t="shared" ca="1" si="124"/>
        <v>8081.2237582765374</v>
      </c>
    </row>
    <row r="2695" spans="2:4" x14ac:dyDescent="0.25">
      <c r="B2695">
        <f t="shared" ca="1" si="125"/>
        <v>43651.374200497252</v>
      </c>
      <c r="C2695">
        <f t="shared" ca="1" si="123"/>
        <v>0</v>
      </c>
      <c r="D2695">
        <f t="shared" ca="1" si="124"/>
        <v>3651.3742004972519</v>
      </c>
    </row>
    <row r="2696" spans="2:4" x14ac:dyDescent="0.25">
      <c r="B2696">
        <f t="shared" ca="1" si="125"/>
        <v>52779.652317819389</v>
      </c>
      <c r="C2696">
        <f t="shared" ca="1" si="123"/>
        <v>0</v>
      </c>
      <c r="D2696">
        <f t="shared" ca="1" si="124"/>
        <v>12779.652317819389</v>
      </c>
    </row>
    <row r="2697" spans="2:4" x14ac:dyDescent="0.25">
      <c r="B2697">
        <f t="shared" ca="1" si="125"/>
        <v>46991.786948202731</v>
      </c>
      <c r="C2697">
        <f t="shared" ca="1" si="123"/>
        <v>0</v>
      </c>
      <c r="D2697">
        <f t="shared" ca="1" si="124"/>
        <v>6991.7869482027309</v>
      </c>
    </row>
    <row r="2698" spans="2:4" x14ac:dyDescent="0.25">
      <c r="B2698">
        <f t="shared" ca="1" si="125"/>
        <v>50189.70486070522</v>
      </c>
      <c r="C2698">
        <f t="shared" ca="1" si="123"/>
        <v>0</v>
      </c>
      <c r="D2698">
        <f t="shared" ca="1" si="124"/>
        <v>10189.70486070522</v>
      </c>
    </row>
    <row r="2699" spans="2:4" x14ac:dyDescent="0.25">
      <c r="B2699">
        <f t="shared" ca="1" si="125"/>
        <v>51654.572185562582</v>
      </c>
      <c r="C2699">
        <f t="shared" ca="1" si="123"/>
        <v>0</v>
      </c>
      <c r="D2699">
        <f t="shared" ca="1" si="124"/>
        <v>11654.572185562582</v>
      </c>
    </row>
    <row r="2700" spans="2:4" x14ac:dyDescent="0.25">
      <c r="B2700">
        <f t="shared" ca="1" si="125"/>
        <v>46914.41796245888</v>
      </c>
      <c r="C2700">
        <f t="shared" ref="C2700:C2763" ca="1" si="126">IF(MAX($B$2-B2700)&lt;0,0,$B$2-B2700)</f>
        <v>0</v>
      </c>
      <c r="D2700">
        <f t="shared" ref="D2700:D2763" ca="1" si="127">IF(MAX(B2700-$B$2)&lt;0,0,B2700-$B$2)</f>
        <v>6914.4179624588796</v>
      </c>
    </row>
    <row r="2701" spans="2:4" x14ac:dyDescent="0.25">
      <c r="B2701">
        <f t="shared" ref="B2701:B2764" ca="1" si="128">$B$1*EXP((($B$4-($B$3^2)/2)*$B$5+$B$3*SQRT($B$5)*NORMSINV(RAND())))</f>
        <v>55672.191401502168</v>
      </c>
      <c r="C2701">
        <f t="shared" ca="1" si="126"/>
        <v>0</v>
      </c>
      <c r="D2701">
        <f t="shared" ca="1" si="127"/>
        <v>15672.191401502168</v>
      </c>
    </row>
    <row r="2702" spans="2:4" x14ac:dyDescent="0.25">
      <c r="B2702">
        <f t="shared" ca="1" si="128"/>
        <v>44627.541258455967</v>
      </c>
      <c r="C2702">
        <f t="shared" ca="1" si="126"/>
        <v>0</v>
      </c>
      <c r="D2702">
        <f t="shared" ca="1" si="127"/>
        <v>4627.5412584559672</v>
      </c>
    </row>
    <row r="2703" spans="2:4" x14ac:dyDescent="0.25">
      <c r="B2703">
        <f t="shared" ca="1" si="128"/>
        <v>42340.093176747781</v>
      </c>
      <c r="C2703">
        <f t="shared" ca="1" si="126"/>
        <v>0</v>
      </c>
      <c r="D2703">
        <f t="shared" ca="1" si="127"/>
        <v>2340.0931767477814</v>
      </c>
    </row>
    <row r="2704" spans="2:4" x14ac:dyDescent="0.25">
      <c r="B2704">
        <f t="shared" ca="1" si="128"/>
        <v>39830.396405233507</v>
      </c>
      <c r="C2704">
        <f t="shared" ca="1" si="126"/>
        <v>169.60359476649319</v>
      </c>
      <c r="D2704">
        <f t="shared" ca="1" si="127"/>
        <v>0</v>
      </c>
    </row>
    <row r="2705" spans="2:4" x14ac:dyDescent="0.25">
      <c r="B2705">
        <f t="shared" ca="1" si="128"/>
        <v>36936.709986812035</v>
      </c>
      <c r="C2705">
        <f t="shared" ca="1" si="126"/>
        <v>3063.2900131879651</v>
      </c>
      <c r="D2705">
        <f t="shared" ca="1" si="127"/>
        <v>0</v>
      </c>
    </row>
    <row r="2706" spans="2:4" x14ac:dyDescent="0.25">
      <c r="B2706">
        <f t="shared" ca="1" si="128"/>
        <v>48520.917504654069</v>
      </c>
      <c r="C2706">
        <f t="shared" ca="1" si="126"/>
        <v>0</v>
      </c>
      <c r="D2706">
        <f t="shared" ca="1" si="127"/>
        <v>8520.9175046540695</v>
      </c>
    </row>
    <row r="2707" spans="2:4" x14ac:dyDescent="0.25">
      <c r="B2707">
        <f t="shared" ca="1" si="128"/>
        <v>40181.149551406394</v>
      </c>
      <c r="C2707">
        <f t="shared" ca="1" si="126"/>
        <v>0</v>
      </c>
      <c r="D2707">
        <f t="shared" ca="1" si="127"/>
        <v>181.14955140639358</v>
      </c>
    </row>
    <row r="2708" spans="2:4" x14ac:dyDescent="0.25">
      <c r="B2708">
        <f t="shared" ca="1" si="128"/>
        <v>47375.322032968645</v>
      </c>
      <c r="C2708">
        <f t="shared" ca="1" si="126"/>
        <v>0</v>
      </c>
      <c r="D2708">
        <f t="shared" ca="1" si="127"/>
        <v>7375.3220329686446</v>
      </c>
    </row>
    <row r="2709" spans="2:4" x14ac:dyDescent="0.25">
      <c r="B2709">
        <f t="shared" ca="1" si="128"/>
        <v>47393.390755478416</v>
      </c>
      <c r="C2709">
        <f t="shared" ca="1" si="126"/>
        <v>0</v>
      </c>
      <c r="D2709">
        <f t="shared" ca="1" si="127"/>
        <v>7393.3907554784164</v>
      </c>
    </row>
    <row r="2710" spans="2:4" x14ac:dyDescent="0.25">
      <c r="B2710">
        <f t="shared" ca="1" si="128"/>
        <v>45224.704869857356</v>
      </c>
      <c r="C2710">
        <f t="shared" ca="1" si="126"/>
        <v>0</v>
      </c>
      <c r="D2710">
        <f t="shared" ca="1" si="127"/>
        <v>5224.7048698573562</v>
      </c>
    </row>
    <row r="2711" spans="2:4" x14ac:dyDescent="0.25">
      <c r="B2711">
        <f t="shared" ca="1" si="128"/>
        <v>46079.895360009403</v>
      </c>
      <c r="C2711">
        <f t="shared" ca="1" si="126"/>
        <v>0</v>
      </c>
      <c r="D2711">
        <f t="shared" ca="1" si="127"/>
        <v>6079.8953600094028</v>
      </c>
    </row>
    <row r="2712" spans="2:4" x14ac:dyDescent="0.25">
      <c r="B2712">
        <f t="shared" ca="1" si="128"/>
        <v>48179.981243353679</v>
      </c>
      <c r="C2712">
        <f t="shared" ca="1" si="126"/>
        <v>0</v>
      </c>
      <c r="D2712">
        <f t="shared" ca="1" si="127"/>
        <v>8179.981243353679</v>
      </c>
    </row>
    <row r="2713" spans="2:4" x14ac:dyDescent="0.25">
      <c r="B2713">
        <f t="shared" ca="1" si="128"/>
        <v>46713.609478908802</v>
      </c>
      <c r="C2713">
        <f t="shared" ca="1" si="126"/>
        <v>0</v>
      </c>
      <c r="D2713">
        <f t="shared" ca="1" si="127"/>
        <v>6713.609478908802</v>
      </c>
    </row>
    <row r="2714" spans="2:4" x14ac:dyDescent="0.25">
      <c r="B2714">
        <f t="shared" ca="1" si="128"/>
        <v>41685.151035173149</v>
      </c>
      <c r="C2714">
        <f t="shared" ca="1" si="126"/>
        <v>0</v>
      </c>
      <c r="D2714">
        <f t="shared" ca="1" si="127"/>
        <v>1685.1510351731486</v>
      </c>
    </row>
    <row r="2715" spans="2:4" x14ac:dyDescent="0.25">
      <c r="B2715">
        <f t="shared" ca="1" si="128"/>
        <v>42703.676813337042</v>
      </c>
      <c r="C2715">
        <f t="shared" ca="1" si="126"/>
        <v>0</v>
      </c>
      <c r="D2715">
        <f t="shared" ca="1" si="127"/>
        <v>2703.6768133370424</v>
      </c>
    </row>
    <row r="2716" spans="2:4" x14ac:dyDescent="0.25">
      <c r="B2716">
        <f t="shared" ca="1" si="128"/>
        <v>48852.048262920922</v>
      </c>
      <c r="C2716">
        <f t="shared" ca="1" si="126"/>
        <v>0</v>
      </c>
      <c r="D2716">
        <f t="shared" ca="1" si="127"/>
        <v>8852.0482629209218</v>
      </c>
    </row>
    <row r="2717" spans="2:4" x14ac:dyDescent="0.25">
      <c r="B2717">
        <f t="shared" ca="1" si="128"/>
        <v>49038.174389884007</v>
      </c>
      <c r="C2717">
        <f t="shared" ca="1" si="126"/>
        <v>0</v>
      </c>
      <c r="D2717">
        <f t="shared" ca="1" si="127"/>
        <v>9038.1743898840068</v>
      </c>
    </row>
    <row r="2718" spans="2:4" x14ac:dyDescent="0.25">
      <c r="B2718">
        <f t="shared" ca="1" si="128"/>
        <v>41335.089317010548</v>
      </c>
      <c r="C2718">
        <f t="shared" ca="1" si="126"/>
        <v>0</v>
      </c>
      <c r="D2718">
        <f t="shared" ca="1" si="127"/>
        <v>1335.0893170105483</v>
      </c>
    </row>
    <row r="2719" spans="2:4" x14ac:dyDescent="0.25">
      <c r="B2719">
        <f t="shared" ca="1" si="128"/>
        <v>41362.58865496525</v>
      </c>
      <c r="C2719">
        <f t="shared" ca="1" si="126"/>
        <v>0</v>
      </c>
      <c r="D2719">
        <f t="shared" ca="1" si="127"/>
        <v>1362.5886549652496</v>
      </c>
    </row>
    <row r="2720" spans="2:4" x14ac:dyDescent="0.25">
      <c r="B2720">
        <f t="shared" ca="1" si="128"/>
        <v>50198.917220672651</v>
      </c>
      <c r="C2720">
        <f t="shared" ca="1" si="126"/>
        <v>0</v>
      </c>
      <c r="D2720">
        <f t="shared" ca="1" si="127"/>
        <v>10198.917220672651</v>
      </c>
    </row>
    <row r="2721" spans="2:4" x14ac:dyDescent="0.25">
      <c r="B2721">
        <f t="shared" ca="1" si="128"/>
        <v>41585.331920399753</v>
      </c>
      <c r="C2721">
        <f t="shared" ca="1" si="126"/>
        <v>0</v>
      </c>
      <c r="D2721">
        <f t="shared" ca="1" si="127"/>
        <v>1585.3319203997526</v>
      </c>
    </row>
    <row r="2722" spans="2:4" x14ac:dyDescent="0.25">
      <c r="B2722">
        <f t="shared" ca="1" si="128"/>
        <v>47342.046380419633</v>
      </c>
      <c r="C2722">
        <f t="shared" ca="1" si="126"/>
        <v>0</v>
      </c>
      <c r="D2722">
        <f t="shared" ca="1" si="127"/>
        <v>7342.0463804196334</v>
      </c>
    </row>
    <row r="2723" spans="2:4" x14ac:dyDescent="0.25">
      <c r="B2723">
        <f t="shared" ca="1" si="128"/>
        <v>43124.331119039161</v>
      </c>
      <c r="C2723">
        <f t="shared" ca="1" si="126"/>
        <v>0</v>
      </c>
      <c r="D2723">
        <f t="shared" ca="1" si="127"/>
        <v>3124.3311190391614</v>
      </c>
    </row>
    <row r="2724" spans="2:4" x14ac:dyDescent="0.25">
      <c r="B2724">
        <f t="shared" ca="1" si="128"/>
        <v>47808.012006686535</v>
      </c>
      <c r="C2724">
        <f t="shared" ca="1" si="126"/>
        <v>0</v>
      </c>
      <c r="D2724">
        <f t="shared" ca="1" si="127"/>
        <v>7808.0120066865347</v>
      </c>
    </row>
    <row r="2725" spans="2:4" x14ac:dyDescent="0.25">
      <c r="B2725">
        <f t="shared" ca="1" si="128"/>
        <v>41720.110797809692</v>
      </c>
      <c r="C2725">
        <f t="shared" ca="1" si="126"/>
        <v>0</v>
      </c>
      <c r="D2725">
        <f t="shared" ca="1" si="127"/>
        <v>1720.1107978096916</v>
      </c>
    </row>
    <row r="2726" spans="2:4" x14ac:dyDescent="0.25">
      <c r="B2726">
        <f t="shared" ca="1" si="128"/>
        <v>39845.74964571264</v>
      </c>
      <c r="C2726">
        <f t="shared" ca="1" si="126"/>
        <v>154.2503542873601</v>
      </c>
      <c r="D2726">
        <f t="shared" ca="1" si="127"/>
        <v>0</v>
      </c>
    </row>
    <row r="2727" spans="2:4" x14ac:dyDescent="0.25">
      <c r="B2727">
        <f t="shared" ca="1" si="128"/>
        <v>50434.780120390329</v>
      </c>
      <c r="C2727">
        <f t="shared" ca="1" si="126"/>
        <v>0</v>
      </c>
      <c r="D2727">
        <f t="shared" ca="1" si="127"/>
        <v>10434.780120390329</v>
      </c>
    </row>
    <row r="2728" spans="2:4" x14ac:dyDescent="0.25">
      <c r="B2728">
        <f t="shared" ca="1" si="128"/>
        <v>44724.355857250368</v>
      </c>
      <c r="C2728">
        <f t="shared" ca="1" si="126"/>
        <v>0</v>
      </c>
      <c r="D2728">
        <f t="shared" ca="1" si="127"/>
        <v>4724.355857250368</v>
      </c>
    </row>
    <row r="2729" spans="2:4" x14ac:dyDescent="0.25">
      <c r="B2729">
        <f t="shared" ca="1" si="128"/>
        <v>41489.754714031704</v>
      </c>
      <c r="C2729">
        <f t="shared" ca="1" si="126"/>
        <v>0</v>
      </c>
      <c r="D2729">
        <f t="shared" ca="1" si="127"/>
        <v>1489.7547140317038</v>
      </c>
    </row>
    <row r="2730" spans="2:4" x14ac:dyDescent="0.25">
      <c r="B2730">
        <f t="shared" ca="1" si="128"/>
        <v>40781.34224000472</v>
      </c>
      <c r="C2730">
        <f t="shared" ca="1" si="126"/>
        <v>0</v>
      </c>
      <c r="D2730">
        <f t="shared" ca="1" si="127"/>
        <v>781.34224000472022</v>
      </c>
    </row>
    <row r="2731" spans="2:4" x14ac:dyDescent="0.25">
      <c r="B2731">
        <f t="shared" ca="1" si="128"/>
        <v>43518.620865558274</v>
      </c>
      <c r="C2731">
        <f t="shared" ca="1" si="126"/>
        <v>0</v>
      </c>
      <c r="D2731">
        <f t="shared" ca="1" si="127"/>
        <v>3518.6208655582741</v>
      </c>
    </row>
    <row r="2732" spans="2:4" x14ac:dyDescent="0.25">
      <c r="B2732">
        <f t="shared" ca="1" si="128"/>
        <v>45534.288309547963</v>
      </c>
      <c r="C2732">
        <f t="shared" ca="1" si="126"/>
        <v>0</v>
      </c>
      <c r="D2732">
        <f t="shared" ca="1" si="127"/>
        <v>5534.2883095479629</v>
      </c>
    </row>
    <row r="2733" spans="2:4" x14ac:dyDescent="0.25">
      <c r="B2733">
        <f t="shared" ca="1" si="128"/>
        <v>46998.219572900278</v>
      </c>
      <c r="C2733">
        <f t="shared" ca="1" si="126"/>
        <v>0</v>
      </c>
      <c r="D2733">
        <f t="shared" ca="1" si="127"/>
        <v>6998.2195729002779</v>
      </c>
    </row>
    <row r="2734" spans="2:4" x14ac:dyDescent="0.25">
      <c r="B2734">
        <f t="shared" ca="1" si="128"/>
        <v>48683.894868571129</v>
      </c>
      <c r="C2734">
        <f t="shared" ca="1" si="126"/>
        <v>0</v>
      </c>
      <c r="D2734">
        <f t="shared" ca="1" si="127"/>
        <v>8683.8948685711293</v>
      </c>
    </row>
    <row r="2735" spans="2:4" x14ac:dyDescent="0.25">
      <c r="B2735">
        <f t="shared" ca="1" si="128"/>
        <v>44664.605389656172</v>
      </c>
      <c r="C2735">
        <f t="shared" ca="1" si="126"/>
        <v>0</v>
      </c>
      <c r="D2735">
        <f t="shared" ca="1" si="127"/>
        <v>4664.6053896561716</v>
      </c>
    </row>
    <row r="2736" spans="2:4" x14ac:dyDescent="0.25">
      <c r="B2736">
        <f t="shared" ca="1" si="128"/>
        <v>51164.492778323358</v>
      </c>
      <c r="C2736">
        <f t="shared" ca="1" si="126"/>
        <v>0</v>
      </c>
      <c r="D2736">
        <f t="shared" ca="1" si="127"/>
        <v>11164.492778323358</v>
      </c>
    </row>
    <row r="2737" spans="2:4" x14ac:dyDescent="0.25">
      <c r="B2737">
        <f t="shared" ca="1" si="128"/>
        <v>47638.209750654336</v>
      </c>
      <c r="C2737">
        <f t="shared" ca="1" si="126"/>
        <v>0</v>
      </c>
      <c r="D2737">
        <f t="shared" ca="1" si="127"/>
        <v>7638.2097506543359</v>
      </c>
    </row>
    <row r="2738" spans="2:4" x14ac:dyDescent="0.25">
      <c r="B2738">
        <f t="shared" ca="1" si="128"/>
        <v>35420.275352586839</v>
      </c>
      <c r="C2738">
        <f t="shared" ca="1" si="126"/>
        <v>4579.7246474131607</v>
      </c>
      <c r="D2738">
        <f t="shared" ca="1" si="127"/>
        <v>0</v>
      </c>
    </row>
    <row r="2739" spans="2:4" x14ac:dyDescent="0.25">
      <c r="B2739">
        <f t="shared" ca="1" si="128"/>
        <v>40826.482344600408</v>
      </c>
      <c r="C2739">
        <f t="shared" ca="1" si="126"/>
        <v>0</v>
      </c>
      <c r="D2739">
        <f t="shared" ca="1" si="127"/>
        <v>826.4823446004084</v>
      </c>
    </row>
    <row r="2740" spans="2:4" x14ac:dyDescent="0.25">
      <c r="B2740">
        <f t="shared" ca="1" si="128"/>
        <v>41584.143685607538</v>
      </c>
      <c r="C2740">
        <f t="shared" ca="1" si="126"/>
        <v>0</v>
      </c>
      <c r="D2740">
        <f t="shared" ca="1" si="127"/>
        <v>1584.1436856075379</v>
      </c>
    </row>
    <row r="2741" spans="2:4" x14ac:dyDescent="0.25">
      <c r="B2741">
        <f t="shared" ca="1" si="128"/>
        <v>43614.49996237766</v>
      </c>
      <c r="C2741">
        <f t="shared" ca="1" si="126"/>
        <v>0</v>
      </c>
      <c r="D2741">
        <f t="shared" ca="1" si="127"/>
        <v>3614.4999623776603</v>
      </c>
    </row>
    <row r="2742" spans="2:4" x14ac:dyDescent="0.25">
      <c r="B2742">
        <f t="shared" ca="1" si="128"/>
        <v>40905.386973073117</v>
      </c>
      <c r="C2742">
        <f t="shared" ca="1" si="126"/>
        <v>0</v>
      </c>
      <c r="D2742">
        <f t="shared" ca="1" si="127"/>
        <v>905.38697307311668</v>
      </c>
    </row>
    <row r="2743" spans="2:4" x14ac:dyDescent="0.25">
      <c r="B2743">
        <f t="shared" ca="1" si="128"/>
        <v>50558.700086010627</v>
      </c>
      <c r="C2743">
        <f t="shared" ca="1" si="126"/>
        <v>0</v>
      </c>
      <c r="D2743">
        <f t="shared" ca="1" si="127"/>
        <v>10558.700086010627</v>
      </c>
    </row>
    <row r="2744" spans="2:4" x14ac:dyDescent="0.25">
      <c r="B2744">
        <f t="shared" ca="1" si="128"/>
        <v>45809.301933589632</v>
      </c>
      <c r="C2744">
        <f t="shared" ca="1" si="126"/>
        <v>0</v>
      </c>
      <c r="D2744">
        <f t="shared" ca="1" si="127"/>
        <v>5809.3019335896315</v>
      </c>
    </row>
    <row r="2745" spans="2:4" x14ac:dyDescent="0.25">
      <c r="B2745">
        <f t="shared" ca="1" si="128"/>
        <v>42254.351071390891</v>
      </c>
      <c r="C2745">
        <f t="shared" ca="1" si="126"/>
        <v>0</v>
      </c>
      <c r="D2745">
        <f t="shared" ca="1" si="127"/>
        <v>2254.3510713908909</v>
      </c>
    </row>
    <row r="2746" spans="2:4" x14ac:dyDescent="0.25">
      <c r="B2746">
        <f t="shared" ca="1" si="128"/>
        <v>45416.98210192463</v>
      </c>
      <c r="C2746">
        <f t="shared" ca="1" si="126"/>
        <v>0</v>
      </c>
      <c r="D2746">
        <f t="shared" ca="1" si="127"/>
        <v>5416.9821019246301</v>
      </c>
    </row>
    <row r="2747" spans="2:4" x14ac:dyDescent="0.25">
      <c r="B2747">
        <f t="shared" ca="1" si="128"/>
        <v>44803.133815914036</v>
      </c>
      <c r="C2747">
        <f t="shared" ca="1" si="126"/>
        <v>0</v>
      </c>
      <c r="D2747">
        <f t="shared" ca="1" si="127"/>
        <v>4803.1338159140359</v>
      </c>
    </row>
    <row r="2748" spans="2:4" x14ac:dyDescent="0.25">
      <c r="B2748">
        <f t="shared" ca="1" si="128"/>
        <v>48121.057079738428</v>
      </c>
      <c r="C2748">
        <f t="shared" ca="1" si="126"/>
        <v>0</v>
      </c>
      <c r="D2748">
        <f t="shared" ca="1" si="127"/>
        <v>8121.057079738428</v>
      </c>
    </row>
    <row r="2749" spans="2:4" x14ac:dyDescent="0.25">
      <c r="B2749">
        <f t="shared" ca="1" si="128"/>
        <v>45477.31241720602</v>
      </c>
      <c r="C2749">
        <f t="shared" ca="1" si="126"/>
        <v>0</v>
      </c>
      <c r="D2749">
        <f t="shared" ca="1" si="127"/>
        <v>5477.3124172060197</v>
      </c>
    </row>
    <row r="2750" spans="2:4" x14ac:dyDescent="0.25">
      <c r="B2750">
        <f t="shared" ca="1" si="128"/>
        <v>42207.420645510632</v>
      </c>
      <c r="C2750">
        <f t="shared" ca="1" si="126"/>
        <v>0</v>
      </c>
      <c r="D2750">
        <f t="shared" ca="1" si="127"/>
        <v>2207.4206455106323</v>
      </c>
    </row>
    <row r="2751" spans="2:4" x14ac:dyDescent="0.25">
      <c r="B2751">
        <f t="shared" ca="1" si="128"/>
        <v>45303.323121864807</v>
      </c>
      <c r="C2751">
        <f t="shared" ca="1" si="126"/>
        <v>0</v>
      </c>
      <c r="D2751">
        <f t="shared" ca="1" si="127"/>
        <v>5303.323121864807</v>
      </c>
    </row>
    <row r="2752" spans="2:4" x14ac:dyDescent="0.25">
      <c r="B2752">
        <f t="shared" ca="1" si="128"/>
        <v>39203.267812583807</v>
      </c>
      <c r="C2752">
        <f t="shared" ca="1" si="126"/>
        <v>796.73218741619348</v>
      </c>
      <c r="D2752">
        <f t="shared" ca="1" si="127"/>
        <v>0</v>
      </c>
    </row>
    <row r="2753" spans="2:4" x14ac:dyDescent="0.25">
      <c r="B2753">
        <f t="shared" ca="1" si="128"/>
        <v>43858.068655484713</v>
      </c>
      <c r="C2753">
        <f t="shared" ca="1" si="126"/>
        <v>0</v>
      </c>
      <c r="D2753">
        <f t="shared" ca="1" si="127"/>
        <v>3858.0686554847125</v>
      </c>
    </row>
    <row r="2754" spans="2:4" x14ac:dyDescent="0.25">
      <c r="B2754">
        <f t="shared" ca="1" si="128"/>
        <v>43545.419656731436</v>
      </c>
      <c r="C2754">
        <f t="shared" ca="1" si="126"/>
        <v>0</v>
      </c>
      <c r="D2754">
        <f t="shared" ca="1" si="127"/>
        <v>3545.4196567314357</v>
      </c>
    </row>
    <row r="2755" spans="2:4" x14ac:dyDescent="0.25">
      <c r="B2755">
        <f t="shared" ca="1" si="128"/>
        <v>46435.510836759815</v>
      </c>
      <c r="C2755">
        <f t="shared" ca="1" si="126"/>
        <v>0</v>
      </c>
      <c r="D2755">
        <f t="shared" ca="1" si="127"/>
        <v>6435.510836759815</v>
      </c>
    </row>
    <row r="2756" spans="2:4" x14ac:dyDescent="0.25">
      <c r="B2756">
        <f t="shared" ca="1" si="128"/>
        <v>43093.156295165703</v>
      </c>
      <c r="C2756">
        <f t="shared" ca="1" si="126"/>
        <v>0</v>
      </c>
      <c r="D2756">
        <f t="shared" ca="1" si="127"/>
        <v>3093.1562951657033</v>
      </c>
    </row>
    <row r="2757" spans="2:4" x14ac:dyDescent="0.25">
      <c r="B2757">
        <f t="shared" ca="1" si="128"/>
        <v>47188.24886462104</v>
      </c>
      <c r="C2757">
        <f t="shared" ca="1" si="126"/>
        <v>0</v>
      </c>
      <c r="D2757">
        <f t="shared" ca="1" si="127"/>
        <v>7188.2488646210404</v>
      </c>
    </row>
    <row r="2758" spans="2:4" x14ac:dyDescent="0.25">
      <c r="B2758">
        <f t="shared" ca="1" si="128"/>
        <v>39383.995938501823</v>
      </c>
      <c r="C2758">
        <f t="shared" ca="1" si="126"/>
        <v>616.00406149817718</v>
      </c>
      <c r="D2758">
        <f t="shared" ca="1" si="127"/>
        <v>0</v>
      </c>
    </row>
    <row r="2759" spans="2:4" x14ac:dyDescent="0.25">
      <c r="B2759">
        <f t="shared" ca="1" si="128"/>
        <v>50426.937694295637</v>
      </c>
      <c r="C2759">
        <f t="shared" ca="1" si="126"/>
        <v>0</v>
      </c>
      <c r="D2759">
        <f t="shared" ca="1" si="127"/>
        <v>10426.937694295637</v>
      </c>
    </row>
    <row r="2760" spans="2:4" x14ac:dyDescent="0.25">
      <c r="B2760">
        <f t="shared" ca="1" si="128"/>
        <v>41885.53557858253</v>
      </c>
      <c r="C2760">
        <f t="shared" ca="1" si="126"/>
        <v>0</v>
      </c>
      <c r="D2760">
        <f t="shared" ca="1" si="127"/>
        <v>1885.5355785825304</v>
      </c>
    </row>
    <row r="2761" spans="2:4" x14ac:dyDescent="0.25">
      <c r="B2761">
        <f t="shared" ca="1" si="128"/>
        <v>44911.352780734029</v>
      </c>
      <c r="C2761">
        <f t="shared" ca="1" si="126"/>
        <v>0</v>
      </c>
      <c r="D2761">
        <f t="shared" ca="1" si="127"/>
        <v>4911.3527807340288</v>
      </c>
    </row>
    <row r="2762" spans="2:4" x14ac:dyDescent="0.25">
      <c r="B2762">
        <f t="shared" ca="1" si="128"/>
        <v>38973.443837910607</v>
      </c>
      <c r="C2762">
        <f t="shared" ca="1" si="126"/>
        <v>1026.5561620893932</v>
      </c>
      <c r="D2762">
        <f t="shared" ca="1" si="127"/>
        <v>0</v>
      </c>
    </row>
    <row r="2763" spans="2:4" x14ac:dyDescent="0.25">
      <c r="B2763">
        <f t="shared" ca="1" si="128"/>
        <v>45636.464453028559</v>
      </c>
      <c r="C2763">
        <f t="shared" ca="1" si="126"/>
        <v>0</v>
      </c>
      <c r="D2763">
        <f t="shared" ca="1" si="127"/>
        <v>5636.4644530285586</v>
      </c>
    </row>
    <row r="2764" spans="2:4" x14ac:dyDescent="0.25">
      <c r="B2764">
        <f t="shared" ca="1" si="128"/>
        <v>40912.507920512522</v>
      </c>
      <c r="C2764">
        <f t="shared" ref="C2764:C2827" ca="1" si="129">IF(MAX($B$2-B2764)&lt;0,0,$B$2-B2764)</f>
        <v>0</v>
      </c>
      <c r="D2764">
        <f t="shared" ref="D2764:D2827" ca="1" si="130">IF(MAX(B2764-$B$2)&lt;0,0,B2764-$B$2)</f>
        <v>912.50792051252211</v>
      </c>
    </row>
    <row r="2765" spans="2:4" x14ac:dyDescent="0.25">
      <c r="B2765">
        <f t="shared" ref="B2765:B2828" ca="1" si="131">$B$1*EXP((($B$4-($B$3^2)/2)*$B$5+$B$3*SQRT($B$5)*NORMSINV(RAND())))</f>
        <v>43107.7673814472</v>
      </c>
      <c r="C2765">
        <f t="shared" ca="1" si="129"/>
        <v>0</v>
      </c>
      <c r="D2765">
        <f t="shared" ca="1" si="130"/>
        <v>3107.7673814472</v>
      </c>
    </row>
    <row r="2766" spans="2:4" x14ac:dyDescent="0.25">
      <c r="B2766">
        <f t="shared" ca="1" si="131"/>
        <v>50184.340645771597</v>
      </c>
      <c r="C2766">
        <f t="shared" ca="1" si="129"/>
        <v>0</v>
      </c>
      <c r="D2766">
        <f t="shared" ca="1" si="130"/>
        <v>10184.340645771597</v>
      </c>
    </row>
    <row r="2767" spans="2:4" x14ac:dyDescent="0.25">
      <c r="B2767">
        <f t="shared" ca="1" si="131"/>
        <v>49111.640302775719</v>
      </c>
      <c r="C2767">
        <f t="shared" ca="1" si="129"/>
        <v>0</v>
      </c>
      <c r="D2767">
        <f t="shared" ca="1" si="130"/>
        <v>9111.6403027757187</v>
      </c>
    </row>
    <row r="2768" spans="2:4" x14ac:dyDescent="0.25">
      <c r="B2768">
        <f t="shared" ca="1" si="131"/>
        <v>45416.196425198912</v>
      </c>
      <c r="C2768">
        <f t="shared" ca="1" si="129"/>
        <v>0</v>
      </c>
      <c r="D2768">
        <f t="shared" ca="1" si="130"/>
        <v>5416.196425198912</v>
      </c>
    </row>
    <row r="2769" spans="2:4" x14ac:dyDescent="0.25">
      <c r="B2769">
        <f t="shared" ca="1" si="131"/>
        <v>46717.894916962694</v>
      </c>
      <c r="C2769">
        <f t="shared" ca="1" si="129"/>
        <v>0</v>
      </c>
      <c r="D2769">
        <f t="shared" ca="1" si="130"/>
        <v>6717.894916962694</v>
      </c>
    </row>
    <row r="2770" spans="2:4" x14ac:dyDescent="0.25">
      <c r="B2770">
        <f t="shared" ca="1" si="131"/>
        <v>41202.216935866672</v>
      </c>
      <c r="C2770">
        <f t="shared" ca="1" si="129"/>
        <v>0</v>
      </c>
      <c r="D2770">
        <f t="shared" ca="1" si="130"/>
        <v>1202.2169358666724</v>
      </c>
    </row>
    <row r="2771" spans="2:4" x14ac:dyDescent="0.25">
      <c r="B2771">
        <f t="shared" ca="1" si="131"/>
        <v>46117.990078064919</v>
      </c>
      <c r="C2771">
        <f t="shared" ca="1" si="129"/>
        <v>0</v>
      </c>
      <c r="D2771">
        <f t="shared" ca="1" si="130"/>
        <v>6117.9900780649186</v>
      </c>
    </row>
    <row r="2772" spans="2:4" x14ac:dyDescent="0.25">
      <c r="B2772">
        <f t="shared" ca="1" si="131"/>
        <v>55025.972219666291</v>
      </c>
      <c r="C2772">
        <f t="shared" ca="1" si="129"/>
        <v>0</v>
      </c>
      <c r="D2772">
        <f t="shared" ca="1" si="130"/>
        <v>15025.972219666291</v>
      </c>
    </row>
    <row r="2773" spans="2:4" x14ac:dyDescent="0.25">
      <c r="B2773">
        <f t="shared" ca="1" si="131"/>
        <v>48893.450674979176</v>
      </c>
      <c r="C2773">
        <f t="shared" ca="1" si="129"/>
        <v>0</v>
      </c>
      <c r="D2773">
        <f t="shared" ca="1" si="130"/>
        <v>8893.4506749791763</v>
      </c>
    </row>
    <row r="2774" spans="2:4" x14ac:dyDescent="0.25">
      <c r="B2774">
        <f t="shared" ca="1" si="131"/>
        <v>44204.363818880855</v>
      </c>
      <c r="C2774">
        <f t="shared" ca="1" si="129"/>
        <v>0</v>
      </c>
      <c r="D2774">
        <f t="shared" ca="1" si="130"/>
        <v>4204.3638188808545</v>
      </c>
    </row>
    <row r="2775" spans="2:4" x14ac:dyDescent="0.25">
      <c r="B2775">
        <f t="shared" ca="1" si="131"/>
        <v>50071.982916503388</v>
      </c>
      <c r="C2775">
        <f t="shared" ca="1" si="129"/>
        <v>0</v>
      </c>
      <c r="D2775">
        <f t="shared" ca="1" si="130"/>
        <v>10071.982916503388</v>
      </c>
    </row>
    <row r="2776" spans="2:4" x14ac:dyDescent="0.25">
      <c r="B2776">
        <f t="shared" ca="1" si="131"/>
        <v>47107.677153518824</v>
      </c>
      <c r="C2776">
        <f t="shared" ca="1" si="129"/>
        <v>0</v>
      </c>
      <c r="D2776">
        <f t="shared" ca="1" si="130"/>
        <v>7107.6771535188236</v>
      </c>
    </row>
    <row r="2777" spans="2:4" x14ac:dyDescent="0.25">
      <c r="B2777">
        <f t="shared" ca="1" si="131"/>
        <v>46548.41219351723</v>
      </c>
      <c r="C2777">
        <f t="shared" ca="1" si="129"/>
        <v>0</v>
      </c>
      <c r="D2777">
        <f t="shared" ca="1" si="130"/>
        <v>6548.4121935172298</v>
      </c>
    </row>
    <row r="2778" spans="2:4" x14ac:dyDescent="0.25">
      <c r="B2778">
        <f t="shared" ca="1" si="131"/>
        <v>46783.467197253391</v>
      </c>
      <c r="C2778">
        <f t="shared" ca="1" si="129"/>
        <v>0</v>
      </c>
      <c r="D2778">
        <f t="shared" ca="1" si="130"/>
        <v>6783.4671972533906</v>
      </c>
    </row>
    <row r="2779" spans="2:4" x14ac:dyDescent="0.25">
      <c r="B2779">
        <f t="shared" ca="1" si="131"/>
        <v>42059.226644813898</v>
      </c>
      <c r="C2779">
        <f t="shared" ca="1" si="129"/>
        <v>0</v>
      </c>
      <c r="D2779">
        <f t="shared" ca="1" si="130"/>
        <v>2059.226644813898</v>
      </c>
    </row>
    <row r="2780" spans="2:4" x14ac:dyDescent="0.25">
      <c r="B2780">
        <f t="shared" ca="1" si="131"/>
        <v>36712.66797619289</v>
      </c>
      <c r="C2780">
        <f t="shared" ca="1" si="129"/>
        <v>3287.3320238071101</v>
      </c>
      <c r="D2780">
        <f t="shared" ca="1" si="130"/>
        <v>0</v>
      </c>
    </row>
    <row r="2781" spans="2:4" x14ac:dyDescent="0.25">
      <c r="B2781">
        <f t="shared" ca="1" si="131"/>
        <v>46694.303377684999</v>
      </c>
      <c r="C2781">
        <f t="shared" ca="1" si="129"/>
        <v>0</v>
      </c>
      <c r="D2781">
        <f t="shared" ca="1" si="130"/>
        <v>6694.3033776849988</v>
      </c>
    </row>
    <row r="2782" spans="2:4" x14ac:dyDescent="0.25">
      <c r="B2782">
        <f t="shared" ca="1" si="131"/>
        <v>40256.224661326589</v>
      </c>
      <c r="C2782">
        <f t="shared" ca="1" si="129"/>
        <v>0</v>
      </c>
      <c r="D2782">
        <f t="shared" ca="1" si="130"/>
        <v>256.22466132658883</v>
      </c>
    </row>
    <row r="2783" spans="2:4" x14ac:dyDescent="0.25">
      <c r="B2783">
        <f t="shared" ca="1" si="131"/>
        <v>39705.856844116643</v>
      </c>
      <c r="C2783">
        <f t="shared" ca="1" si="129"/>
        <v>294.14315588335739</v>
      </c>
      <c r="D2783">
        <f t="shared" ca="1" si="130"/>
        <v>0</v>
      </c>
    </row>
    <row r="2784" spans="2:4" x14ac:dyDescent="0.25">
      <c r="B2784">
        <f t="shared" ca="1" si="131"/>
        <v>41495.981974567607</v>
      </c>
      <c r="C2784">
        <f t="shared" ca="1" si="129"/>
        <v>0</v>
      </c>
      <c r="D2784">
        <f t="shared" ca="1" si="130"/>
        <v>1495.9819745676068</v>
      </c>
    </row>
    <row r="2785" spans="2:4" x14ac:dyDescent="0.25">
      <c r="B2785">
        <f t="shared" ca="1" si="131"/>
        <v>45349.220395811775</v>
      </c>
      <c r="C2785">
        <f t="shared" ca="1" si="129"/>
        <v>0</v>
      </c>
      <c r="D2785">
        <f t="shared" ca="1" si="130"/>
        <v>5349.2203958117752</v>
      </c>
    </row>
    <row r="2786" spans="2:4" x14ac:dyDescent="0.25">
      <c r="B2786">
        <f t="shared" ca="1" si="131"/>
        <v>38330.019044462759</v>
      </c>
      <c r="C2786">
        <f t="shared" ca="1" si="129"/>
        <v>1669.9809555372412</v>
      </c>
      <c r="D2786">
        <f t="shared" ca="1" si="130"/>
        <v>0</v>
      </c>
    </row>
    <row r="2787" spans="2:4" x14ac:dyDescent="0.25">
      <c r="B2787">
        <f t="shared" ca="1" si="131"/>
        <v>39744.431284676088</v>
      </c>
      <c r="C2787">
        <f t="shared" ca="1" si="129"/>
        <v>255.56871532391233</v>
      </c>
      <c r="D2787">
        <f t="shared" ca="1" si="130"/>
        <v>0</v>
      </c>
    </row>
    <row r="2788" spans="2:4" x14ac:dyDescent="0.25">
      <c r="B2788">
        <f t="shared" ca="1" si="131"/>
        <v>38208.406468036672</v>
      </c>
      <c r="C2788">
        <f t="shared" ca="1" si="129"/>
        <v>1791.5935319633281</v>
      </c>
      <c r="D2788">
        <f t="shared" ca="1" si="130"/>
        <v>0</v>
      </c>
    </row>
    <row r="2789" spans="2:4" x14ac:dyDescent="0.25">
      <c r="B2789">
        <f t="shared" ca="1" si="131"/>
        <v>44820.429395802472</v>
      </c>
      <c r="C2789">
        <f t="shared" ca="1" si="129"/>
        <v>0</v>
      </c>
      <c r="D2789">
        <f t="shared" ca="1" si="130"/>
        <v>4820.4293958024718</v>
      </c>
    </row>
    <row r="2790" spans="2:4" x14ac:dyDescent="0.25">
      <c r="B2790">
        <f t="shared" ca="1" si="131"/>
        <v>40437.501340191913</v>
      </c>
      <c r="C2790">
        <f t="shared" ca="1" si="129"/>
        <v>0</v>
      </c>
      <c r="D2790">
        <f t="shared" ca="1" si="130"/>
        <v>437.50134019191319</v>
      </c>
    </row>
    <row r="2791" spans="2:4" x14ac:dyDescent="0.25">
      <c r="B2791">
        <f t="shared" ca="1" si="131"/>
        <v>43625.458768373013</v>
      </c>
      <c r="C2791">
        <f t="shared" ca="1" si="129"/>
        <v>0</v>
      </c>
      <c r="D2791">
        <f t="shared" ca="1" si="130"/>
        <v>3625.4587683730133</v>
      </c>
    </row>
    <row r="2792" spans="2:4" x14ac:dyDescent="0.25">
      <c r="B2792">
        <f t="shared" ca="1" si="131"/>
        <v>37880.519634642718</v>
      </c>
      <c r="C2792">
        <f t="shared" ca="1" si="129"/>
        <v>2119.4803653572817</v>
      </c>
      <c r="D2792">
        <f t="shared" ca="1" si="130"/>
        <v>0</v>
      </c>
    </row>
    <row r="2793" spans="2:4" x14ac:dyDescent="0.25">
      <c r="B2793">
        <f t="shared" ca="1" si="131"/>
        <v>42903.95792008876</v>
      </c>
      <c r="C2793">
        <f t="shared" ca="1" si="129"/>
        <v>0</v>
      </c>
      <c r="D2793">
        <f t="shared" ca="1" si="130"/>
        <v>2903.9579200887601</v>
      </c>
    </row>
    <row r="2794" spans="2:4" x14ac:dyDescent="0.25">
      <c r="B2794">
        <f t="shared" ca="1" si="131"/>
        <v>40580.710442227239</v>
      </c>
      <c r="C2794">
        <f t="shared" ca="1" si="129"/>
        <v>0</v>
      </c>
      <c r="D2794">
        <f t="shared" ca="1" si="130"/>
        <v>580.71044222723867</v>
      </c>
    </row>
    <row r="2795" spans="2:4" x14ac:dyDescent="0.25">
      <c r="B2795">
        <f t="shared" ca="1" si="131"/>
        <v>46545.08065062786</v>
      </c>
      <c r="C2795">
        <f t="shared" ca="1" si="129"/>
        <v>0</v>
      </c>
      <c r="D2795">
        <f t="shared" ca="1" si="130"/>
        <v>6545.0806506278605</v>
      </c>
    </row>
    <row r="2796" spans="2:4" x14ac:dyDescent="0.25">
      <c r="B2796">
        <f t="shared" ca="1" si="131"/>
        <v>35734.491823043201</v>
      </c>
      <c r="C2796">
        <f t="shared" ca="1" si="129"/>
        <v>4265.5081769567987</v>
      </c>
      <c r="D2796">
        <f t="shared" ca="1" si="130"/>
        <v>0</v>
      </c>
    </row>
    <row r="2797" spans="2:4" x14ac:dyDescent="0.25">
      <c r="B2797">
        <f t="shared" ca="1" si="131"/>
        <v>40658.033000967574</v>
      </c>
      <c r="C2797">
        <f t="shared" ca="1" si="129"/>
        <v>0</v>
      </c>
      <c r="D2797">
        <f t="shared" ca="1" si="130"/>
        <v>658.03300096757448</v>
      </c>
    </row>
    <row r="2798" spans="2:4" x14ac:dyDescent="0.25">
      <c r="B2798">
        <f t="shared" ca="1" si="131"/>
        <v>45481.561241715441</v>
      </c>
      <c r="C2798">
        <f t="shared" ca="1" si="129"/>
        <v>0</v>
      </c>
      <c r="D2798">
        <f t="shared" ca="1" si="130"/>
        <v>5481.5612417154407</v>
      </c>
    </row>
    <row r="2799" spans="2:4" x14ac:dyDescent="0.25">
      <c r="B2799">
        <f t="shared" ca="1" si="131"/>
        <v>42409.396985048152</v>
      </c>
      <c r="C2799">
        <f t="shared" ca="1" si="129"/>
        <v>0</v>
      </c>
      <c r="D2799">
        <f t="shared" ca="1" si="130"/>
        <v>2409.3969850481517</v>
      </c>
    </row>
    <row r="2800" spans="2:4" x14ac:dyDescent="0.25">
      <c r="B2800">
        <f t="shared" ca="1" si="131"/>
        <v>40288.123176187954</v>
      </c>
      <c r="C2800">
        <f t="shared" ca="1" si="129"/>
        <v>0</v>
      </c>
      <c r="D2800">
        <f t="shared" ca="1" si="130"/>
        <v>288.1231761879535</v>
      </c>
    </row>
    <row r="2801" spans="2:4" x14ac:dyDescent="0.25">
      <c r="B2801">
        <f t="shared" ca="1" si="131"/>
        <v>49724.326724691979</v>
      </c>
      <c r="C2801">
        <f t="shared" ca="1" si="129"/>
        <v>0</v>
      </c>
      <c r="D2801">
        <f t="shared" ca="1" si="130"/>
        <v>9724.3267246919786</v>
      </c>
    </row>
    <row r="2802" spans="2:4" x14ac:dyDescent="0.25">
      <c r="B2802">
        <f t="shared" ca="1" si="131"/>
        <v>44248.074362296196</v>
      </c>
      <c r="C2802">
        <f t="shared" ca="1" si="129"/>
        <v>0</v>
      </c>
      <c r="D2802">
        <f t="shared" ca="1" si="130"/>
        <v>4248.0743622961963</v>
      </c>
    </row>
    <row r="2803" spans="2:4" x14ac:dyDescent="0.25">
      <c r="B2803">
        <f t="shared" ca="1" si="131"/>
        <v>39596.725991479405</v>
      </c>
      <c r="C2803">
        <f t="shared" ca="1" si="129"/>
        <v>403.27400852059509</v>
      </c>
      <c r="D2803">
        <f t="shared" ca="1" si="130"/>
        <v>0</v>
      </c>
    </row>
    <row r="2804" spans="2:4" x14ac:dyDescent="0.25">
      <c r="B2804">
        <f t="shared" ca="1" si="131"/>
        <v>55081.836250133209</v>
      </c>
      <c r="C2804">
        <f t="shared" ca="1" si="129"/>
        <v>0</v>
      </c>
      <c r="D2804">
        <f t="shared" ca="1" si="130"/>
        <v>15081.836250133209</v>
      </c>
    </row>
    <row r="2805" spans="2:4" x14ac:dyDescent="0.25">
      <c r="B2805">
        <f t="shared" ca="1" si="131"/>
        <v>46884.613556793476</v>
      </c>
      <c r="C2805">
        <f t="shared" ca="1" si="129"/>
        <v>0</v>
      </c>
      <c r="D2805">
        <f t="shared" ca="1" si="130"/>
        <v>6884.6135567934762</v>
      </c>
    </row>
    <row r="2806" spans="2:4" x14ac:dyDescent="0.25">
      <c r="B2806">
        <f t="shared" ca="1" si="131"/>
        <v>46324.381897822917</v>
      </c>
      <c r="C2806">
        <f t="shared" ca="1" si="129"/>
        <v>0</v>
      </c>
      <c r="D2806">
        <f t="shared" ca="1" si="130"/>
        <v>6324.3818978229174</v>
      </c>
    </row>
    <row r="2807" spans="2:4" x14ac:dyDescent="0.25">
      <c r="B2807">
        <f t="shared" ca="1" si="131"/>
        <v>47549.328409601389</v>
      </c>
      <c r="C2807">
        <f t="shared" ca="1" si="129"/>
        <v>0</v>
      </c>
      <c r="D2807">
        <f t="shared" ca="1" si="130"/>
        <v>7549.3284096013886</v>
      </c>
    </row>
    <row r="2808" spans="2:4" x14ac:dyDescent="0.25">
      <c r="B2808">
        <f t="shared" ca="1" si="131"/>
        <v>43283.093065913316</v>
      </c>
      <c r="C2808">
        <f t="shared" ca="1" si="129"/>
        <v>0</v>
      </c>
      <c r="D2808">
        <f t="shared" ca="1" si="130"/>
        <v>3283.0930659133155</v>
      </c>
    </row>
    <row r="2809" spans="2:4" x14ac:dyDescent="0.25">
      <c r="B2809">
        <f t="shared" ca="1" si="131"/>
        <v>59286.218281518537</v>
      </c>
      <c r="C2809">
        <f t="shared" ca="1" si="129"/>
        <v>0</v>
      </c>
      <c r="D2809">
        <f t="shared" ca="1" si="130"/>
        <v>19286.218281518537</v>
      </c>
    </row>
    <row r="2810" spans="2:4" x14ac:dyDescent="0.25">
      <c r="B2810">
        <f t="shared" ca="1" si="131"/>
        <v>44248.597020023211</v>
      </c>
      <c r="C2810">
        <f t="shared" ca="1" si="129"/>
        <v>0</v>
      </c>
      <c r="D2810">
        <f t="shared" ca="1" si="130"/>
        <v>4248.5970200232114</v>
      </c>
    </row>
    <row r="2811" spans="2:4" x14ac:dyDescent="0.25">
      <c r="B2811">
        <f t="shared" ca="1" si="131"/>
        <v>43619.011112879896</v>
      </c>
      <c r="C2811">
        <f t="shared" ca="1" si="129"/>
        <v>0</v>
      </c>
      <c r="D2811">
        <f t="shared" ca="1" si="130"/>
        <v>3619.0111128798962</v>
      </c>
    </row>
    <row r="2812" spans="2:4" x14ac:dyDescent="0.25">
      <c r="B2812">
        <f t="shared" ca="1" si="131"/>
        <v>41532.462688891275</v>
      </c>
      <c r="C2812">
        <f t="shared" ca="1" si="129"/>
        <v>0</v>
      </c>
      <c r="D2812">
        <f t="shared" ca="1" si="130"/>
        <v>1532.4626888912753</v>
      </c>
    </row>
    <row r="2813" spans="2:4" x14ac:dyDescent="0.25">
      <c r="B2813">
        <f t="shared" ca="1" si="131"/>
        <v>44801.650113370379</v>
      </c>
      <c r="C2813">
        <f t="shared" ca="1" si="129"/>
        <v>0</v>
      </c>
      <c r="D2813">
        <f t="shared" ca="1" si="130"/>
        <v>4801.6501133703787</v>
      </c>
    </row>
    <row r="2814" spans="2:4" x14ac:dyDescent="0.25">
      <c r="B2814">
        <f t="shared" ca="1" si="131"/>
        <v>51325.022508231028</v>
      </c>
      <c r="C2814">
        <f t="shared" ca="1" si="129"/>
        <v>0</v>
      </c>
      <c r="D2814">
        <f t="shared" ca="1" si="130"/>
        <v>11325.022508231028</v>
      </c>
    </row>
    <row r="2815" spans="2:4" x14ac:dyDescent="0.25">
      <c r="B2815">
        <f t="shared" ca="1" si="131"/>
        <v>36722.497864634403</v>
      </c>
      <c r="C2815">
        <f t="shared" ca="1" si="129"/>
        <v>3277.5021353655975</v>
      </c>
      <c r="D2815">
        <f t="shared" ca="1" si="130"/>
        <v>0</v>
      </c>
    </row>
    <row r="2816" spans="2:4" x14ac:dyDescent="0.25">
      <c r="B2816">
        <f t="shared" ca="1" si="131"/>
        <v>38420.563113604221</v>
      </c>
      <c r="C2816">
        <f t="shared" ca="1" si="129"/>
        <v>1579.4368863957789</v>
      </c>
      <c r="D2816">
        <f t="shared" ca="1" si="130"/>
        <v>0</v>
      </c>
    </row>
    <row r="2817" spans="2:4" x14ac:dyDescent="0.25">
      <c r="B2817">
        <f t="shared" ca="1" si="131"/>
        <v>45950.324549851481</v>
      </c>
      <c r="C2817">
        <f t="shared" ca="1" si="129"/>
        <v>0</v>
      </c>
      <c r="D2817">
        <f t="shared" ca="1" si="130"/>
        <v>5950.3245498514807</v>
      </c>
    </row>
    <row r="2818" spans="2:4" x14ac:dyDescent="0.25">
      <c r="B2818">
        <f t="shared" ca="1" si="131"/>
        <v>47516.239115691467</v>
      </c>
      <c r="C2818">
        <f t="shared" ca="1" si="129"/>
        <v>0</v>
      </c>
      <c r="D2818">
        <f t="shared" ca="1" si="130"/>
        <v>7516.2391156914673</v>
      </c>
    </row>
    <row r="2819" spans="2:4" x14ac:dyDescent="0.25">
      <c r="B2819">
        <f t="shared" ca="1" si="131"/>
        <v>40377.329699092064</v>
      </c>
      <c r="C2819">
        <f t="shared" ca="1" si="129"/>
        <v>0</v>
      </c>
      <c r="D2819">
        <f t="shared" ca="1" si="130"/>
        <v>377.3296990920644</v>
      </c>
    </row>
    <row r="2820" spans="2:4" x14ac:dyDescent="0.25">
      <c r="B2820">
        <f t="shared" ca="1" si="131"/>
        <v>48853.872477012483</v>
      </c>
      <c r="C2820">
        <f t="shared" ca="1" si="129"/>
        <v>0</v>
      </c>
      <c r="D2820">
        <f t="shared" ca="1" si="130"/>
        <v>8853.8724770124827</v>
      </c>
    </row>
    <row r="2821" spans="2:4" x14ac:dyDescent="0.25">
      <c r="B2821">
        <f t="shared" ca="1" si="131"/>
        <v>53871.881973818563</v>
      </c>
      <c r="C2821">
        <f t="shared" ca="1" si="129"/>
        <v>0</v>
      </c>
      <c r="D2821">
        <f t="shared" ca="1" si="130"/>
        <v>13871.881973818563</v>
      </c>
    </row>
    <row r="2822" spans="2:4" x14ac:dyDescent="0.25">
      <c r="B2822">
        <f t="shared" ca="1" si="131"/>
        <v>39246.246381341924</v>
      </c>
      <c r="C2822">
        <f t="shared" ca="1" si="129"/>
        <v>753.75361865807645</v>
      </c>
      <c r="D2822">
        <f t="shared" ca="1" si="130"/>
        <v>0</v>
      </c>
    </row>
    <row r="2823" spans="2:4" x14ac:dyDescent="0.25">
      <c r="B2823">
        <f t="shared" ca="1" si="131"/>
        <v>48501.991608521552</v>
      </c>
      <c r="C2823">
        <f t="shared" ca="1" si="129"/>
        <v>0</v>
      </c>
      <c r="D2823">
        <f t="shared" ca="1" si="130"/>
        <v>8501.9916085215518</v>
      </c>
    </row>
    <row r="2824" spans="2:4" x14ac:dyDescent="0.25">
      <c r="B2824">
        <f t="shared" ca="1" si="131"/>
        <v>39256.309845011259</v>
      </c>
      <c r="C2824">
        <f t="shared" ca="1" si="129"/>
        <v>743.69015498874069</v>
      </c>
      <c r="D2824">
        <f t="shared" ca="1" si="130"/>
        <v>0</v>
      </c>
    </row>
    <row r="2825" spans="2:4" x14ac:dyDescent="0.25">
      <c r="B2825">
        <f t="shared" ca="1" si="131"/>
        <v>49446.856250354322</v>
      </c>
      <c r="C2825">
        <f t="shared" ca="1" si="129"/>
        <v>0</v>
      </c>
      <c r="D2825">
        <f t="shared" ca="1" si="130"/>
        <v>9446.8562503543217</v>
      </c>
    </row>
    <row r="2826" spans="2:4" x14ac:dyDescent="0.25">
      <c r="B2826">
        <f t="shared" ca="1" si="131"/>
        <v>39073.148137262688</v>
      </c>
      <c r="C2826">
        <f t="shared" ca="1" si="129"/>
        <v>926.85186273731233</v>
      </c>
      <c r="D2826">
        <f t="shared" ca="1" si="130"/>
        <v>0</v>
      </c>
    </row>
    <row r="2827" spans="2:4" x14ac:dyDescent="0.25">
      <c r="B2827">
        <f t="shared" ca="1" si="131"/>
        <v>48388.585954802125</v>
      </c>
      <c r="C2827">
        <f t="shared" ca="1" si="129"/>
        <v>0</v>
      </c>
      <c r="D2827">
        <f t="shared" ca="1" si="130"/>
        <v>8388.5859548021253</v>
      </c>
    </row>
    <row r="2828" spans="2:4" x14ac:dyDescent="0.25">
      <c r="B2828">
        <f t="shared" ca="1" si="131"/>
        <v>49993.718130005946</v>
      </c>
      <c r="C2828">
        <f t="shared" ref="C2828:C2891" ca="1" si="132">IF(MAX($B$2-B2828)&lt;0,0,$B$2-B2828)</f>
        <v>0</v>
      </c>
      <c r="D2828">
        <f t="shared" ref="D2828:D2891" ca="1" si="133">IF(MAX(B2828-$B$2)&lt;0,0,B2828-$B$2)</f>
        <v>9993.7181300059456</v>
      </c>
    </row>
    <row r="2829" spans="2:4" x14ac:dyDescent="0.25">
      <c r="B2829">
        <f t="shared" ref="B2829:B2892" ca="1" si="134">$B$1*EXP((($B$4-($B$3^2)/2)*$B$5+$B$3*SQRT($B$5)*NORMSINV(RAND())))</f>
        <v>38696.561902699941</v>
      </c>
      <c r="C2829">
        <f t="shared" ca="1" si="132"/>
        <v>1303.4380973000589</v>
      </c>
      <c r="D2829">
        <f t="shared" ca="1" si="133"/>
        <v>0</v>
      </c>
    </row>
    <row r="2830" spans="2:4" x14ac:dyDescent="0.25">
      <c r="B2830">
        <f t="shared" ca="1" si="134"/>
        <v>42481.965568471802</v>
      </c>
      <c r="C2830">
        <f t="shared" ca="1" si="132"/>
        <v>0</v>
      </c>
      <c r="D2830">
        <f t="shared" ca="1" si="133"/>
        <v>2481.9655684718018</v>
      </c>
    </row>
    <row r="2831" spans="2:4" x14ac:dyDescent="0.25">
      <c r="B2831">
        <f t="shared" ca="1" si="134"/>
        <v>47622.823085261087</v>
      </c>
      <c r="C2831">
        <f t="shared" ca="1" si="132"/>
        <v>0</v>
      </c>
      <c r="D2831">
        <f t="shared" ca="1" si="133"/>
        <v>7622.8230852610868</v>
      </c>
    </row>
    <row r="2832" spans="2:4" x14ac:dyDescent="0.25">
      <c r="B2832">
        <f t="shared" ca="1" si="134"/>
        <v>42656.610885341848</v>
      </c>
      <c r="C2832">
        <f t="shared" ca="1" si="132"/>
        <v>0</v>
      </c>
      <c r="D2832">
        <f t="shared" ca="1" si="133"/>
        <v>2656.6108853418482</v>
      </c>
    </row>
    <row r="2833" spans="2:4" x14ac:dyDescent="0.25">
      <c r="B2833">
        <f t="shared" ca="1" si="134"/>
        <v>48941.860368704518</v>
      </c>
      <c r="C2833">
        <f t="shared" ca="1" si="132"/>
        <v>0</v>
      </c>
      <c r="D2833">
        <f t="shared" ca="1" si="133"/>
        <v>8941.8603687045179</v>
      </c>
    </row>
    <row r="2834" spans="2:4" x14ac:dyDescent="0.25">
      <c r="B2834">
        <f t="shared" ca="1" si="134"/>
        <v>45933.585863405315</v>
      </c>
      <c r="C2834">
        <f t="shared" ca="1" si="132"/>
        <v>0</v>
      </c>
      <c r="D2834">
        <f t="shared" ca="1" si="133"/>
        <v>5933.5858634053147</v>
      </c>
    </row>
    <row r="2835" spans="2:4" x14ac:dyDescent="0.25">
      <c r="B2835">
        <f t="shared" ca="1" si="134"/>
        <v>45208.011528221585</v>
      </c>
      <c r="C2835">
        <f t="shared" ca="1" si="132"/>
        <v>0</v>
      </c>
      <c r="D2835">
        <f t="shared" ca="1" si="133"/>
        <v>5208.0115282215847</v>
      </c>
    </row>
    <row r="2836" spans="2:4" x14ac:dyDescent="0.25">
      <c r="B2836">
        <f t="shared" ca="1" si="134"/>
        <v>47518.476922936927</v>
      </c>
      <c r="C2836">
        <f t="shared" ca="1" si="132"/>
        <v>0</v>
      </c>
      <c r="D2836">
        <f t="shared" ca="1" si="133"/>
        <v>7518.4769229369267</v>
      </c>
    </row>
    <row r="2837" spans="2:4" x14ac:dyDescent="0.25">
      <c r="B2837">
        <f t="shared" ca="1" si="134"/>
        <v>48372.816056724369</v>
      </c>
      <c r="C2837">
        <f t="shared" ca="1" si="132"/>
        <v>0</v>
      </c>
      <c r="D2837">
        <f t="shared" ca="1" si="133"/>
        <v>8372.8160567243685</v>
      </c>
    </row>
    <row r="2838" spans="2:4" x14ac:dyDescent="0.25">
      <c r="B2838">
        <f t="shared" ca="1" si="134"/>
        <v>47776.434165688945</v>
      </c>
      <c r="C2838">
        <f t="shared" ca="1" si="132"/>
        <v>0</v>
      </c>
      <c r="D2838">
        <f t="shared" ca="1" si="133"/>
        <v>7776.4341656889446</v>
      </c>
    </row>
    <row r="2839" spans="2:4" x14ac:dyDescent="0.25">
      <c r="B2839">
        <f t="shared" ca="1" si="134"/>
        <v>50204.710801619258</v>
      </c>
      <c r="C2839">
        <f t="shared" ca="1" si="132"/>
        <v>0</v>
      </c>
      <c r="D2839">
        <f t="shared" ca="1" si="133"/>
        <v>10204.710801619258</v>
      </c>
    </row>
    <row r="2840" spans="2:4" x14ac:dyDescent="0.25">
      <c r="B2840">
        <f t="shared" ca="1" si="134"/>
        <v>48591.02190136796</v>
      </c>
      <c r="C2840">
        <f t="shared" ca="1" si="132"/>
        <v>0</v>
      </c>
      <c r="D2840">
        <f t="shared" ca="1" si="133"/>
        <v>8591.0219013679598</v>
      </c>
    </row>
    <row r="2841" spans="2:4" x14ac:dyDescent="0.25">
      <c r="B2841">
        <f t="shared" ca="1" si="134"/>
        <v>42947.800909413025</v>
      </c>
      <c r="C2841">
        <f t="shared" ca="1" si="132"/>
        <v>0</v>
      </c>
      <c r="D2841">
        <f t="shared" ca="1" si="133"/>
        <v>2947.8009094130248</v>
      </c>
    </row>
    <row r="2842" spans="2:4" x14ac:dyDescent="0.25">
      <c r="B2842">
        <f t="shared" ca="1" si="134"/>
        <v>53731.052424954374</v>
      </c>
      <c r="C2842">
        <f t="shared" ca="1" si="132"/>
        <v>0</v>
      </c>
      <c r="D2842">
        <f t="shared" ca="1" si="133"/>
        <v>13731.052424954374</v>
      </c>
    </row>
    <row r="2843" spans="2:4" x14ac:dyDescent="0.25">
      <c r="B2843">
        <f t="shared" ca="1" si="134"/>
        <v>59348.103345461146</v>
      </c>
      <c r="C2843">
        <f t="shared" ca="1" si="132"/>
        <v>0</v>
      </c>
      <c r="D2843">
        <f t="shared" ca="1" si="133"/>
        <v>19348.103345461146</v>
      </c>
    </row>
    <row r="2844" spans="2:4" x14ac:dyDescent="0.25">
      <c r="B2844">
        <f t="shared" ca="1" si="134"/>
        <v>57324.609615431436</v>
      </c>
      <c r="C2844">
        <f t="shared" ca="1" si="132"/>
        <v>0</v>
      </c>
      <c r="D2844">
        <f t="shared" ca="1" si="133"/>
        <v>17324.609615431436</v>
      </c>
    </row>
    <row r="2845" spans="2:4" x14ac:dyDescent="0.25">
      <c r="B2845">
        <f t="shared" ca="1" si="134"/>
        <v>49939.103305990488</v>
      </c>
      <c r="C2845">
        <f t="shared" ca="1" si="132"/>
        <v>0</v>
      </c>
      <c r="D2845">
        <f t="shared" ca="1" si="133"/>
        <v>9939.1033059904876</v>
      </c>
    </row>
    <row r="2846" spans="2:4" x14ac:dyDescent="0.25">
      <c r="B2846">
        <f t="shared" ca="1" si="134"/>
        <v>47172.903299008751</v>
      </c>
      <c r="C2846">
        <f t="shared" ca="1" si="132"/>
        <v>0</v>
      </c>
      <c r="D2846">
        <f t="shared" ca="1" si="133"/>
        <v>7172.9032990087508</v>
      </c>
    </row>
    <row r="2847" spans="2:4" x14ac:dyDescent="0.25">
      <c r="B2847">
        <f t="shared" ca="1" si="134"/>
        <v>44604.335470349739</v>
      </c>
      <c r="C2847">
        <f t="shared" ca="1" si="132"/>
        <v>0</v>
      </c>
      <c r="D2847">
        <f t="shared" ca="1" si="133"/>
        <v>4604.3354703497389</v>
      </c>
    </row>
    <row r="2848" spans="2:4" x14ac:dyDescent="0.25">
      <c r="B2848">
        <f t="shared" ca="1" si="134"/>
        <v>38365.675524763734</v>
      </c>
      <c r="C2848">
        <f t="shared" ca="1" si="132"/>
        <v>1634.3244752362662</v>
      </c>
      <c r="D2848">
        <f t="shared" ca="1" si="133"/>
        <v>0</v>
      </c>
    </row>
    <row r="2849" spans="2:4" x14ac:dyDescent="0.25">
      <c r="B2849">
        <f t="shared" ca="1" si="134"/>
        <v>38791.809279881483</v>
      </c>
      <c r="C2849">
        <f t="shared" ca="1" si="132"/>
        <v>1208.1907201185168</v>
      </c>
      <c r="D2849">
        <f t="shared" ca="1" si="133"/>
        <v>0</v>
      </c>
    </row>
    <row r="2850" spans="2:4" x14ac:dyDescent="0.25">
      <c r="B2850">
        <f t="shared" ca="1" si="134"/>
        <v>49721.158526607767</v>
      </c>
      <c r="C2850">
        <f t="shared" ca="1" si="132"/>
        <v>0</v>
      </c>
      <c r="D2850">
        <f t="shared" ca="1" si="133"/>
        <v>9721.1585266077673</v>
      </c>
    </row>
    <row r="2851" spans="2:4" x14ac:dyDescent="0.25">
      <c r="B2851">
        <f t="shared" ca="1" si="134"/>
        <v>48569.928667212931</v>
      </c>
      <c r="C2851">
        <f t="shared" ca="1" si="132"/>
        <v>0</v>
      </c>
      <c r="D2851">
        <f t="shared" ca="1" si="133"/>
        <v>8569.928667212931</v>
      </c>
    </row>
    <row r="2852" spans="2:4" x14ac:dyDescent="0.25">
      <c r="B2852">
        <f t="shared" ca="1" si="134"/>
        <v>45473.382709053869</v>
      </c>
      <c r="C2852">
        <f t="shared" ca="1" si="132"/>
        <v>0</v>
      </c>
      <c r="D2852">
        <f t="shared" ca="1" si="133"/>
        <v>5473.3827090538689</v>
      </c>
    </row>
    <row r="2853" spans="2:4" x14ac:dyDescent="0.25">
      <c r="B2853">
        <f t="shared" ca="1" si="134"/>
        <v>42595.632820714643</v>
      </c>
      <c r="C2853">
        <f t="shared" ca="1" si="132"/>
        <v>0</v>
      </c>
      <c r="D2853">
        <f t="shared" ca="1" si="133"/>
        <v>2595.6328207146435</v>
      </c>
    </row>
    <row r="2854" spans="2:4" x14ac:dyDescent="0.25">
      <c r="B2854">
        <f t="shared" ca="1" si="134"/>
        <v>41449.332200097728</v>
      </c>
      <c r="C2854">
        <f t="shared" ca="1" si="132"/>
        <v>0</v>
      </c>
      <c r="D2854">
        <f t="shared" ca="1" si="133"/>
        <v>1449.3322000977278</v>
      </c>
    </row>
    <row r="2855" spans="2:4" x14ac:dyDescent="0.25">
      <c r="B2855">
        <f t="shared" ca="1" si="134"/>
        <v>44100.637571335224</v>
      </c>
      <c r="C2855">
        <f t="shared" ca="1" si="132"/>
        <v>0</v>
      </c>
      <c r="D2855">
        <f t="shared" ca="1" si="133"/>
        <v>4100.6375713352245</v>
      </c>
    </row>
    <row r="2856" spans="2:4" x14ac:dyDescent="0.25">
      <c r="B2856">
        <f t="shared" ca="1" si="134"/>
        <v>43104.058270901187</v>
      </c>
      <c r="C2856">
        <f t="shared" ca="1" si="132"/>
        <v>0</v>
      </c>
      <c r="D2856">
        <f t="shared" ca="1" si="133"/>
        <v>3104.0582709011869</v>
      </c>
    </row>
    <row r="2857" spans="2:4" x14ac:dyDescent="0.25">
      <c r="B2857">
        <f t="shared" ca="1" si="134"/>
        <v>38199.491112205586</v>
      </c>
      <c r="C2857">
        <f t="shared" ca="1" si="132"/>
        <v>1800.5088877944145</v>
      </c>
      <c r="D2857">
        <f t="shared" ca="1" si="133"/>
        <v>0</v>
      </c>
    </row>
    <row r="2858" spans="2:4" x14ac:dyDescent="0.25">
      <c r="B2858">
        <f t="shared" ca="1" si="134"/>
        <v>38452.169701011691</v>
      </c>
      <c r="C2858">
        <f t="shared" ca="1" si="132"/>
        <v>1547.8302989883086</v>
      </c>
      <c r="D2858">
        <f t="shared" ca="1" si="133"/>
        <v>0</v>
      </c>
    </row>
    <row r="2859" spans="2:4" x14ac:dyDescent="0.25">
      <c r="B2859">
        <f t="shared" ca="1" si="134"/>
        <v>47766.501887211714</v>
      </c>
      <c r="C2859">
        <f t="shared" ca="1" si="132"/>
        <v>0</v>
      </c>
      <c r="D2859">
        <f t="shared" ca="1" si="133"/>
        <v>7766.5018872117143</v>
      </c>
    </row>
    <row r="2860" spans="2:4" x14ac:dyDescent="0.25">
      <c r="B2860">
        <f t="shared" ca="1" si="134"/>
        <v>46449.107937643312</v>
      </c>
      <c r="C2860">
        <f t="shared" ca="1" si="132"/>
        <v>0</v>
      </c>
      <c r="D2860">
        <f t="shared" ca="1" si="133"/>
        <v>6449.1079376433117</v>
      </c>
    </row>
    <row r="2861" spans="2:4" x14ac:dyDescent="0.25">
      <c r="B2861">
        <f t="shared" ca="1" si="134"/>
        <v>48971.627323863213</v>
      </c>
      <c r="C2861">
        <f t="shared" ca="1" si="132"/>
        <v>0</v>
      </c>
      <c r="D2861">
        <f t="shared" ca="1" si="133"/>
        <v>8971.627323863213</v>
      </c>
    </row>
    <row r="2862" spans="2:4" x14ac:dyDescent="0.25">
      <c r="B2862">
        <f t="shared" ca="1" si="134"/>
        <v>37793.208883595704</v>
      </c>
      <c r="C2862">
        <f t="shared" ca="1" si="132"/>
        <v>2206.7911164042962</v>
      </c>
      <c r="D2862">
        <f t="shared" ca="1" si="133"/>
        <v>0</v>
      </c>
    </row>
    <row r="2863" spans="2:4" x14ac:dyDescent="0.25">
      <c r="B2863">
        <f t="shared" ca="1" si="134"/>
        <v>44939.771488218626</v>
      </c>
      <c r="C2863">
        <f t="shared" ca="1" si="132"/>
        <v>0</v>
      </c>
      <c r="D2863">
        <f t="shared" ca="1" si="133"/>
        <v>4939.7714882186265</v>
      </c>
    </row>
    <row r="2864" spans="2:4" x14ac:dyDescent="0.25">
      <c r="B2864">
        <f t="shared" ca="1" si="134"/>
        <v>47348.673999898856</v>
      </c>
      <c r="C2864">
        <f t="shared" ca="1" si="132"/>
        <v>0</v>
      </c>
      <c r="D2864">
        <f t="shared" ca="1" si="133"/>
        <v>7348.673999898856</v>
      </c>
    </row>
    <row r="2865" spans="2:4" x14ac:dyDescent="0.25">
      <c r="B2865">
        <f t="shared" ca="1" si="134"/>
        <v>32831.539763928129</v>
      </c>
      <c r="C2865">
        <f t="shared" ca="1" si="132"/>
        <v>7168.4602360718709</v>
      </c>
      <c r="D2865">
        <f t="shared" ca="1" si="133"/>
        <v>0</v>
      </c>
    </row>
    <row r="2866" spans="2:4" x14ac:dyDescent="0.25">
      <c r="B2866">
        <f t="shared" ca="1" si="134"/>
        <v>44447.610370770388</v>
      </c>
      <c r="C2866">
        <f t="shared" ca="1" si="132"/>
        <v>0</v>
      </c>
      <c r="D2866">
        <f t="shared" ca="1" si="133"/>
        <v>4447.6103707703878</v>
      </c>
    </row>
    <row r="2867" spans="2:4" x14ac:dyDescent="0.25">
      <c r="B2867">
        <f t="shared" ca="1" si="134"/>
        <v>46943.799627377746</v>
      </c>
      <c r="C2867">
        <f t="shared" ca="1" si="132"/>
        <v>0</v>
      </c>
      <c r="D2867">
        <f t="shared" ca="1" si="133"/>
        <v>6943.7996273777462</v>
      </c>
    </row>
    <row r="2868" spans="2:4" x14ac:dyDescent="0.25">
      <c r="B2868">
        <f t="shared" ca="1" si="134"/>
        <v>40530.719212477314</v>
      </c>
      <c r="C2868">
        <f t="shared" ca="1" si="132"/>
        <v>0</v>
      </c>
      <c r="D2868">
        <f t="shared" ca="1" si="133"/>
        <v>530.7192124773137</v>
      </c>
    </row>
    <row r="2869" spans="2:4" x14ac:dyDescent="0.25">
      <c r="B2869">
        <f t="shared" ca="1" si="134"/>
        <v>57948.628677181296</v>
      </c>
      <c r="C2869">
        <f t="shared" ca="1" si="132"/>
        <v>0</v>
      </c>
      <c r="D2869">
        <f t="shared" ca="1" si="133"/>
        <v>17948.628677181296</v>
      </c>
    </row>
    <row r="2870" spans="2:4" x14ac:dyDescent="0.25">
      <c r="B2870">
        <f t="shared" ca="1" si="134"/>
        <v>47196.444257508927</v>
      </c>
      <c r="C2870">
        <f t="shared" ca="1" si="132"/>
        <v>0</v>
      </c>
      <c r="D2870">
        <f t="shared" ca="1" si="133"/>
        <v>7196.444257508927</v>
      </c>
    </row>
    <row r="2871" spans="2:4" x14ac:dyDescent="0.25">
      <c r="B2871">
        <f t="shared" ca="1" si="134"/>
        <v>42864.388359548975</v>
      </c>
      <c r="C2871">
        <f t="shared" ca="1" si="132"/>
        <v>0</v>
      </c>
      <c r="D2871">
        <f t="shared" ca="1" si="133"/>
        <v>2864.3883595489751</v>
      </c>
    </row>
    <row r="2872" spans="2:4" x14ac:dyDescent="0.25">
      <c r="B2872">
        <f t="shared" ca="1" si="134"/>
        <v>42210.523188578867</v>
      </c>
      <c r="C2872">
        <f t="shared" ca="1" si="132"/>
        <v>0</v>
      </c>
      <c r="D2872">
        <f t="shared" ca="1" si="133"/>
        <v>2210.5231885788671</v>
      </c>
    </row>
    <row r="2873" spans="2:4" x14ac:dyDescent="0.25">
      <c r="B2873">
        <f t="shared" ca="1" si="134"/>
        <v>33758.794718946621</v>
      </c>
      <c r="C2873">
        <f t="shared" ca="1" si="132"/>
        <v>6241.2052810533787</v>
      </c>
      <c r="D2873">
        <f t="shared" ca="1" si="133"/>
        <v>0</v>
      </c>
    </row>
    <row r="2874" spans="2:4" x14ac:dyDescent="0.25">
      <c r="B2874">
        <f t="shared" ca="1" si="134"/>
        <v>44710.503745507536</v>
      </c>
      <c r="C2874">
        <f t="shared" ca="1" si="132"/>
        <v>0</v>
      </c>
      <c r="D2874">
        <f t="shared" ca="1" si="133"/>
        <v>4710.5037455075362</v>
      </c>
    </row>
    <row r="2875" spans="2:4" x14ac:dyDescent="0.25">
      <c r="B2875">
        <f t="shared" ca="1" si="134"/>
        <v>43545.059539269751</v>
      </c>
      <c r="C2875">
        <f t="shared" ca="1" si="132"/>
        <v>0</v>
      </c>
      <c r="D2875">
        <f t="shared" ca="1" si="133"/>
        <v>3545.0595392697505</v>
      </c>
    </row>
    <row r="2876" spans="2:4" x14ac:dyDescent="0.25">
      <c r="B2876">
        <f t="shared" ca="1" si="134"/>
        <v>43017.83738281855</v>
      </c>
      <c r="C2876">
        <f t="shared" ca="1" si="132"/>
        <v>0</v>
      </c>
      <c r="D2876">
        <f t="shared" ca="1" si="133"/>
        <v>3017.8373828185504</v>
      </c>
    </row>
    <row r="2877" spans="2:4" x14ac:dyDescent="0.25">
      <c r="B2877">
        <f t="shared" ca="1" si="134"/>
        <v>45235.340295343754</v>
      </c>
      <c r="C2877">
        <f t="shared" ca="1" si="132"/>
        <v>0</v>
      </c>
      <c r="D2877">
        <f t="shared" ca="1" si="133"/>
        <v>5235.3402953437544</v>
      </c>
    </row>
    <row r="2878" spans="2:4" x14ac:dyDescent="0.25">
      <c r="B2878">
        <f t="shared" ca="1" si="134"/>
        <v>45070.650869666228</v>
      </c>
      <c r="C2878">
        <f t="shared" ca="1" si="132"/>
        <v>0</v>
      </c>
      <c r="D2878">
        <f t="shared" ca="1" si="133"/>
        <v>5070.6508696662277</v>
      </c>
    </row>
    <row r="2879" spans="2:4" x14ac:dyDescent="0.25">
      <c r="B2879">
        <f t="shared" ca="1" si="134"/>
        <v>38049.036077959398</v>
      </c>
      <c r="C2879">
        <f t="shared" ca="1" si="132"/>
        <v>1950.9639220406025</v>
      </c>
      <c r="D2879">
        <f t="shared" ca="1" si="133"/>
        <v>0</v>
      </c>
    </row>
    <row r="2880" spans="2:4" x14ac:dyDescent="0.25">
      <c r="B2880">
        <f t="shared" ca="1" si="134"/>
        <v>41167.046598921741</v>
      </c>
      <c r="C2880">
        <f t="shared" ca="1" si="132"/>
        <v>0</v>
      </c>
      <c r="D2880">
        <f t="shared" ca="1" si="133"/>
        <v>1167.046598921741</v>
      </c>
    </row>
    <row r="2881" spans="2:4" x14ac:dyDescent="0.25">
      <c r="B2881">
        <f t="shared" ca="1" si="134"/>
        <v>36713.016687291551</v>
      </c>
      <c r="C2881">
        <f t="shared" ca="1" si="132"/>
        <v>3286.9833127084494</v>
      </c>
      <c r="D2881">
        <f t="shared" ca="1" si="133"/>
        <v>0</v>
      </c>
    </row>
    <row r="2882" spans="2:4" x14ac:dyDescent="0.25">
      <c r="B2882">
        <f t="shared" ca="1" si="134"/>
        <v>33935.928254563827</v>
      </c>
      <c r="C2882">
        <f t="shared" ca="1" si="132"/>
        <v>6064.0717454361729</v>
      </c>
      <c r="D2882">
        <f t="shared" ca="1" si="133"/>
        <v>0</v>
      </c>
    </row>
    <row r="2883" spans="2:4" x14ac:dyDescent="0.25">
      <c r="B2883">
        <f t="shared" ca="1" si="134"/>
        <v>42307.099645127513</v>
      </c>
      <c r="C2883">
        <f t="shared" ca="1" si="132"/>
        <v>0</v>
      </c>
      <c r="D2883">
        <f t="shared" ca="1" si="133"/>
        <v>2307.0996451275132</v>
      </c>
    </row>
    <row r="2884" spans="2:4" x14ac:dyDescent="0.25">
      <c r="B2884">
        <f t="shared" ca="1" si="134"/>
        <v>51508.780165208416</v>
      </c>
      <c r="C2884">
        <f t="shared" ca="1" si="132"/>
        <v>0</v>
      </c>
      <c r="D2884">
        <f t="shared" ca="1" si="133"/>
        <v>11508.780165208416</v>
      </c>
    </row>
    <row r="2885" spans="2:4" x14ac:dyDescent="0.25">
      <c r="B2885">
        <f t="shared" ca="1" si="134"/>
        <v>46870.617014262396</v>
      </c>
      <c r="C2885">
        <f t="shared" ca="1" si="132"/>
        <v>0</v>
      </c>
      <c r="D2885">
        <f t="shared" ca="1" si="133"/>
        <v>6870.617014262396</v>
      </c>
    </row>
    <row r="2886" spans="2:4" x14ac:dyDescent="0.25">
      <c r="B2886">
        <f t="shared" ca="1" si="134"/>
        <v>45113.710639006895</v>
      </c>
      <c r="C2886">
        <f t="shared" ca="1" si="132"/>
        <v>0</v>
      </c>
      <c r="D2886">
        <f t="shared" ca="1" si="133"/>
        <v>5113.7106390068948</v>
      </c>
    </row>
    <row r="2887" spans="2:4" x14ac:dyDescent="0.25">
      <c r="B2887">
        <f t="shared" ca="1" si="134"/>
        <v>38292.614420031547</v>
      </c>
      <c r="C2887">
        <f t="shared" ca="1" si="132"/>
        <v>1707.3855799684534</v>
      </c>
      <c r="D2887">
        <f t="shared" ca="1" si="133"/>
        <v>0</v>
      </c>
    </row>
    <row r="2888" spans="2:4" x14ac:dyDescent="0.25">
      <c r="B2888">
        <f t="shared" ca="1" si="134"/>
        <v>38004.10777073857</v>
      </c>
      <c r="C2888">
        <f t="shared" ca="1" si="132"/>
        <v>1995.8922292614297</v>
      </c>
      <c r="D2888">
        <f t="shared" ca="1" si="133"/>
        <v>0</v>
      </c>
    </row>
    <row r="2889" spans="2:4" x14ac:dyDescent="0.25">
      <c r="B2889">
        <f t="shared" ca="1" si="134"/>
        <v>42972.893097231579</v>
      </c>
      <c r="C2889">
        <f t="shared" ca="1" si="132"/>
        <v>0</v>
      </c>
      <c r="D2889">
        <f t="shared" ca="1" si="133"/>
        <v>2972.8930972315793</v>
      </c>
    </row>
    <row r="2890" spans="2:4" x14ac:dyDescent="0.25">
      <c r="B2890">
        <f t="shared" ca="1" si="134"/>
        <v>59643.431585722523</v>
      </c>
      <c r="C2890">
        <f t="shared" ca="1" si="132"/>
        <v>0</v>
      </c>
      <c r="D2890">
        <f t="shared" ca="1" si="133"/>
        <v>19643.431585722523</v>
      </c>
    </row>
    <row r="2891" spans="2:4" x14ac:dyDescent="0.25">
      <c r="B2891">
        <f t="shared" ca="1" si="134"/>
        <v>44969.557405421852</v>
      </c>
      <c r="C2891">
        <f t="shared" ca="1" si="132"/>
        <v>0</v>
      </c>
      <c r="D2891">
        <f t="shared" ca="1" si="133"/>
        <v>4969.5574054218523</v>
      </c>
    </row>
    <row r="2892" spans="2:4" x14ac:dyDescent="0.25">
      <c r="B2892">
        <f t="shared" ca="1" si="134"/>
        <v>38127.622211400922</v>
      </c>
      <c r="C2892">
        <f t="shared" ref="C2892:C2955" ca="1" si="135">IF(MAX($B$2-B2892)&lt;0,0,$B$2-B2892)</f>
        <v>1872.3777885990785</v>
      </c>
      <c r="D2892">
        <f t="shared" ref="D2892:D2955" ca="1" si="136">IF(MAX(B2892-$B$2)&lt;0,0,B2892-$B$2)</f>
        <v>0</v>
      </c>
    </row>
    <row r="2893" spans="2:4" x14ac:dyDescent="0.25">
      <c r="B2893">
        <f t="shared" ref="B2893:B2956" ca="1" si="137">$B$1*EXP((($B$4-($B$3^2)/2)*$B$5+$B$3*SQRT($B$5)*NORMSINV(RAND())))</f>
        <v>38731.560753870828</v>
      </c>
      <c r="C2893">
        <f t="shared" ca="1" si="135"/>
        <v>1268.4392461291718</v>
      </c>
      <c r="D2893">
        <f t="shared" ca="1" si="136"/>
        <v>0</v>
      </c>
    </row>
    <row r="2894" spans="2:4" x14ac:dyDescent="0.25">
      <c r="B2894">
        <f t="shared" ca="1" si="137"/>
        <v>41117.519957725555</v>
      </c>
      <c r="C2894">
        <f t="shared" ca="1" si="135"/>
        <v>0</v>
      </c>
      <c r="D2894">
        <f t="shared" ca="1" si="136"/>
        <v>1117.5199577255553</v>
      </c>
    </row>
    <row r="2895" spans="2:4" x14ac:dyDescent="0.25">
      <c r="B2895">
        <f t="shared" ca="1" si="137"/>
        <v>47896.122126126487</v>
      </c>
      <c r="C2895">
        <f t="shared" ca="1" si="135"/>
        <v>0</v>
      </c>
      <c r="D2895">
        <f t="shared" ca="1" si="136"/>
        <v>7896.1221261264873</v>
      </c>
    </row>
    <row r="2896" spans="2:4" x14ac:dyDescent="0.25">
      <c r="B2896">
        <f t="shared" ca="1" si="137"/>
        <v>45787.036764390527</v>
      </c>
      <c r="C2896">
        <f t="shared" ca="1" si="135"/>
        <v>0</v>
      </c>
      <c r="D2896">
        <f t="shared" ca="1" si="136"/>
        <v>5787.0367643905265</v>
      </c>
    </row>
    <row r="2897" spans="2:4" x14ac:dyDescent="0.25">
      <c r="B2897">
        <f t="shared" ca="1" si="137"/>
        <v>44016.671283640891</v>
      </c>
      <c r="C2897">
        <f t="shared" ca="1" si="135"/>
        <v>0</v>
      </c>
      <c r="D2897">
        <f t="shared" ca="1" si="136"/>
        <v>4016.6712836408915</v>
      </c>
    </row>
    <row r="2898" spans="2:4" x14ac:dyDescent="0.25">
      <c r="B2898">
        <f t="shared" ca="1" si="137"/>
        <v>43873.531165451546</v>
      </c>
      <c r="C2898">
        <f t="shared" ca="1" si="135"/>
        <v>0</v>
      </c>
      <c r="D2898">
        <f t="shared" ca="1" si="136"/>
        <v>3873.5311654515463</v>
      </c>
    </row>
    <row r="2899" spans="2:4" x14ac:dyDescent="0.25">
      <c r="B2899">
        <f t="shared" ca="1" si="137"/>
        <v>46094.144888607312</v>
      </c>
      <c r="C2899">
        <f t="shared" ca="1" si="135"/>
        <v>0</v>
      </c>
      <c r="D2899">
        <f t="shared" ca="1" si="136"/>
        <v>6094.1448886073122</v>
      </c>
    </row>
    <row r="2900" spans="2:4" x14ac:dyDescent="0.25">
      <c r="B2900">
        <f t="shared" ca="1" si="137"/>
        <v>51611.526517380735</v>
      </c>
      <c r="C2900">
        <f t="shared" ca="1" si="135"/>
        <v>0</v>
      </c>
      <c r="D2900">
        <f t="shared" ca="1" si="136"/>
        <v>11611.526517380735</v>
      </c>
    </row>
    <row r="2901" spans="2:4" x14ac:dyDescent="0.25">
      <c r="B2901">
        <f t="shared" ca="1" si="137"/>
        <v>46880.645424503346</v>
      </c>
      <c r="C2901">
        <f t="shared" ca="1" si="135"/>
        <v>0</v>
      </c>
      <c r="D2901">
        <f t="shared" ca="1" si="136"/>
        <v>6880.6454245033456</v>
      </c>
    </row>
    <row r="2902" spans="2:4" x14ac:dyDescent="0.25">
      <c r="B2902">
        <f t="shared" ca="1" si="137"/>
        <v>44807.34279262599</v>
      </c>
      <c r="C2902">
        <f t="shared" ca="1" si="135"/>
        <v>0</v>
      </c>
      <c r="D2902">
        <f t="shared" ca="1" si="136"/>
        <v>4807.3427926259901</v>
      </c>
    </row>
    <row r="2903" spans="2:4" x14ac:dyDescent="0.25">
      <c r="B2903">
        <f t="shared" ca="1" si="137"/>
        <v>42493.54590095568</v>
      </c>
      <c r="C2903">
        <f t="shared" ca="1" si="135"/>
        <v>0</v>
      </c>
      <c r="D2903">
        <f t="shared" ca="1" si="136"/>
        <v>2493.5459009556798</v>
      </c>
    </row>
    <row r="2904" spans="2:4" x14ac:dyDescent="0.25">
      <c r="B2904">
        <f t="shared" ca="1" si="137"/>
        <v>45707.734517161494</v>
      </c>
      <c r="C2904">
        <f t="shared" ca="1" si="135"/>
        <v>0</v>
      </c>
      <c r="D2904">
        <f t="shared" ca="1" si="136"/>
        <v>5707.7345171614943</v>
      </c>
    </row>
    <row r="2905" spans="2:4" x14ac:dyDescent="0.25">
      <c r="B2905">
        <f t="shared" ca="1" si="137"/>
        <v>46230.427623078809</v>
      </c>
      <c r="C2905">
        <f t="shared" ca="1" si="135"/>
        <v>0</v>
      </c>
      <c r="D2905">
        <f t="shared" ca="1" si="136"/>
        <v>6230.4276230788091</v>
      </c>
    </row>
    <row r="2906" spans="2:4" x14ac:dyDescent="0.25">
      <c r="B2906">
        <f t="shared" ca="1" si="137"/>
        <v>46388.616775752474</v>
      </c>
      <c r="C2906">
        <f t="shared" ca="1" si="135"/>
        <v>0</v>
      </c>
      <c r="D2906">
        <f t="shared" ca="1" si="136"/>
        <v>6388.6167757524745</v>
      </c>
    </row>
    <row r="2907" spans="2:4" x14ac:dyDescent="0.25">
      <c r="B2907">
        <f t="shared" ca="1" si="137"/>
        <v>46220.9187614974</v>
      </c>
      <c r="C2907">
        <f t="shared" ca="1" si="135"/>
        <v>0</v>
      </c>
      <c r="D2907">
        <f t="shared" ca="1" si="136"/>
        <v>6220.9187614973998</v>
      </c>
    </row>
    <row r="2908" spans="2:4" x14ac:dyDescent="0.25">
      <c r="B2908">
        <f t="shared" ca="1" si="137"/>
        <v>43168.577466995674</v>
      </c>
      <c r="C2908">
        <f t="shared" ca="1" si="135"/>
        <v>0</v>
      </c>
      <c r="D2908">
        <f t="shared" ca="1" si="136"/>
        <v>3168.5774669956736</v>
      </c>
    </row>
    <row r="2909" spans="2:4" x14ac:dyDescent="0.25">
      <c r="B2909">
        <f t="shared" ca="1" si="137"/>
        <v>47265.717860729477</v>
      </c>
      <c r="C2909">
        <f t="shared" ca="1" si="135"/>
        <v>0</v>
      </c>
      <c r="D2909">
        <f t="shared" ca="1" si="136"/>
        <v>7265.7178607294773</v>
      </c>
    </row>
    <row r="2910" spans="2:4" x14ac:dyDescent="0.25">
      <c r="B2910">
        <f t="shared" ca="1" si="137"/>
        <v>43918.891557703668</v>
      </c>
      <c r="C2910">
        <f t="shared" ca="1" si="135"/>
        <v>0</v>
      </c>
      <c r="D2910">
        <f t="shared" ca="1" si="136"/>
        <v>3918.8915577036678</v>
      </c>
    </row>
    <row r="2911" spans="2:4" x14ac:dyDescent="0.25">
      <c r="B2911">
        <f t="shared" ca="1" si="137"/>
        <v>48732.00243540766</v>
      </c>
      <c r="C2911">
        <f t="shared" ca="1" si="135"/>
        <v>0</v>
      </c>
      <c r="D2911">
        <f t="shared" ca="1" si="136"/>
        <v>8732.0024354076595</v>
      </c>
    </row>
    <row r="2912" spans="2:4" x14ac:dyDescent="0.25">
      <c r="B2912">
        <f t="shared" ca="1" si="137"/>
        <v>44978.312608712746</v>
      </c>
      <c r="C2912">
        <f t="shared" ca="1" si="135"/>
        <v>0</v>
      </c>
      <c r="D2912">
        <f t="shared" ca="1" si="136"/>
        <v>4978.3126087127457</v>
      </c>
    </row>
    <row r="2913" spans="2:4" x14ac:dyDescent="0.25">
      <c r="B2913">
        <f t="shared" ca="1" si="137"/>
        <v>43339.690469263471</v>
      </c>
      <c r="C2913">
        <f t="shared" ca="1" si="135"/>
        <v>0</v>
      </c>
      <c r="D2913">
        <f t="shared" ca="1" si="136"/>
        <v>3339.6904692634707</v>
      </c>
    </row>
    <row r="2914" spans="2:4" x14ac:dyDescent="0.25">
      <c r="B2914">
        <f t="shared" ca="1" si="137"/>
        <v>41360.001027068174</v>
      </c>
      <c r="C2914">
        <f t="shared" ca="1" si="135"/>
        <v>0</v>
      </c>
      <c r="D2914">
        <f t="shared" ca="1" si="136"/>
        <v>1360.0010270681742</v>
      </c>
    </row>
    <row r="2915" spans="2:4" x14ac:dyDescent="0.25">
      <c r="B2915">
        <f t="shared" ca="1" si="137"/>
        <v>41895.495412765064</v>
      </c>
      <c r="C2915">
        <f t="shared" ca="1" si="135"/>
        <v>0</v>
      </c>
      <c r="D2915">
        <f t="shared" ca="1" si="136"/>
        <v>1895.4954127650635</v>
      </c>
    </row>
    <row r="2916" spans="2:4" x14ac:dyDescent="0.25">
      <c r="B2916">
        <f t="shared" ca="1" si="137"/>
        <v>42627.033055440697</v>
      </c>
      <c r="C2916">
        <f t="shared" ca="1" si="135"/>
        <v>0</v>
      </c>
      <c r="D2916">
        <f t="shared" ca="1" si="136"/>
        <v>2627.0330554406974</v>
      </c>
    </row>
    <row r="2917" spans="2:4" x14ac:dyDescent="0.25">
      <c r="B2917">
        <f t="shared" ca="1" si="137"/>
        <v>54503.593078616606</v>
      </c>
      <c r="C2917">
        <f t="shared" ca="1" si="135"/>
        <v>0</v>
      </c>
      <c r="D2917">
        <f t="shared" ca="1" si="136"/>
        <v>14503.593078616606</v>
      </c>
    </row>
    <row r="2918" spans="2:4" x14ac:dyDescent="0.25">
      <c r="B2918">
        <f t="shared" ca="1" si="137"/>
        <v>47095.503405907999</v>
      </c>
      <c r="C2918">
        <f t="shared" ca="1" si="135"/>
        <v>0</v>
      </c>
      <c r="D2918">
        <f t="shared" ca="1" si="136"/>
        <v>7095.503405907999</v>
      </c>
    </row>
    <row r="2919" spans="2:4" x14ac:dyDescent="0.25">
      <c r="B2919">
        <f t="shared" ca="1" si="137"/>
        <v>40550.576397946992</v>
      </c>
      <c r="C2919">
        <f t="shared" ca="1" si="135"/>
        <v>0</v>
      </c>
      <c r="D2919">
        <f t="shared" ca="1" si="136"/>
        <v>550.57639794699207</v>
      </c>
    </row>
    <row r="2920" spans="2:4" x14ac:dyDescent="0.25">
      <c r="B2920">
        <f t="shared" ca="1" si="137"/>
        <v>40630.121253510122</v>
      </c>
      <c r="C2920">
        <f t="shared" ca="1" si="135"/>
        <v>0</v>
      </c>
      <c r="D2920">
        <f t="shared" ca="1" si="136"/>
        <v>630.12125351012219</v>
      </c>
    </row>
    <row r="2921" spans="2:4" x14ac:dyDescent="0.25">
      <c r="B2921">
        <f t="shared" ca="1" si="137"/>
        <v>49307.414081556592</v>
      </c>
      <c r="C2921">
        <f t="shared" ca="1" si="135"/>
        <v>0</v>
      </c>
      <c r="D2921">
        <f t="shared" ca="1" si="136"/>
        <v>9307.4140815565916</v>
      </c>
    </row>
    <row r="2922" spans="2:4" x14ac:dyDescent="0.25">
      <c r="B2922">
        <f t="shared" ca="1" si="137"/>
        <v>38797.571186384084</v>
      </c>
      <c r="C2922">
        <f t="shared" ca="1" si="135"/>
        <v>1202.4288136159157</v>
      </c>
      <c r="D2922">
        <f t="shared" ca="1" si="136"/>
        <v>0</v>
      </c>
    </row>
    <row r="2923" spans="2:4" x14ac:dyDescent="0.25">
      <c r="B2923">
        <f t="shared" ca="1" si="137"/>
        <v>47985.635838567556</v>
      </c>
      <c r="C2923">
        <f t="shared" ca="1" si="135"/>
        <v>0</v>
      </c>
      <c r="D2923">
        <f t="shared" ca="1" si="136"/>
        <v>7985.6358385675558</v>
      </c>
    </row>
    <row r="2924" spans="2:4" x14ac:dyDescent="0.25">
      <c r="B2924">
        <f t="shared" ca="1" si="137"/>
        <v>44704.512807594081</v>
      </c>
      <c r="C2924">
        <f t="shared" ca="1" si="135"/>
        <v>0</v>
      </c>
      <c r="D2924">
        <f t="shared" ca="1" si="136"/>
        <v>4704.5128075940811</v>
      </c>
    </row>
    <row r="2925" spans="2:4" x14ac:dyDescent="0.25">
      <c r="B2925">
        <f t="shared" ca="1" si="137"/>
        <v>48617.769401536381</v>
      </c>
      <c r="C2925">
        <f t="shared" ca="1" si="135"/>
        <v>0</v>
      </c>
      <c r="D2925">
        <f t="shared" ca="1" si="136"/>
        <v>8617.7694015363813</v>
      </c>
    </row>
    <row r="2926" spans="2:4" x14ac:dyDescent="0.25">
      <c r="B2926">
        <f t="shared" ca="1" si="137"/>
        <v>41564.763062962535</v>
      </c>
      <c r="C2926">
        <f t="shared" ca="1" si="135"/>
        <v>0</v>
      </c>
      <c r="D2926">
        <f t="shared" ca="1" si="136"/>
        <v>1564.7630629625346</v>
      </c>
    </row>
    <row r="2927" spans="2:4" x14ac:dyDescent="0.25">
      <c r="B2927">
        <f t="shared" ca="1" si="137"/>
        <v>57806.463992183635</v>
      </c>
      <c r="C2927">
        <f t="shared" ca="1" si="135"/>
        <v>0</v>
      </c>
      <c r="D2927">
        <f t="shared" ca="1" si="136"/>
        <v>17806.463992183635</v>
      </c>
    </row>
    <row r="2928" spans="2:4" x14ac:dyDescent="0.25">
      <c r="B2928">
        <f t="shared" ca="1" si="137"/>
        <v>46124.137841442694</v>
      </c>
      <c r="C2928">
        <f t="shared" ca="1" si="135"/>
        <v>0</v>
      </c>
      <c r="D2928">
        <f t="shared" ca="1" si="136"/>
        <v>6124.1378414426945</v>
      </c>
    </row>
    <row r="2929" spans="2:4" x14ac:dyDescent="0.25">
      <c r="B2929">
        <f t="shared" ca="1" si="137"/>
        <v>45667.592195955323</v>
      </c>
      <c r="C2929">
        <f t="shared" ca="1" si="135"/>
        <v>0</v>
      </c>
      <c r="D2929">
        <f t="shared" ca="1" si="136"/>
        <v>5667.5921959553234</v>
      </c>
    </row>
    <row r="2930" spans="2:4" x14ac:dyDescent="0.25">
      <c r="B2930">
        <f t="shared" ca="1" si="137"/>
        <v>46799.836346582604</v>
      </c>
      <c r="C2930">
        <f t="shared" ca="1" si="135"/>
        <v>0</v>
      </c>
      <c r="D2930">
        <f t="shared" ca="1" si="136"/>
        <v>6799.8363465826042</v>
      </c>
    </row>
    <row r="2931" spans="2:4" x14ac:dyDescent="0.25">
      <c r="B2931">
        <f t="shared" ca="1" si="137"/>
        <v>40692.688630652206</v>
      </c>
      <c r="C2931">
        <f t="shared" ca="1" si="135"/>
        <v>0</v>
      </c>
      <c r="D2931">
        <f t="shared" ca="1" si="136"/>
        <v>692.68863065220648</v>
      </c>
    </row>
    <row r="2932" spans="2:4" x14ac:dyDescent="0.25">
      <c r="B2932">
        <f t="shared" ca="1" si="137"/>
        <v>45912.798397901563</v>
      </c>
      <c r="C2932">
        <f t="shared" ca="1" si="135"/>
        <v>0</v>
      </c>
      <c r="D2932">
        <f t="shared" ca="1" si="136"/>
        <v>5912.7983979015626</v>
      </c>
    </row>
    <row r="2933" spans="2:4" x14ac:dyDescent="0.25">
      <c r="B2933">
        <f t="shared" ca="1" si="137"/>
        <v>50487.603995960562</v>
      </c>
      <c r="C2933">
        <f t="shared" ca="1" si="135"/>
        <v>0</v>
      </c>
      <c r="D2933">
        <f t="shared" ca="1" si="136"/>
        <v>10487.603995960562</v>
      </c>
    </row>
    <row r="2934" spans="2:4" x14ac:dyDescent="0.25">
      <c r="B2934">
        <f t="shared" ca="1" si="137"/>
        <v>42456.794488308238</v>
      </c>
      <c r="C2934">
        <f t="shared" ca="1" si="135"/>
        <v>0</v>
      </c>
      <c r="D2934">
        <f t="shared" ca="1" si="136"/>
        <v>2456.7944883082382</v>
      </c>
    </row>
    <row r="2935" spans="2:4" x14ac:dyDescent="0.25">
      <c r="B2935">
        <f t="shared" ca="1" si="137"/>
        <v>49171.98518710283</v>
      </c>
      <c r="C2935">
        <f t="shared" ca="1" si="135"/>
        <v>0</v>
      </c>
      <c r="D2935">
        <f t="shared" ca="1" si="136"/>
        <v>9171.9851871028295</v>
      </c>
    </row>
    <row r="2936" spans="2:4" x14ac:dyDescent="0.25">
      <c r="B2936">
        <f t="shared" ca="1" si="137"/>
        <v>47246.372419872212</v>
      </c>
      <c r="C2936">
        <f t="shared" ca="1" si="135"/>
        <v>0</v>
      </c>
      <c r="D2936">
        <f t="shared" ca="1" si="136"/>
        <v>7246.372419872212</v>
      </c>
    </row>
    <row r="2937" spans="2:4" x14ac:dyDescent="0.25">
      <c r="B2937">
        <f t="shared" ca="1" si="137"/>
        <v>39992.580069726799</v>
      </c>
      <c r="C2937">
        <f t="shared" ca="1" si="135"/>
        <v>7.4199302732013166</v>
      </c>
      <c r="D2937">
        <f t="shared" ca="1" si="136"/>
        <v>0</v>
      </c>
    </row>
    <row r="2938" spans="2:4" x14ac:dyDescent="0.25">
      <c r="B2938">
        <f t="shared" ca="1" si="137"/>
        <v>37186.011438706497</v>
      </c>
      <c r="C2938">
        <f t="shared" ca="1" si="135"/>
        <v>2813.9885612935032</v>
      </c>
      <c r="D2938">
        <f t="shared" ca="1" si="136"/>
        <v>0</v>
      </c>
    </row>
    <row r="2939" spans="2:4" x14ac:dyDescent="0.25">
      <c r="B2939">
        <f t="shared" ca="1" si="137"/>
        <v>47420.055794407228</v>
      </c>
      <c r="C2939">
        <f t="shared" ca="1" si="135"/>
        <v>0</v>
      </c>
      <c r="D2939">
        <f t="shared" ca="1" si="136"/>
        <v>7420.0557944072279</v>
      </c>
    </row>
    <row r="2940" spans="2:4" x14ac:dyDescent="0.25">
      <c r="B2940">
        <f t="shared" ca="1" si="137"/>
        <v>42813.832249771556</v>
      </c>
      <c r="C2940">
        <f t="shared" ca="1" si="135"/>
        <v>0</v>
      </c>
      <c r="D2940">
        <f t="shared" ca="1" si="136"/>
        <v>2813.8322497715562</v>
      </c>
    </row>
    <row r="2941" spans="2:4" x14ac:dyDescent="0.25">
      <c r="B2941">
        <f t="shared" ca="1" si="137"/>
        <v>38273.955542639458</v>
      </c>
      <c r="C2941">
        <f t="shared" ca="1" si="135"/>
        <v>1726.0444573605419</v>
      </c>
      <c r="D2941">
        <f t="shared" ca="1" si="136"/>
        <v>0</v>
      </c>
    </row>
    <row r="2942" spans="2:4" x14ac:dyDescent="0.25">
      <c r="B2942">
        <f t="shared" ca="1" si="137"/>
        <v>47220.184862589143</v>
      </c>
      <c r="C2942">
        <f t="shared" ca="1" si="135"/>
        <v>0</v>
      </c>
      <c r="D2942">
        <f t="shared" ca="1" si="136"/>
        <v>7220.1848625891434</v>
      </c>
    </row>
    <row r="2943" spans="2:4" x14ac:dyDescent="0.25">
      <c r="B2943">
        <f t="shared" ca="1" si="137"/>
        <v>43162.567926755873</v>
      </c>
      <c r="C2943">
        <f t="shared" ca="1" si="135"/>
        <v>0</v>
      </c>
      <c r="D2943">
        <f t="shared" ca="1" si="136"/>
        <v>3162.5679267558735</v>
      </c>
    </row>
    <row r="2944" spans="2:4" x14ac:dyDescent="0.25">
      <c r="B2944">
        <f t="shared" ca="1" si="137"/>
        <v>48769.831387819439</v>
      </c>
      <c r="C2944">
        <f t="shared" ca="1" si="135"/>
        <v>0</v>
      </c>
      <c r="D2944">
        <f t="shared" ca="1" si="136"/>
        <v>8769.8313878194385</v>
      </c>
    </row>
    <row r="2945" spans="2:4" x14ac:dyDescent="0.25">
      <c r="B2945">
        <f t="shared" ca="1" si="137"/>
        <v>41144.522144007686</v>
      </c>
      <c r="C2945">
        <f t="shared" ca="1" si="135"/>
        <v>0</v>
      </c>
      <c r="D2945">
        <f t="shared" ca="1" si="136"/>
        <v>1144.5221440076857</v>
      </c>
    </row>
    <row r="2946" spans="2:4" x14ac:dyDescent="0.25">
      <c r="B2946">
        <f t="shared" ca="1" si="137"/>
        <v>45810.00061587341</v>
      </c>
      <c r="C2946">
        <f t="shared" ca="1" si="135"/>
        <v>0</v>
      </c>
      <c r="D2946">
        <f t="shared" ca="1" si="136"/>
        <v>5810.0006158734104</v>
      </c>
    </row>
    <row r="2947" spans="2:4" x14ac:dyDescent="0.25">
      <c r="B2947">
        <f t="shared" ca="1" si="137"/>
        <v>44157.072145635851</v>
      </c>
      <c r="C2947">
        <f t="shared" ca="1" si="135"/>
        <v>0</v>
      </c>
      <c r="D2947">
        <f t="shared" ca="1" si="136"/>
        <v>4157.0721456358515</v>
      </c>
    </row>
    <row r="2948" spans="2:4" x14ac:dyDescent="0.25">
      <c r="B2948">
        <f t="shared" ca="1" si="137"/>
        <v>46741.998077731543</v>
      </c>
      <c r="C2948">
        <f t="shared" ca="1" si="135"/>
        <v>0</v>
      </c>
      <c r="D2948">
        <f t="shared" ca="1" si="136"/>
        <v>6741.9980777315432</v>
      </c>
    </row>
    <row r="2949" spans="2:4" x14ac:dyDescent="0.25">
      <c r="B2949">
        <f t="shared" ca="1" si="137"/>
        <v>52152.570276770821</v>
      </c>
      <c r="C2949">
        <f t="shared" ca="1" si="135"/>
        <v>0</v>
      </c>
      <c r="D2949">
        <f t="shared" ca="1" si="136"/>
        <v>12152.570276770821</v>
      </c>
    </row>
    <row r="2950" spans="2:4" x14ac:dyDescent="0.25">
      <c r="B2950">
        <f t="shared" ca="1" si="137"/>
        <v>45621.609065555669</v>
      </c>
      <c r="C2950">
        <f t="shared" ca="1" si="135"/>
        <v>0</v>
      </c>
      <c r="D2950">
        <f t="shared" ca="1" si="136"/>
        <v>5621.6090655556691</v>
      </c>
    </row>
    <row r="2951" spans="2:4" x14ac:dyDescent="0.25">
      <c r="B2951">
        <f t="shared" ca="1" si="137"/>
        <v>46585.159987985513</v>
      </c>
      <c r="C2951">
        <f t="shared" ca="1" si="135"/>
        <v>0</v>
      </c>
      <c r="D2951">
        <f t="shared" ca="1" si="136"/>
        <v>6585.159987985513</v>
      </c>
    </row>
    <row r="2952" spans="2:4" x14ac:dyDescent="0.25">
      <c r="B2952">
        <f t="shared" ca="1" si="137"/>
        <v>48954.340942270952</v>
      </c>
      <c r="C2952">
        <f t="shared" ca="1" si="135"/>
        <v>0</v>
      </c>
      <c r="D2952">
        <f t="shared" ca="1" si="136"/>
        <v>8954.3409422709519</v>
      </c>
    </row>
    <row r="2953" spans="2:4" x14ac:dyDescent="0.25">
      <c r="B2953">
        <f t="shared" ca="1" si="137"/>
        <v>40486.618726709195</v>
      </c>
      <c r="C2953">
        <f t="shared" ca="1" si="135"/>
        <v>0</v>
      </c>
      <c r="D2953">
        <f t="shared" ca="1" si="136"/>
        <v>486.61872670919547</v>
      </c>
    </row>
    <row r="2954" spans="2:4" x14ac:dyDescent="0.25">
      <c r="B2954">
        <f t="shared" ca="1" si="137"/>
        <v>46377.070911808223</v>
      </c>
      <c r="C2954">
        <f t="shared" ca="1" si="135"/>
        <v>0</v>
      </c>
      <c r="D2954">
        <f t="shared" ca="1" si="136"/>
        <v>6377.0709118082232</v>
      </c>
    </row>
    <row r="2955" spans="2:4" x14ac:dyDescent="0.25">
      <c r="B2955">
        <f t="shared" ca="1" si="137"/>
        <v>47833.346603305465</v>
      </c>
      <c r="C2955">
        <f t="shared" ca="1" si="135"/>
        <v>0</v>
      </c>
      <c r="D2955">
        <f t="shared" ca="1" si="136"/>
        <v>7833.3466033054647</v>
      </c>
    </row>
    <row r="2956" spans="2:4" x14ac:dyDescent="0.25">
      <c r="B2956">
        <f t="shared" ca="1" si="137"/>
        <v>52359.014215724259</v>
      </c>
      <c r="C2956">
        <f t="shared" ref="C2956:C3019" ca="1" si="138">IF(MAX($B$2-B2956)&lt;0,0,$B$2-B2956)</f>
        <v>0</v>
      </c>
      <c r="D2956">
        <f t="shared" ref="D2956:D3019" ca="1" si="139">IF(MAX(B2956-$B$2)&lt;0,0,B2956-$B$2)</f>
        <v>12359.014215724259</v>
      </c>
    </row>
    <row r="2957" spans="2:4" x14ac:dyDescent="0.25">
      <c r="B2957">
        <f t="shared" ref="B2957:B3020" ca="1" si="140">$B$1*EXP((($B$4-($B$3^2)/2)*$B$5+$B$3*SQRT($B$5)*NORMSINV(RAND())))</f>
        <v>41669.043601831698</v>
      </c>
      <c r="C2957">
        <f t="shared" ca="1" si="138"/>
        <v>0</v>
      </c>
      <c r="D2957">
        <f t="shared" ca="1" si="139"/>
        <v>1669.0436018316977</v>
      </c>
    </row>
    <row r="2958" spans="2:4" x14ac:dyDescent="0.25">
      <c r="B2958">
        <f t="shared" ca="1" si="140"/>
        <v>44404.811952789336</v>
      </c>
      <c r="C2958">
        <f t="shared" ca="1" si="138"/>
        <v>0</v>
      </c>
      <c r="D2958">
        <f t="shared" ca="1" si="139"/>
        <v>4404.8119527893359</v>
      </c>
    </row>
    <row r="2959" spans="2:4" x14ac:dyDescent="0.25">
      <c r="B2959">
        <f t="shared" ca="1" si="140"/>
        <v>43559.628737671919</v>
      </c>
      <c r="C2959">
        <f t="shared" ca="1" si="138"/>
        <v>0</v>
      </c>
      <c r="D2959">
        <f t="shared" ca="1" si="139"/>
        <v>3559.6287376719192</v>
      </c>
    </row>
    <row r="2960" spans="2:4" x14ac:dyDescent="0.25">
      <c r="B2960">
        <f t="shared" ca="1" si="140"/>
        <v>40272.777215181137</v>
      </c>
      <c r="C2960">
        <f t="shared" ca="1" si="138"/>
        <v>0</v>
      </c>
      <c r="D2960">
        <f t="shared" ca="1" si="139"/>
        <v>272.77721518113685</v>
      </c>
    </row>
    <row r="2961" spans="2:4" x14ac:dyDescent="0.25">
      <c r="B2961">
        <f t="shared" ca="1" si="140"/>
        <v>44659.529751387076</v>
      </c>
      <c r="C2961">
        <f t="shared" ca="1" si="138"/>
        <v>0</v>
      </c>
      <c r="D2961">
        <f t="shared" ca="1" si="139"/>
        <v>4659.5297513870755</v>
      </c>
    </row>
    <row r="2962" spans="2:4" x14ac:dyDescent="0.25">
      <c r="B2962">
        <f t="shared" ca="1" si="140"/>
        <v>40061.084661299079</v>
      </c>
      <c r="C2962">
        <f t="shared" ca="1" si="138"/>
        <v>0</v>
      </c>
      <c r="D2962">
        <f t="shared" ca="1" si="139"/>
        <v>61.084661299079016</v>
      </c>
    </row>
    <row r="2963" spans="2:4" x14ac:dyDescent="0.25">
      <c r="B2963">
        <f t="shared" ca="1" si="140"/>
        <v>42410.310833999407</v>
      </c>
      <c r="C2963">
        <f t="shared" ca="1" si="138"/>
        <v>0</v>
      </c>
      <c r="D2963">
        <f t="shared" ca="1" si="139"/>
        <v>2410.3108339994069</v>
      </c>
    </row>
    <row r="2964" spans="2:4" x14ac:dyDescent="0.25">
      <c r="B2964">
        <f t="shared" ca="1" si="140"/>
        <v>46912.251015928894</v>
      </c>
      <c r="C2964">
        <f t="shared" ca="1" si="138"/>
        <v>0</v>
      </c>
      <c r="D2964">
        <f t="shared" ca="1" si="139"/>
        <v>6912.251015928894</v>
      </c>
    </row>
    <row r="2965" spans="2:4" x14ac:dyDescent="0.25">
      <c r="B2965">
        <f t="shared" ca="1" si="140"/>
        <v>46663.178630002942</v>
      </c>
      <c r="C2965">
        <f t="shared" ca="1" si="138"/>
        <v>0</v>
      </c>
      <c r="D2965">
        <f t="shared" ca="1" si="139"/>
        <v>6663.1786300029416</v>
      </c>
    </row>
    <row r="2966" spans="2:4" x14ac:dyDescent="0.25">
      <c r="B2966">
        <f t="shared" ca="1" si="140"/>
        <v>51129.7442920834</v>
      </c>
      <c r="C2966">
        <f t="shared" ca="1" si="138"/>
        <v>0</v>
      </c>
      <c r="D2966">
        <f t="shared" ca="1" si="139"/>
        <v>11129.7442920834</v>
      </c>
    </row>
    <row r="2967" spans="2:4" x14ac:dyDescent="0.25">
      <c r="B2967">
        <f t="shared" ca="1" si="140"/>
        <v>40173.242993907341</v>
      </c>
      <c r="C2967">
        <f t="shared" ca="1" si="138"/>
        <v>0</v>
      </c>
      <c r="D2967">
        <f t="shared" ca="1" si="139"/>
        <v>173.24299390734086</v>
      </c>
    </row>
    <row r="2968" spans="2:4" x14ac:dyDescent="0.25">
      <c r="B2968">
        <f t="shared" ca="1" si="140"/>
        <v>41521.570261824076</v>
      </c>
      <c r="C2968">
        <f t="shared" ca="1" si="138"/>
        <v>0</v>
      </c>
      <c r="D2968">
        <f t="shared" ca="1" si="139"/>
        <v>1521.5702618240757</v>
      </c>
    </row>
    <row r="2969" spans="2:4" x14ac:dyDescent="0.25">
      <c r="B2969">
        <f t="shared" ca="1" si="140"/>
        <v>40548.627540467547</v>
      </c>
      <c r="C2969">
        <f t="shared" ca="1" si="138"/>
        <v>0</v>
      </c>
      <c r="D2969">
        <f t="shared" ca="1" si="139"/>
        <v>548.62754046754708</v>
      </c>
    </row>
    <row r="2970" spans="2:4" x14ac:dyDescent="0.25">
      <c r="B2970">
        <f t="shared" ca="1" si="140"/>
        <v>46920.810632598943</v>
      </c>
      <c r="C2970">
        <f t="shared" ca="1" si="138"/>
        <v>0</v>
      </c>
      <c r="D2970">
        <f t="shared" ca="1" si="139"/>
        <v>6920.8106325989429</v>
      </c>
    </row>
    <row r="2971" spans="2:4" x14ac:dyDescent="0.25">
      <c r="B2971">
        <f t="shared" ca="1" si="140"/>
        <v>44538.241614582832</v>
      </c>
      <c r="C2971">
        <f t="shared" ca="1" si="138"/>
        <v>0</v>
      </c>
      <c r="D2971">
        <f t="shared" ca="1" si="139"/>
        <v>4538.241614582832</v>
      </c>
    </row>
    <row r="2972" spans="2:4" x14ac:dyDescent="0.25">
      <c r="B2972">
        <f t="shared" ca="1" si="140"/>
        <v>47346.811106275869</v>
      </c>
      <c r="C2972">
        <f t="shared" ca="1" si="138"/>
        <v>0</v>
      </c>
      <c r="D2972">
        <f t="shared" ca="1" si="139"/>
        <v>7346.811106275869</v>
      </c>
    </row>
    <row r="2973" spans="2:4" x14ac:dyDescent="0.25">
      <c r="B2973">
        <f t="shared" ca="1" si="140"/>
        <v>47807.296998689839</v>
      </c>
      <c r="C2973">
        <f t="shared" ca="1" si="138"/>
        <v>0</v>
      </c>
      <c r="D2973">
        <f t="shared" ca="1" si="139"/>
        <v>7807.2969986898388</v>
      </c>
    </row>
    <row r="2974" spans="2:4" x14ac:dyDescent="0.25">
      <c r="B2974">
        <f t="shared" ca="1" si="140"/>
        <v>37684.08773417207</v>
      </c>
      <c r="C2974">
        <f t="shared" ca="1" si="138"/>
        <v>2315.9122658279302</v>
      </c>
      <c r="D2974">
        <f t="shared" ca="1" si="139"/>
        <v>0</v>
      </c>
    </row>
    <row r="2975" spans="2:4" x14ac:dyDescent="0.25">
      <c r="B2975">
        <f t="shared" ca="1" si="140"/>
        <v>43065.472910391953</v>
      </c>
      <c r="C2975">
        <f t="shared" ca="1" si="138"/>
        <v>0</v>
      </c>
      <c r="D2975">
        <f t="shared" ca="1" si="139"/>
        <v>3065.4729103919526</v>
      </c>
    </row>
    <row r="2976" spans="2:4" x14ac:dyDescent="0.25">
      <c r="B2976">
        <f t="shared" ca="1" si="140"/>
        <v>39520.955289197133</v>
      </c>
      <c r="C2976">
        <f t="shared" ca="1" si="138"/>
        <v>479.04471080286748</v>
      </c>
      <c r="D2976">
        <f t="shared" ca="1" si="139"/>
        <v>0</v>
      </c>
    </row>
    <row r="2977" spans="2:4" x14ac:dyDescent="0.25">
      <c r="B2977">
        <f t="shared" ca="1" si="140"/>
        <v>44541.303344578751</v>
      </c>
      <c r="C2977">
        <f t="shared" ca="1" si="138"/>
        <v>0</v>
      </c>
      <c r="D2977">
        <f t="shared" ca="1" si="139"/>
        <v>4541.3033445787514</v>
      </c>
    </row>
    <row r="2978" spans="2:4" x14ac:dyDescent="0.25">
      <c r="B2978">
        <f t="shared" ca="1" si="140"/>
        <v>48783.153930329041</v>
      </c>
      <c r="C2978">
        <f t="shared" ca="1" si="138"/>
        <v>0</v>
      </c>
      <c r="D2978">
        <f t="shared" ca="1" si="139"/>
        <v>8783.153930329041</v>
      </c>
    </row>
    <row r="2979" spans="2:4" x14ac:dyDescent="0.25">
      <c r="B2979">
        <f t="shared" ca="1" si="140"/>
        <v>51801.434219975934</v>
      </c>
      <c r="C2979">
        <f t="shared" ca="1" si="138"/>
        <v>0</v>
      </c>
      <c r="D2979">
        <f t="shared" ca="1" si="139"/>
        <v>11801.434219975934</v>
      </c>
    </row>
    <row r="2980" spans="2:4" x14ac:dyDescent="0.25">
      <c r="B2980">
        <f t="shared" ca="1" si="140"/>
        <v>50382.830076453334</v>
      </c>
      <c r="C2980">
        <f t="shared" ca="1" si="138"/>
        <v>0</v>
      </c>
      <c r="D2980">
        <f t="shared" ca="1" si="139"/>
        <v>10382.830076453334</v>
      </c>
    </row>
    <row r="2981" spans="2:4" x14ac:dyDescent="0.25">
      <c r="B2981">
        <f t="shared" ca="1" si="140"/>
        <v>48526.810595813928</v>
      </c>
      <c r="C2981">
        <f t="shared" ca="1" si="138"/>
        <v>0</v>
      </c>
      <c r="D2981">
        <f t="shared" ca="1" si="139"/>
        <v>8526.8105958139276</v>
      </c>
    </row>
    <row r="2982" spans="2:4" x14ac:dyDescent="0.25">
      <c r="B2982">
        <f t="shared" ca="1" si="140"/>
        <v>43481.181384068965</v>
      </c>
      <c r="C2982">
        <f t="shared" ca="1" si="138"/>
        <v>0</v>
      </c>
      <c r="D2982">
        <f t="shared" ca="1" si="139"/>
        <v>3481.1813840689647</v>
      </c>
    </row>
    <row r="2983" spans="2:4" x14ac:dyDescent="0.25">
      <c r="B2983">
        <f t="shared" ca="1" si="140"/>
        <v>43088.815312269318</v>
      </c>
      <c r="C2983">
        <f t="shared" ca="1" si="138"/>
        <v>0</v>
      </c>
      <c r="D2983">
        <f t="shared" ca="1" si="139"/>
        <v>3088.8153122693184</v>
      </c>
    </row>
    <row r="2984" spans="2:4" x14ac:dyDescent="0.25">
      <c r="B2984">
        <f t="shared" ca="1" si="140"/>
        <v>48502.065033413914</v>
      </c>
      <c r="C2984">
        <f t="shared" ca="1" si="138"/>
        <v>0</v>
      </c>
      <c r="D2984">
        <f t="shared" ca="1" si="139"/>
        <v>8502.0650334139136</v>
      </c>
    </row>
    <row r="2985" spans="2:4" x14ac:dyDescent="0.25">
      <c r="B2985">
        <f t="shared" ca="1" si="140"/>
        <v>37594.015973946283</v>
      </c>
      <c r="C2985">
        <f t="shared" ca="1" si="138"/>
        <v>2405.9840260537167</v>
      </c>
      <c r="D2985">
        <f t="shared" ca="1" si="139"/>
        <v>0</v>
      </c>
    </row>
    <row r="2986" spans="2:4" x14ac:dyDescent="0.25">
      <c r="B2986">
        <f t="shared" ca="1" si="140"/>
        <v>42269.347828466634</v>
      </c>
      <c r="C2986">
        <f t="shared" ca="1" si="138"/>
        <v>0</v>
      </c>
      <c r="D2986">
        <f t="shared" ca="1" si="139"/>
        <v>2269.3478284666344</v>
      </c>
    </row>
    <row r="2987" spans="2:4" x14ac:dyDescent="0.25">
      <c r="B2987">
        <f t="shared" ca="1" si="140"/>
        <v>46363.810566773362</v>
      </c>
      <c r="C2987">
        <f t="shared" ca="1" si="138"/>
        <v>0</v>
      </c>
      <c r="D2987">
        <f t="shared" ca="1" si="139"/>
        <v>6363.8105667733616</v>
      </c>
    </row>
    <row r="2988" spans="2:4" x14ac:dyDescent="0.25">
      <c r="B2988">
        <f t="shared" ca="1" si="140"/>
        <v>44043.127721081953</v>
      </c>
      <c r="C2988">
        <f t="shared" ca="1" si="138"/>
        <v>0</v>
      </c>
      <c r="D2988">
        <f t="shared" ca="1" si="139"/>
        <v>4043.1277210819535</v>
      </c>
    </row>
    <row r="2989" spans="2:4" x14ac:dyDescent="0.25">
      <c r="B2989">
        <f t="shared" ca="1" si="140"/>
        <v>56688.18689199473</v>
      </c>
      <c r="C2989">
        <f t="shared" ca="1" si="138"/>
        <v>0</v>
      </c>
      <c r="D2989">
        <f t="shared" ca="1" si="139"/>
        <v>16688.18689199473</v>
      </c>
    </row>
    <row r="2990" spans="2:4" x14ac:dyDescent="0.25">
      <c r="B2990">
        <f t="shared" ca="1" si="140"/>
        <v>42266.563959754974</v>
      </c>
      <c r="C2990">
        <f t="shared" ca="1" si="138"/>
        <v>0</v>
      </c>
      <c r="D2990">
        <f t="shared" ca="1" si="139"/>
        <v>2266.5639597549743</v>
      </c>
    </row>
    <row r="2991" spans="2:4" x14ac:dyDescent="0.25">
      <c r="B2991">
        <f t="shared" ca="1" si="140"/>
        <v>44250.418573725496</v>
      </c>
      <c r="C2991">
        <f t="shared" ca="1" si="138"/>
        <v>0</v>
      </c>
      <c r="D2991">
        <f t="shared" ca="1" si="139"/>
        <v>4250.4185737254957</v>
      </c>
    </row>
    <row r="2992" spans="2:4" x14ac:dyDescent="0.25">
      <c r="B2992">
        <f t="shared" ca="1" si="140"/>
        <v>46554.756959510582</v>
      </c>
      <c r="C2992">
        <f t="shared" ca="1" si="138"/>
        <v>0</v>
      </c>
      <c r="D2992">
        <f t="shared" ca="1" si="139"/>
        <v>6554.7569595105815</v>
      </c>
    </row>
    <row r="2993" spans="2:4" x14ac:dyDescent="0.25">
      <c r="B2993">
        <f t="shared" ca="1" si="140"/>
        <v>36732.700968685545</v>
      </c>
      <c r="C2993">
        <f t="shared" ca="1" si="138"/>
        <v>3267.2990313144546</v>
      </c>
      <c r="D2993">
        <f t="shared" ca="1" si="139"/>
        <v>0</v>
      </c>
    </row>
    <row r="2994" spans="2:4" x14ac:dyDescent="0.25">
      <c r="B2994">
        <f t="shared" ca="1" si="140"/>
        <v>46597.095210749998</v>
      </c>
      <c r="C2994">
        <f t="shared" ca="1" si="138"/>
        <v>0</v>
      </c>
      <c r="D2994">
        <f t="shared" ca="1" si="139"/>
        <v>6597.0952107499979</v>
      </c>
    </row>
    <row r="2995" spans="2:4" x14ac:dyDescent="0.25">
      <c r="B2995">
        <f t="shared" ca="1" si="140"/>
        <v>42658.492991954365</v>
      </c>
      <c r="C2995">
        <f t="shared" ca="1" si="138"/>
        <v>0</v>
      </c>
      <c r="D2995">
        <f t="shared" ca="1" si="139"/>
        <v>2658.4929919543647</v>
      </c>
    </row>
    <row r="2996" spans="2:4" x14ac:dyDescent="0.25">
      <c r="B2996">
        <f t="shared" ca="1" si="140"/>
        <v>43974.21447255939</v>
      </c>
      <c r="C2996">
        <f t="shared" ca="1" si="138"/>
        <v>0</v>
      </c>
      <c r="D2996">
        <f t="shared" ca="1" si="139"/>
        <v>3974.2144725593898</v>
      </c>
    </row>
    <row r="2997" spans="2:4" x14ac:dyDescent="0.25">
      <c r="B2997">
        <f t="shared" ca="1" si="140"/>
        <v>54863.15789862247</v>
      </c>
      <c r="C2997">
        <f t="shared" ca="1" si="138"/>
        <v>0</v>
      </c>
      <c r="D2997">
        <f t="shared" ca="1" si="139"/>
        <v>14863.15789862247</v>
      </c>
    </row>
    <row r="2998" spans="2:4" x14ac:dyDescent="0.25">
      <c r="B2998">
        <f t="shared" ca="1" si="140"/>
        <v>46612.663612776145</v>
      </c>
      <c r="C2998">
        <f t="shared" ca="1" si="138"/>
        <v>0</v>
      </c>
      <c r="D2998">
        <f t="shared" ca="1" si="139"/>
        <v>6612.6636127761449</v>
      </c>
    </row>
    <row r="2999" spans="2:4" x14ac:dyDescent="0.25">
      <c r="B2999">
        <f t="shared" ca="1" si="140"/>
        <v>43221.136035391872</v>
      </c>
      <c r="C2999">
        <f t="shared" ca="1" si="138"/>
        <v>0</v>
      </c>
      <c r="D2999">
        <f t="shared" ca="1" si="139"/>
        <v>3221.1360353918717</v>
      </c>
    </row>
    <row r="3000" spans="2:4" x14ac:dyDescent="0.25">
      <c r="B3000">
        <f t="shared" ca="1" si="140"/>
        <v>45955.714818122287</v>
      </c>
      <c r="C3000">
        <f t="shared" ca="1" si="138"/>
        <v>0</v>
      </c>
      <c r="D3000">
        <f t="shared" ca="1" si="139"/>
        <v>5955.7148181222874</v>
      </c>
    </row>
    <row r="3001" spans="2:4" x14ac:dyDescent="0.25">
      <c r="B3001">
        <f t="shared" ca="1" si="140"/>
        <v>50835.67714389797</v>
      </c>
      <c r="C3001">
        <f t="shared" ca="1" si="138"/>
        <v>0</v>
      </c>
      <c r="D3001">
        <f t="shared" ca="1" si="139"/>
        <v>10835.67714389797</v>
      </c>
    </row>
    <row r="3002" spans="2:4" x14ac:dyDescent="0.25">
      <c r="B3002">
        <f t="shared" ca="1" si="140"/>
        <v>49862.85371936937</v>
      </c>
      <c r="C3002">
        <f t="shared" ca="1" si="138"/>
        <v>0</v>
      </c>
      <c r="D3002">
        <f t="shared" ca="1" si="139"/>
        <v>9862.8537193693701</v>
      </c>
    </row>
    <row r="3003" spans="2:4" x14ac:dyDescent="0.25">
      <c r="B3003">
        <f t="shared" ca="1" si="140"/>
        <v>44096.230377122389</v>
      </c>
      <c r="C3003">
        <f t="shared" ca="1" si="138"/>
        <v>0</v>
      </c>
      <c r="D3003">
        <f t="shared" ca="1" si="139"/>
        <v>4096.2303771223887</v>
      </c>
    </row>
    <row r="3004" spans="2:4" x14ac:dyDescent="0.25">
      <c r="B3004">
        <f t="shared" ca="1" si="140"/>
        <v>49269.075061089352</v>
      </c>
      <c r="C3004">
        <f t="shared" ca="1" si="138"/>
        <v>0</v>
      </c>
      <c r="D3004">
        <f t="shared" ca="1" si="139"/>
        <v>9269.0750610893519</v>
      </c>
    </row>
    <row r="3005" spans="2:4" x14ac:dyDescent="0.25">
      <c r="B3005">
        <f t="shared" ca="1" si="140"/>
        <v>41411.096281887687</v>
      </c>
      <c r="C3005">
        <f t="shared" ca="1" si="138"/>
        <v>0</v>
      </c>
      <c r="D3005">
        <f t="shared" ca="1" si="139"/>
        <v>1411.0962818876869</v>
      </c>
    </row>
    <row r="3006" spans="2:4" x14ac:dyDescent="0.25">
      <c r="B3006">
        <f t="shared" ca="1" si="140"/>
        <v>42843.765984664824</v>
      </c>
      <c r="C3006">
        <f t="shared" ca="1" si="138"/>
        <v>0</v>
      </c>
      <c r="D3006">
        <f t="shared" ca="1" si="139"/>
        <v>2843.7659846648239</v>
      </c>
    </row>
    <row r="3007" spans="2:4" x14ac:dyDescent="0.25">
      <c r="B3007">
        <f t="shared" ca="1" si="140"/>
        <v>48248.898460274067</v>
      </c>
      <c r="C3007">
        <f t="shared" ca="1" si="138"/>
        <v>0</v>
      </c>
      <c r="D3007">
        <f t="shared" ca="1" si="139"/>
        <v>8248.8984602740675</v>
      </c>
    </row>
    <row r="3008" spans="2:4" x14ac:dyDescent="0.25">
      <c r="B3008">
        <f t="shared" ca="1" si="140"/>
        <v>42980.792933302058</v>
      </c>
      <c r="C3008">
        <f t="shared" ca="1" si="138"/>
        <v>0</v>
      </c>
      <c r="D3008">
        <f t="shared" ca="1" si="139"/>
        <v>2980.7929333020584</v>
      </c>
    </row>
    <row r="3009" spans="2:4" x14ac:dyDescent="0.25">
      <c r="B3009">
        <f t="shared" ca="1" si="140"/>
        <v>43394.104373251903</v>
      </c>
      <c r="C3009">
        <f t="shared" ca="1" si="138"/>
        <v>0</v>
      </c>
      <c r="D3009">
        <f t="shared" ca="1" si="139"/>
        <v>3394.1043732519029</v>
      </c>
    </row>
    <row r="3010" spans="2:4" x14ac:dyDescent="0.25">
      <c r="B3010">
        <f t="shared" ca="1" si="140"/>
        <v>43437.369381697798</v>
      </c>
      <c r="C3010">
        <f t="shared" ca="1" si="138"/>
        <v>0</v>
      </c>
      <c r="D3010">
        <f t="shared" ca="1" si="139"/>
        <v>3437.3693816977975</v>
      </c>
    </row>
    <row r="3011" spans="2:4" x14ac:dyDescent="0.25">
      <c r="B3011">
        <f t="shared" ca="1" si="140"/>
        <v>49053.500554599101</v>
      </c>
      <c r="C3011">
        <f t="shared" ca="1" si="138"/>
        <v>0</v>
      </c>
      <c r="D3011">
        <f t="shared" ca="1" si="139"/>
        <v>9053.5005545991007</v>
      </c>
    </row>
    <row r="3012" spans="2:4" x14ac:dyDescent="0.25">
      <c r="B3012">
        <f t="shared" ca="1" si="140"/>
        <v>48151.538589669639</v>
      </c>
      <c r="C3012">
        <f t="shared" ca="1" si="138"/>
        <v>0</v>
      </c>
      <c r="D3012">
        <f t="shared" ca="1" si="139"/>
        <v>8151.5385896696389</v>
      </c>
    </row>
    <row r="3013" spans="2:4" x14ac:dyDescent="0.25">
      <c r="B3013">
        <f t="shared" ca="1" si="140"/>
        <v>55932.819671828896</v>
      </c>
      <c r="C3013">
        <f t="shared" ca="1" si="138"/>
        <v>0</v>
      </c>
      <c r="D3013">
        <f t="shared" ca="1" si="139"/>
        <v>15932.819671828896</v>
      </c>
    </row>
    <row r="3014" spans="2:4" x14ac:dyDescent="0.25">
      <c r="B3014">
        <f t="shared" ca="1" si="140"/>
        <v>40646.115900917139</v>
      </c>
      <c r="C3014">
        <f t="shared" ca="1" si="138"/>
        <v>0</v>
      </c>
      <c r="D3014">
        <f t="shared" ca="1" si="139"/>
        <v>646.11590091713879</v>
      </c>
    </row>
    <row r="3015" spans="2:4" x14ac:dyDescent="0.25">
      <c r="B3015">
        <f t="shared" ca="1" si="140"/>
        <v>51391.081725315904</v>
      </c>
      <c r="C3015">
        <f t="shared" ca="1" si="138"/>
        <v>0</v>
      </c>
      <c r="D3015">
        <f t="shared" ca="1" si="139"/>
        <v>11391.081725315904</v>
      </c>
    </row>
    <row r="3016" spans="2:4" x14ac:dyDescent="0.25">
      <c r="B3016">
        <f t="shared" ca="1" si="140"/>
        <v>40841.000612962111</v>
      </c>
      <c r="C3016">
        <f t="shared" ca="1" si="138"/>
        <v>0</v>
      </c>
      <c r="D3016">
        <f t="shared" ca="1" si="139"/>
        <v>841.00061296211061</v>
      </c>
    </row>
    <row r="3017" spans="2:4" x14ac:dyDescent="0.25">
      <c r="B3017">
        <f t="shared" ca="1" si="140"/>
        <v>45399.1684952168</v>
      </c>
      <c r="C3017">
        <f t="shared" ca="1" si="138"/>
        <v>0</v>
      </c>
      <c r="D3017">
        <f t="shared" ca="1" si="139"/>
        <v>5399.1684952167998</v>
      </c>
    </row>
    <row r="3018" spans="2:4" x14ac:dyDescent="0.25">
      <c r="B3018">
        <f t="shared" ca="1" si="140"/>
        <v>37030.187634276001</v>
      </c>
      <c r="C3018">
        <f t="shared" ca="1" si="138"/>
        <v>2969.8123657239994</v>
      </c>
      <c r="D3018">
        <f t="shared" ca="1" si="139"/>
        <v>0</v>
      </c>
    </row>
    <row r="3019" spans="2:4" x14ac:dyDescent="0.25">
      <c r="B3019">
        <f t="shared" ca="1" si="140"/>
        <v>41927.57740016246</v>
      </c>
      <c r="C3019">
        <f t="shared" ca="1" si="138"/>
        <v>0</v>
      </c>
      <c r="D3019">
        <f t="shared" ca="1" si="139"/>
        <v>1927.5774001624595</v>
      </c>
    </row>
    <row r="3020" spans="2:4" x14ac:dyDescent="0.25">
      <c r="B3020">
        <f t="shared" ca="1" si="140"/>
        <v>48237.332469588982</v>
      </c>
      <c r="C3020">
        <f t="shared" ref="C3020:C3083" ca="1" si="141">IF(MAX($B$2-B3020)&lt;0,0,$B$2-B3020)</f>
        <v>0</v>
      </c>
      <c r="D3020">
        <f t="shared" ref="D3020:D3083" ca="1" si="142">IF(MAX(B3020-$B$2)&lt;0,0,B3020-$B$2)</f>
        <v>8237.3324695889823</v>
      </c>
    </row>
    <row r="3021" spans="2:4" x14ac:dyDescent="0.25">
      <c r="B3021">
        <f t="shared" ref="B3021:B3084" ca="1" si="143">$B$1*EXP((($B$4-($B$3^2)/2)*$B$5+$B$3*SQRT($B$5)*NORMSINV(RAND())))</f>
        <v>49107.194333501102</v>
      </c>
      <c r="C3021">
        <f t="shared" ca="1" si="141"/>
        <v>0</v>
      </c>
      <c r="D3021">
        <f t="shared" ca="1" si="142"/>
        <v>9107.1943335011019</v>
      </c>
    </row>
    <row r="3022" spans="2:4" x14ac:dyDescent="0.25">
      <c r="B3022">
        <f t="shared" ca="1" si="143"/>
        <v>40790.530126828089</v>
      </c>
      <c r="C3022">
        <f t="shared" ca="1" si="141"/>
        <v>0</v>
      </c>
      <c r="D3022">
        <f t="shared" ca="1" si="142"/>
        <v>790.53012682808912</v>
      </c>
    </row>
    <row r="3023" spans="2:4" x14ac:dyDescent="0.25">
      <c r="B3023">
        <f t="shared" ca="1" si="143"/>
        <v>50409.431810424008</v>
      </c>
      <c r="C3023">
        <f t="shared" ca="1" si="141"/>
        <v>0</v>
      </c>
      <c r="D3023">
        <f t="shared" ca="1" si="142"/>
        <v>10409.431810424008</v>
      </c>
    </row>
    <row r="3024" spans="2:4" x14ac:dyDescent="0.25">
      <c r="B3024">
        <f t="shared" ca="1" si="143"/>
        <v>52267.696506392902</v>
      </c>
      <c r="C3024">
        <f t="shared" ca="1" si="141"/>
        <v>0</v>
      </c>
      <c r="D3024">
        <f t="shared" ca="1" si="142"/>
        <v>12267.696506392902</v>
      </c>
    </row>
    <row r="3025" spans="2:4" x14ac:dyDescent="0.25">
      <c r="B3025">
        <f t="shared" ca="1" si="143"/>
        <v>56805.863727303666</v>
      </c>
      <c r="C3025">
        <f t="shared" ca="1" si="141"/>
        <v>0</v>
      </c>
      <c r="D3025">
        <f t="shared" ca="1" si="142"/>
        <v>16805.863727303666</v>
      </c>
    </row>
    <row r="3026" spans="2:4" x14ac:dyDescent="0.25">
      <c r="B3026">
        <f t="shared" ca="1" si="143"/>
        <v>52569.538395831652</v>
      </c>
      <c r="C3026">
        <f t="shared" ca="1" si="141"/>
        <v>0</v>
      </c>
      <c r="D3026">
        <f t="shared" ca="1" si="142"/>
        <v>12569.538395831652</v>
      </c>
    </row>
    <row r="3027" spans="2:4" x14ac:dyDescent="0.25">
      <c r="B3027">
        <f t="shared" ca="1" si="143"/>
        <v>43785.331478056934</v>
      </c>
      <c r="C3027">
        <f t="shared" ca="1" si="141"/>
        <v>0</v>
      </c>
      <c r="D3027">
        <f t="shared" ca="1" si="142"/>
        <v>3785.3314780569344</v>
      </c>
    </row>
    <row r="3028" spans="2:4" x14ac:dyDescent="0.25">
      <c r="B3028">
        <f t="shared" ca="1" si="143"/>
        <v>38452.870735474979</v>
      </c>
      <c r="C3028">
        <f t="shared" ca="1" si="141"/>
        <v>1547.1292645250214</v>
      </c>
      <c r="D3028">
        <f t="shared" ca="1" si="142"/>
        <v>0</v>
      </c>
    </row>
    <row r="3029" spans="2:4" x14ac:dyDescent="0.25">
      <c r="B3029">
        <f t="shared" ca="1" si="143"/>
        <v>46645.060328330233</v>
      </c>
      <c r="C3029">
        <f t="shared" ca="1" si="141"/>
        <v>0</v>
      </c>
      <c r="D3029">
        <f t="shared" ca="1" si="142"/>
        <v>6645.0603283302335</v>
      </c>
    </row>
    <row r="3030" spans="2:4" x14ac:dyDescent="0.25">
      <c r="B3030">
        <f t="shared" ca="1" si="143"/>
        <v>41583.229968970045</v>
      </c>
      <c r="C3030">
        <f t="shared" ca="1" si="141"/>
        <v>0</v>
      </c>
      <c r="D3030">
        <f t="shared" ca="1" si="142"/>
        <v>1583.2299689700449</v>
      </c>
    </row>
    <row r="3031" spans="2:4" x14ac:dyDescent="0.25">
      <c r="B3031">
        <f t="shared" ca="1" si="143"/>
        <v>51493.238088840371</v>
      </c>
      <c r="C3031">
        <f t="shared" ca="1" si="141"/>
        <v>0</v>
      </c>
      <c r="D3031">
        <f t="shared" ca="1" si="142"/>
        <v>11493.238088840371</v>
      </c>
    </row>
    <row r="3032" spans="2:4" x14ac:dyDescent="0.25">
      <c r="B3032">
        <f t="shared" ca="1" si="143"/>
        <v>47961.642374141185</v>
      </c>
      <c r="C3032">
        <f t="shared" ca="1" si="141"/>
        <v>0</v>
      </c>
      <c r="D3032">
        <f t="shared" ca="1" si="142"/>
        <v>7961.6423741411854</v>
      </c>
    </row>
    <row r="3033" spans="2:4" x14ac:dyDescent="0.25">
      <c r="B3033">
        <f t="shared" ca="1" si="143"/>
        <v>53809.484655917775</v>
      </c>
      <c r="C3033">
        <f t="shared" ca="1" si="141"/>
        <v>0</v>
      </c>
      <c r="D3033">
        <f t="shared" ca="1" si="142"/>
        <v>13809.484655917775</v>
      </c>
    </row>
    <row r="3034" spans="2:4" x14ac:dyDescent="0.25">
      <c r="B3034">
        <f t="shared" ca="1" si="143"/>
        <v>41064.096172659862</v>
      </c>
      <c r="C3034">
        <f t="shared" ca="1" si="141"/>
        <v>0</v>
      </c>
      <c r="D3034">
        <f t="shared" ca="1" si="142"/>
        <v>1064.0961726598616</v>
      </c>
    </row>
    <row r="3035" spans="2:4" x14ac:dyDescent="0.25">
      <c r="B3035">
        <f t="shared" ca="1" si="143"/>
        <v>39287.313122118612</v>
      </c>
      <c r="C3035">
        <f t="shared" ca="1" si="141"/>
        <v>712.68687788138777</v>
      </c>
      <c r="D3035">
        <f t="shared" ca="1" si="142"/>
        <v>0</v>
      </c>
    </row>
    <row r="3036" spans="2:4" x14ac:dyDescent="0.25">
      <c r="B3036">
        <f t="shared" ca="1" si="143"/>
        <v>48879.658545331469</v>
      </c>
      <c r="C3036">
        <f t="shared" ca="1" si="141"/>
        <v>0</v>
      </c>
      <c r="D3036">
        <f t="shared" ca="1" si="142"/>
        <v>8879.6585453314692</v>
      </c>
    </row>
    <row r="3037" spans="2:4" x14ac:dyDescent="0.25">
      <c r="B3037">
        <f t="shared" ca="1" si="143"/>
        <v>43829.517717162111</v>
      </c>
      <c r="C3037">
        <f t="shared" ca="1" si="141"/>
        <v>0</v>
      </c>
      <c r="D3037">
        <f t="shared" ca="1" si="142"/>
        <v>3829.5177171621108</v>
      </c>
    </row>
    <row r="3038" spans="2:4" x14ac:dyDescent="0.25">
      <c r="B3038">
        <f t="shared" ca="1" si="143"/>
        <v>41638.538663670108</v>
      </c>
      <c r="C3038">
        <f t="shared" ca="1" si="141"/>
        <v>0</v>
      </c>
      <c r="D3038">
        <f t="shared" ca="1" si="142"/>
        <v>1638.5386636701078</v>
      </c>
    </row>
    <row r="3039" spans="2:4" x14ac:dyDescent="0.25">
      <c r="B3039">
        <f t="shared" ca="1" si="143"/>
        <v>36801.517137204311</v>
      </c>
      <c r="C3039">
        <f t="shared" ca="1" si="141"/>
        <v>3198.4828627956886</v>
      </c>
      <c r="D3039">
        <f t="shared" ca="1" si="142"/>
        <v>0</v>
      </c>
    </row>
    <row r="3040" spans="2:4" x14ac:dyDescent="0.25">
      <c r="B3040">
        <f t="shared" ca="1" si="143"/>
        <v>48041.388079566161</v>
      </c>
      <c r="C3040">
        <f t="shared" ca="1" si="141"/>
        <v>0</v>
      </c>
      <c r="D3040">
        <f t="shared" ca="1" si="142"/>
        <v>8041.3880795661607</v>
      </c>
    </row>
    <row r="3041" spans="2:4" x14ac:dyDescent="0.25">
      <c r="B3041">
        <f t="shared" ca="1" si="143"/>
        <v>41918.971007499968</v>
      </c>
      <c r="C3041">
        <f t="shared" ca="1" si="141"/>
        <v>0</v>
      </c>
      <c r="D3041">
        <f t="shared" ca="1" si="142"/>
        <v>1918.9710074999675</v>
      </c>
    </row>
    <row r="3042" spans="2:4" x14ac:dyDescent="0.25">
      <c r="B3042">
        <f t="shared" ca="1" si="143"/>
        <v>47287.282638680619</v>
      </c>
      <c r="C3042">
        <f t="shared" ca="1" si="141"/>
        <v>0</v>
      </c>
      <c r="D3042">
        <f t="shared" ca="1" si="142"/>
        <v>7287.2826386806191</v>
      </c>
    </row>
    <row r="3043" spans="2:4" x14ac:dyDescent="0.25">
      <c r="B3043">
        <f t="shared" ca="1" si="143"/>
        <v>53481.87244093039</v>
      </c>
      <c r="C3043">
        <f t="shared" ca="1" si="141"/>
        <v>0</v>
      </c>
      <c r="D3043">
        <f t="shared" ca="1" si="142"/>
        <v>13481.87244093039</v>
      </c>
    </row>
    <row r="3044" spans="2:4" x14ac:dyDescent="0.25">
      <c r="B3044">
        <f t="shared" ca="1" si="143"/>
        <v>42837.925116147919</v>
      </c>
      <c r="C3044">
        <f t="shared" ca="1" si="141"/>
        <v>0</v>
      </c>
      <c r="D3044">
        <f t="shared" ca="1" si="142"/>
        <v>2837.9251161479187</v>
      </c>
    </row>
    <row r="3045" spans="2:4" x14ac:dyDescent="0.25">
      <c r="B3045">
        <f t="shared" ca="1" si="143"/>
        <v>48661.863087964339</v>
      </c>
      <c r="C3045">
        <f t="shared" ca="1" si="141"/>
        <v>0</v>
      </c>
      <c r="D3045">
        <f t="shared" ca="1" si="142"/>
        <v>8661.8630879643388</v>
      </c>
    </row>
    <row r="3046" spans="2:4" x14ac:dyDescent="0.25">
      <c r="B3046">
        <f t="shared" ca="1" si="143"/>
        <v>43909.812429296471</v>
      </c>
      <c r="C3046">
        <f t="shared" ca="1" si="141"/>
        <v>0</v>
      </c>
      <c r="D3046">
        <f t="shared" ca="1" si="142"/>
        <v>3909.8124292964712</v>
      </c>
    </row>
    <row r="3047" spans="2:4" x14ac:dyDescent="0.25">
      <c r="B3047">
        <f t="shared" ca="1" si="143"/>
        <v>48331.923342953691</v>
      </c>
      <c r="C3047">
        <f t="shared" ca="1" si="141"/>
        <v>0</v>
      </c>
      <c r="D3047">
        <f t="shared" ca="1" si="142"/>
        <v>8331.9233429536907</v>
      </c>
    </row>
    <row r="3048" spans="2:4" x14ac:dyDescent="0.25">
      <c r="B3048">
        <f t="shared" ca="1" si="143"/>
        <v>46760.629305203009</v>
      </c>
      <c r="C3048">
        <f t="shared" ca="1" si="141"/>
        <v>0</v>
      </c>
      <c r="D3048">
        <f t="shared" ca="1" si="142"/>
        <v>6760.6293052030087</v>
      </c>
    </row>
    <row r="3049" spans="2:4" x14ac:dyDescent="0.25">
      <c r="B3049">
        <f t="shared" ca="1" si="143"/>
        <v>50631.60342716975</v>
      </c>
      <c r="C3049">
        <f t="shared" ca="1" si="141"/>
        <v>0</v>
      </c>
      <c r="D3049">
        <f t="shared" ca="1" si="142"/>
        <v>10631.60342716975</v>
      </c>
    </row>
    <row r="3050" spans="2:4" x14ac:dyDescent="0.25">
      <c r="B3050">
        <f t="shared" ca="1" si="143"/>
        <v>40445.634229708681</v>
      </c>
      <c r="C3050">
        <f t="shared" ca="1" si="141"/>
        <v>0</v>
      </c>
      <c r="D3050">
        <f t="shared" ca="1" si="142"/>
        <v>445.63422970868123</v>
      </c>
    </row>
    <row r="3051" spans="2:4" x14ac:dyDescent="0.25">
      <c r="B3051">
        <f t="shared" ca="1" si="143"/>
        <v>42574.149737414438</v>
      </c>
      <c r="C3051">
        <f t="shared" ca="1" si="141"/>
        <v>0</v>
      </c>
      <c r="D3051">
        <f t="shared" ca="1" si="142"/>
        <v>2574.1497374144383</v>
      </c>
    </row>
    <row r="3052" spans="2:4" x14ac:dyDescent="0.25">
      <c r="B3052">
        <f t="shared" ca="1" si="143"/>
        <v>48694.465675195162</v>
      </c>
      <c r="C3052">
        <f t="shared" ca="1" si="141"/>
        <v>0</v>
      </c>
      <c r="D3052">
        <f t="shared" ca="1" si="142"/>
        <v>8694.4656751951625</v>
      </c>
    </row>
    <row r="3053" spans="2:4" x14ac:dyDescent="0.25">
      <c r="B3053">
        <f t="shared" ca="1" si="143"/>
        <v>38961.858649913724</v>
      </c>
      <c r="C3053">
        <f t="shared" ca="1" si="141"/>
        <v>1038.1413500862764</v>
      </c>
      <c r="D3053">
        <f t="shared" ca="1" si="142"/>
        <v>0</v>
      </c>
    </row>
    <row r="3054" spans="2:4" x14ac:dyDescent="0.25">
      <c r="B3054">
        <f t="shared" ca="1" si="143"/>
        <v>42956.334460579928</v>
      </c>
      <c r="C3054">
        <f t="shared" ca="1" si="141"/>
        <v>0</v>
      </c>
      <c r="D3054">
        <f t="shared" ca="1" si="142"/>
        <v>2956.3344605799284</v>
      </c>
    </row>
    <row r="3055" spans="2:4" x14ac:dyDescent="0.25">
      <c r="B3055">
        <f t="shared" ca="1" si="143"/>
        <v>41010.27599260195</v>
      </c>
      <c r="C3055">
        <f t="shared" ca="1" si="141"/>
        <v>0</v>
      </c>
      <c r="D3055">
        <f t="shared" ca="1" si="142"/>
        <v>1010.2759926019498</v>
      </c>
    </row>
    <row r="3056" spans="2:4" x14ac:dyDescent="0.25">
      <c r="B3056">
        <f t="shared" ca="1" si="143"/>
        <v>45719.694596743415</v>
      </c>
      <c r="C3056">
        <f t="shared" ca="1" si="141"/>
        <v>0</v>
      </c>
      <c r="D3056">
        <f t="shared" ca="1" si="142"/>
        <v>5719.6945967434149</v>
      </c>
    </row>
    <row r="3057" spans="2:4" x14ac:dyDescent="0.25">
      <c r="B3057">
        <f t="shared" ca="1" si="143"/>
        <v>45909.926567368369</v>
      </c>
      <c r="C3057">
        <f t="shared" ca="1" si="141"/>
        <v>0</v>
      </c>
      <c r="D3057">
        <f t="shared" ca="1" si="142"/>
        <v>5909.9265673683694</v>
      </c>
    </row>
    <row r="3058" spans="2:4" x14ac:dyDescent="0.25">
      <c r="B3058">
        <f t="shared" ca="1" si="143"/>
        <v>40622.856457053473</v>
      </c>
      <c r="C3058">
        <f t="shared" ca="1" si="141"/>
        <v>0</v>
      </c>
      <c r="D3058">
        <f t="shared" ca="1" si="142"/>
        <v>622.8564570534727</v>
      </c>
    </row>
    <row r="3059" spans="2:4" x14ac:dyDescent="0.25">
      <c r="B3059">
        <f t="shared" ca="1" si="143"/>
        <v>45956.184038156454</v>
      </c>
      <c r="C3059">
        <f t="shared" ca="1" si="141"/>
        <v>0</v>
      </c>
      <c r="D3059">
        <f t="shared" ca="1" si="142"/>
        <v>5956.1840381564543</v>
      </c>
    </row>
    <row r="3060" spans="2:4" x14ac:dyDescent="0.25">
      <c r="B3060">
        <f t="shared" ca="1" si="143"/>
        <v>43025.141562789482</v>
      </c>
      <c r="C3060">
        <f t="shared" ca="1" si="141"/>
        <v>0</v>
      </c>
      <c r="D3060">
        <f t="shared" ca="1" si="142"/>
        <v>3025.1415627894821</v>
      </c>
    </row>
    <row r="3061" spans="2:4" x14ac:dyDescent="0.25">
      <c r="B3061">
        <f t="shared" ca="1" si="143"/>
        <v>47744.12099760391</v>
      </c>
      <c r="C3061">
        <f t="shared" ca="1" si="141"/>
        <v>0</v>
      </c>
      <c r="D3061">
        <f t="shared" ca="1" si="142"/>
        <v>7744.1209976039099</v>
      </c>
    </row>
    <row r="3062" spans="2:4" x14ac:dyDescent="0.25">
      <c r="B3062">
        <f t="shared" ca="1" si="143"/>
        <v>41166.773974351214</v>
      </c>
      <c r="C3062">
        <f t="shared" ca="1" si="141"/>
        <v>0</v>
      </c>
      <c r="D3062">
        <f t="shared" ca="1" si="142"/>
        <v>1166.7739743512138</v>
      </c>
    </row>
    <row r="3063" spans="2:4" x14ac:dyDescent="0.25">
      <c r="B3063">
        <f t="shared" ca="1" si="143"/>
        <v>45473.756117738216</v>
      </c>
      <c r="C3063">
        <f t="shared" ca="1" si="141"/>
        <v>0</v>
      </c>
      <c r="D3063">
        <f t="shared" ca="1" si="142"/>
        <v>5473.7561177382158</v>
      </c>
    </row>
    <row r="3064" spans="2:4" x14ac:dyDescent="0.25">
      <c r="B3064">
        <f t="shared" ca="1" si="143"/>
        <v>46486.257711418235</v>
      </c>
      <c r="C3064">
        <f t="shared" ca="1" si="141"/>
        <v>0</v>
      </c>
      <c r="D3064">
        <f t="shared" ca="1" si="142"/>
        <v>6486.257711418235</v>
      </c>
    </row>
    <row r="3065" spans="2:4" x14ac:dyDescent="0.25">
      <c r="B3065">
        <f t="shared" ca="1" si="143"/>
        <v>47101.122471000846</v>
      </c>
      <c r="C3065">
        <f t="shared" ca="1" si="141"/>
        <v>0</v>
      </c>
      <c r="D3065">
        <f t="shared" ca="1" si="142"/>
        <v>7101.1224710008464</v>
      </c>
    </row>
    <row r="3066" spans="2:4" x14ac:dyDescent="0.25">
      <c r="B3066">
        <f t="shared" ca="1" si="143"/>
        <v>55970.752572763115</v>
      </c>
      <c r="C3066">
        <f t="shared" ca="1" si="141"/>
        <v>0</v>
      </c>
      <c r="D3066">
        <f t="shared" ca="1" si="142"/>
        <v>15970.752572763115</v>
      </c>
    </row>
    <row r="3067" spans="2:4" x14ac:dyDescent="0.25">
      <c r="B3067">
        <f t="shared" ca="1" si="143"/>
        <v>38875.406140195075</v>
      </c>
      <c r="C3067">
        <f t="shared" ca="1" si="141"/>
        <v>1124.5938598049252</v>
      </c>
      <c r="D3067">
        <f t="shared" ca="1" si="142"/>
        <v>0</v>
      </c>
    </row>
    <row r="3068" spans="2:4" x14ac:dyDescent="0.25">
      <c r="B3068">
        <f t="shared" ca="1" si="143"/>
        <v>41691.363833500494</v>
      </c>
      <c r="C3068">
        <f t="shared" ca="1" si="141"/>
        <v>0</v>
      </c>
      <c r="D3068">
        <f t="shared" ca="1" si="142"/>
        <v>1691.3638335004944</v>
      </c>
    </row>
    <row r="3069" spans="2:4" x14ac:dyDescent="0.25">
      <c r="B3069">
        <f t="shared" ca="1" si="143"/>
        <v>51133.875251669691</v>
      </c>
      <c r="C3069">
        <f t="shared" ca="1" si="141"/>
        <v>0</v>
      </c>
      <c r="D3069">
        <f t="shared" ca="1" si="142"/>
        <v>11133.875251669691</v>
      </c>
    </row>
    <row r="3070" spans="2:4" x14ac:dyDescent="0.25">
      <c r="B3070">
        <f t="shared" ca="1" si="143"/>
        <v>45568.531435799523</v>
      </c>
      <c r="C3070">
        <f t="shared" ca="1" si="141"/>
        <v>0</v>
      </c>
      <c r="D3070">
        <f t="shared" ca="1" si="142"/>
        <v>5568.531435799523</v>
      </c>
    </row>
    <row r="3071" spans="2:4" x14ac:dyDescent="0.25">
      <c r="B3071">
        <f t="shared" ca="1" si="143"/>
        <v>41630.093709653374</v>
      </c>
      <c r="C3071">
        <f t="shared" ca="1" si="141"/>
        <v>0</v>
      </c>
      <c r="D3071">
        <f t="shared" ca="1" si="142"/>
        <v>1630.0937096533744</v>
      </c>
    </row>
    <row r="3072" spans="2:4" x14ac:dyDescent="0.25">
      <c r="B3072">
        <f t="shared" ca="1" si="143"/>
        <v>41032.002617090664</v>
      </c>
      <c r="C3072">
        <f t="shared" ca="1" si="141"/>
        <v>0</v>
      </c>
      <c r="D3072">
        <f t="shared" ca="1" si="142"/>
        <v>1032.002617090664</v>
      </c>
    </row>
    <row r="3073" spans="2:4" x14ac:dyDescent="0.25">
      <c r="B3073">
        <f t="shared" ca="1" si="143"/>
        <v>46182.292852353436</v>
      </c>
      <c r="C3073">
        <f t="shared" ca="1" si="141"/>
        <v>0</v>
      </c>
      <c r="D3073">
        <f t="shared" ca="1" si="142"/>
        <v>6182.2928523534356</v>
      </c>
    </row>
    <row r="3074" spans="2:4" x14ac:dyDescent="0.25">
      <c r="B3074">
        <f t="shared" ca="1" si="143"/>
        <v>42756.77019306377</v>
      </c>
      <c r="C3074">
        <f t="shared" ca="1" si="141"/>
        <v>0</v>
      </c>
      <c r="D3074">
        <f t="shared" ca="1" si="142"/>
        <v>2756.7701930637704</v>
      </c>
    </row>
    <row r="3075" spans="2:4" x14ac:dyDescent="0.25">
      <c r="B3075">
        <f t="shared" ca="1" si="143"/>
        <v>37333.884311923292</v>
      </c>
      <c r="C3075">
        <f t="shared" ca="1" si="141"/>
        <v>2666.1156880767085</v>
      </c>
      <c r="D3075">
        <f t="shared" ca="1" si="142"/>
        <v>0</v>
      </c>
    </row>
    <row r="3076" spans="2:4" x14ac:dyDescent="0.25">
      <c r="B3076">
        <f t="shared" ca="1" si="143"/>
        <v>44462.069530615619</v>
      </c>
      <c r="C3076">
        <f t="shared" ca="1" si="141"/>
        <v>0</v>
      </c>
      <c r="D3076">
        <f t="shared" ca="1" si="142"/>
        <v>4462.0695306156194</v>
      </c>
    </row>
    <row r="3077" spans="2:4" x14ac:dyDescent="0.25">
      <c r="B3077">
        <f t="shared" ca="1" si="143"/>
        <v>39842.060587893415</v>
      </c>
      <c r="C3077">
        <f t="shared" ca="1" si="141"/>
        <v>157.93941210658522</v>
      </c>
      <c r="D3077">
        <f t="shared" ca="1" si="142"/>
        <v>0</v>
      </c>
    </row>
    <row r="3078" spans="2:4" x14ac:dyDescent="0.25">
      <c r="B3078">
        <f t="shared" ca="1" si="143"/>
        <v>43644.206561985498</v>
      </c>
      <c r="C3078">
        <f t="shared" ca="1" si="141"/>
        <v>0</v>
      </c>
      <c r="D3078">
        <f t="shared" ca="1" si="142"/>
        <v>3644.2065619854984</v>
      </c>
    </row>
    <row r="3079" spans="2:4" x14ac:dyDescent="0.25">
      <c r="B3079">
        <f t="shared" ca="1" si="143"/>
        <v>50156.465720530716</v>
      </c>
      <c r="C3079">
        <f t="shared" ca="1" si="141"/>
        <v>0</v>
      </c>
      <c r="D3079">
        <f t="shared" ca="1" si="142"/>
        <v>10156.465720530716</v>
      </c>
    </row>
    <row r="3080" spans="2:4" x14ac:dyDescent="0.25">
      <c r="B3080">
        <f t="shared" ca="1" si="143"/>
        <v>48269.837217103923</v>
      </c>
      <c r="C3080">
        <f t="shared" ca="1" si="141"/>
        <v>0</v>
      </c>
      <c r="D3080">
        <f t="shared" ca="1" si="142"/>
        <v>8269.8372171039227</v>
      </c>
    </row>
    <row r="3081" spans="2:4" x14ac:dyDescent="0.25">
      <c r="B3081">
        <f t="shared" ca="1" si="143"/>
        <v>47665.467439110173</v>
      </c>
      <c r="C3081">
        <f t="shared" ca="1" si="141"/>
        <v>0</v>
      </c>
      <c r="D3081">
        <f t="shared" ca="1" si="142"/>
        <v>7665.4674391101726</v>
      </c>
    </row>
    <row r="3082" spans="2:4" x14ac:dyDescent="0.25">
      <c r="B3082">
        <f t="shared" ca="1" si="143"/>
        <v>49274.424051363007</v>
      </c>
      <c r="C3082">
        <f t="shared" ca="1" si="141"/>
        <v>0</v>
      </c>
      <c r="D3082">
        <f t="shared" ca="1" si="142"/>
        <v>9274.4240513630066</v>
      </c>
    </row>
    <row r="3083" spans="2:4" x14ac:dyDescent="0.25">
      <c r="B3083">
        <f t="shared" ca="1" si="143"/>
        <v>47628.818952682755</v>
      </c>
      <c r="C3083">
        <f t="shared" ca="1" si="141"/>
        <v>0</v>
      </c>
      <c r="D3083">
        <f t="shared" ca="1" si="142"/>
        <v>7628.8189526827555</v>
      </c>
    </row>
    <row r="3084" spans="2:4" x14ac:dyDescent="0.25">
      <c r="B3084">
        <f t="shared" ca="1" si="143"/>
        <v>52033.764975179736</v>
      </c>
      <c r="C3084">
        <f t="shared" ref="C3084:C3147" ca="1" si="144">IF(MAX($B$2-B3084)&lt;0,0,$B$2-B3084)</f>
        <v>0</v>
      </c>
      <c r="D3084">
        <f t="shared" ref="D3084:D3147" ca="1" si="145">IF(MAX(B3084-$B$2)&lt;0,0,B3084-$B$2)</f>
        <v>12033.764975179736</v>
      </c>
    </row>
    <row r="3085" spans="2:4" x14ac:dyDescent="0.25">
      <c r="B3085">
        <f t="shared" ref="B3085:B3148" ca="1" si="146">$B$1*EXP((($B$4-($B$3^2)/2)*$B$5+$B$3*SQRT($B$5)*NORMSINV(RAND())))</f>
        <v>42115.813703451051</v>
      </c>
      <c r="C3085">
        <f t="shared" ca="1" si="144"/>
        <v>0</v>
      </c>
      <c r="D3085">
        <f t="shared" ca="1" si="145"/>
        <v>2115.813703451051</v>
      </c>
    </row>
    <row r="3086" spans="2:4" x14ac:dyDescent="0.25">
      <c r="B3086">
        <f t="shared" ca="1" si="146"/>
        <v>48906.803321271174</v>
      </c>
      <c r="C3086">
        <f t="shared" ca="1" si="144"/>
        <v>0</v>
      </c>
      <c r="D3086">
        <f t="shared" ca="1" si="145"/>
        <v>8906.8033212711744</v>
      </c>
    </row>
    <row r="3087" spans="2:4" x14ac:dyDescent="0.25">
      <c r="B3087">
        <f t="shared" ca="1" si="146"/>
        <v>48314.992543935557</v>
      </c>
      <c r="C3087">
        <f t="shared" ca="1" si="144"/>
        <v>0</v>
      </c>
      <c r="D3087">
        <f t="shared" ca="1" si="145"/>
        <v>8314.9925439355575</v>
      </c>
    </row>
    <row r="3088" spans="2:4" x14ac:dyDescent="0.25">
      <c r="B3088">
        <f t="shared" ca="1" si="146"/>
        <v>47857.81191745196</v>
      </c>
      <c r="C3088">
        <f t="shared" ca="1" si="144"/>
        <v>0</v>
      </c>
      <c r="D3088">
        <f t="shared" ca="1" si="145"/>
        <v>7857.8119174519597</v>
      </c>
    </row>
    <row r="3089" spans="2:4" x14ac:dyDescent="0.25">
      <c r="B3089">
        <f t="shared" ca="1" si="146"/>
        <v>52711.006380134386</v>
      </c>
      <c r="C3089">
        <f t="shared" ca="1" si="144"/>
        <v>0</v>
      </c>
      <c r="D3089">
        <f t="shared" ca="1" si="145"/>
        <v>12711.006380134386</v>
      </c>
    </row>
    <row r="3090" spans="2:4" x14ac:dyDescent="0.25">
      <c r="B3090">
        <f t="shared" ca="1" si="146"/>
        <v>43519.574434487557</v>
      </c>
      <c r="C3090">
        <f t="shared" ca="1" si="144"/>
        <v>0</v>
      </c>
      <c r="D3090">
        <f t="shared" ca="1" si="145"/>
        <v>3519.5744344875566</v>
      </c>
    </row>
    <row r="3091" spans="2:4" x14ac:dyDescent="0.25">
      <c r="B3091">
        <f t="shared" ca="1" si="146"/>
        <v>44789.237301865709</v>
      </c>
      <c r="C3091">
        <f t="shared" ca="1" si="144"/>
        <v>0</v>
      </c>
      <c r="D3091">
        <f t="shared" ca="1" si="145"/>
        <v>4789.237301865709</v>
      </c>
    </row>
    <row r="3092" spans="2:4" x14ac:dyDescent="0.25">
      <c r="B3092">
        <f t="shared" ca="1" si="146"/>
        <v>45627.29718974018</v>
      </c>
      <c r="C3092">
        <f t="shared" ca="1" si="144"/>
        <v>0</v>
      </c>
      <c r="D3092">
        <f t="shared" ca="1" si="145"/>
        <v>5627.2971897401803</v>
      </c>
    </row>
    <row r="3093" spans="2:4" x14ac:dyDescent="0.25">
      <c r="B3093">
        <f t="shared" ca="1" si="146"/>
        <v>37285.001990168159</v>
      </c>
      <c r="C3093">
        <f t="shared" ca="1" si="144"/>
        <v>2714.998009831841</v>
      </c>
      <c r="D3093">
        <f t="shared" ca="1" si="145"/>
        <v>0</v>
      </c>
    </row>
    <row r="3094" spans="2:4" x14ac:dyDescent="0.25">
      <c r="B3094">
        <f t="shared" ca="1" si="146"/>
        <v>44105.389453621159</v>
      </c>
      <c r="C3094">
        <f t="shared" ca="1" si="144"/>
        <v>0</v>
      </c>
      <c r="D3094">
        <f t="shared" ca="1" si="145"/>
        <v>4105.3894536211592</v>
      </c>
    </row>
    <row r="3095" spans="2:4" x14ac:dyDescent="0.25">
      <c r="B3095">
        <f t="shared" ca="1" si="146"/>
        <v>42711.590323139833</v>
      </c>
      <c r="C3095">
        <f t="shared" ca="1" si="144"/>
        <v>0</v>
      </c>
      <c r="D3095">
        <f t="shared" ca="1" si="145"/>
        <v>2711.5903231398333</v>
      </c>
    </row>
    <row r="3096" spans="2:4" x14ac:dyDescent="0.25">
      <c r="B3096">
        <f t="shared" ca="1" si="146"/>
        <v>46103.478068357879</v>
      </c>
      <c r="C3096">
        <f t="shared" ca="1" si="144"/>
        <v>0</v>
      </c>
      <c r="D3096">
        <f t="shared" ca="1" si="145"/>
        <v>6103.4780683578792</v>
      </c>
    </row>
    <row r="3097" spans="2:4" x14ac:dyDescent="0.25">
      <c r="B3097">
        <f t="shared" ca="1" si="146"/>
        <v>51430.614379962142</v>
      </c>
      <c r="C3097">
        <f t="shared" ca="1" si="144"/>
        <v>0</v>
      </c>
      <c r="D3097">
        <f t="shared" ca="1" si="145"/>
        <v>11430.614379962142</v>
      </c>
    </row>
    <row r="3098" spans="2:4" x14ac:dyDescent="0.25">
      <c r="B3098">
        <f t="shared" ca="1" si="146"/>
        <v>39526.343160890574</v>
      </c>
      <c r="C3098">
        <f t="shared" ca="1" si="144"/>
        <v>473.65683910942607</v>
      </c>
      <c r="D3098">
        <f t="shared" ca="1" si="145"/>
        <v>0</v>
      </c>
    </row>
    <row r="3099" spans="2:4" x14ac:dyDescent="0.25">
      <c r="B3099">
        <f t="shared" ca="1" si="146"/>
        <v>47403.621569259521</v>
      </c>
      <c r="C3099">
        <f t="shared" ca="1" si="144"/>
        <v>0</v>
      </c>
      <c r="D3099">
        <f t="shared" ca="1" si="145"/>
        <v>7403.6215692595215</v>
      </c>
    </row>
    <row r="3100" spans="2:4" x14ac:dyDescent="0.25">
      <c r="B3100">
        <f t="shared" ca="1" si="146"/>
        <v>53550.677646336328</v>
      </c>
      <c r="C3100">
        <f t="shared" ca="1" si="144"/>
        <v>0</v>
      </c>
      <c r="D3100">
        <f t="shared" ca="1" si="145"/>
        <v>13550.677646336328</v>
      </c>
    </row>
    <row r="3101" spans="2:4" x14ac:dyDescent="0.25">
      <c r="B3101">
        <f t="shared" ca="1" si="146"/>
        <v>41912.430363367166</v>
      </c>
      <c r="C3101">
        <f t="shared" ca="1" si="144"/>
        <v>0</v>
      </c>
      <c r="D3101">
        <f t="shared" ca="1" si="145"/>
        <v>1912.4303633671661</v>
      </c>
    </row>
    <row r="3102" spans="2:4" x14ac:dyDescent="0.25">
      <c r="B3102">
        <f t="shared" ca="1" si="146"/>
        <v>43609.583195940635</v>
      </c>
      <c r="C3102">
        <f t="shared" ca="1" si="144"/>
        <v>0</v>
      </c>
      <c r="D3102">
        <f t="shared" ca="1" si="145"/>
        <v>3609.5831959406351</v>
      </c>
    </row>
    <row r="3103" spans="2:4" x14ac:dyDescent="0.25">
      <c r="B3103">
        <f t="shared" ca="1" si="146"/>
        <v>50109.109072618419</v>
      </c>
      <c r="C3103">
        <f t="shared" ca="1" si="144"/>
        <v>0</v>
      </c>
      <c r="D3103">
        <f t="shared" ca="1" si="145"/>
        <v>10109.109072618419</v>
      </c>
    </row>
    <row r="3104" spans="2:4" x14ac:dyDescent="0.25">
      <c r="B3104">
        <f t="shared" ca="1" si="146"/>
        <v>47979.347578422392</v>
      </c>
      <c r="C3104">
        <f t="shared" ca="1" si="144"/>
        <v>0</v>
      </c>
      <c r="D3104">
        <f t="shared" ca="1" si="145"/>
        <v>7979.347578422392</v>
      </c>
    </row>
    <row r="3105" spans="2:4" x14ac:dyDescent="0.25">
      <c r="B3105">
        <f t="shared" ca="1" si="146"/>
        <v>51233.606812859405</v>
      </c>
      <c r="C3105">
        <f t="shared" ca="1" si="144"/>
        <v>0</v>
      </c>
      <c r="D3105">
        <f t="shared" ca="1" si="145"/>
        <v>11233.606812859405</v>
      </c>
    </row>
    <row r="3106" spans="2:4" x14ac:dyDescent="0.25">
      <c r="B3106">
        <f t="shared" ca="1" si="146"/>
        <v>44502.499367632488</v>
      </c>
      <c r="C3106">
        <f t="shared" ca="1" si="144"/>
        <v>0</v>
      </c>
      <c r="D3106">
        <f t="shared" ca="1" si="145"/>
        <v>4502.4993676324884</v>
      </c>
    </row>
    <row r="3107" spans="2:4" x14ac:dyDescent="0.25">
      <c r="B3107">
        <f t="shared" ca="1" si="146"/>
        <v>40917.41566359339</v>
      </c>
      <c r="C3107">
        <f t="shared" ca="1" si="144"/>
        <v>0</v>
      </c>
      <c r="D3107">
        <f t="shared" ca="1" si="145"/>
        <v>917.41566359339049</v>
      </c>
    </row>
    <row r="3108" spans="2:4" x14ac:dyDescent="0.25">
      <c r="B3108">
        <f t="shared" ca="1" si="146"/>
        <v>41053.930060494371</v>
      </c>
      <c r="C3108">
        <f t="shared" ca="1" si="144"/>
        <v>0</v>
      </c>
      <c r="D3108">
        <f t="shared" ca="1" si="145"/>
        <v>1053.930060494371</v>
      </c>
    </row>
    <row r="3109" spans="2:4" x14ac:dyDescent="0.25">
      <c r="B3109">
        <f t="shared" ca="1" si="146"/>
        <v>47492.743849440296</v>
      </c>
      <c r="C3109">
        <f t="shared" ca="1" si="144"/>
        <v>0</v>
      </c>
      <c r="D3109">
        <f t="shared" ca="1" si="145"/>
        <v>7492.7438494402959</v>
      </c>
    </row>
    <row r="3110" spans="2:4" x14ac:dyDescent="0.25">
      <c r="B3110">
        <f t="shared" ca="1" si="146"/>
        <v>41519.974778364893</v>
      </c>
      <c r="C3110">
        <f t="shared" ca="1" si="144"/>
        <v>0</v>
      </c>
      <c r="D3110">
        <f t="shared" ca="1" si="145"/>
        <v>1519.9747783648927</v>
      </c>
    </row>
    <row r="3111" spans="2:4" x14ac:dyDescent="0.25">
      <c r="B3111">
        <f t="shared" ca="1" si="146"/>
        <v>38317.37595496812</v>
      </c>
      <c r="C3111">
        <f t="shared" ca="1" si="144"/>
        <v>1682.6240450318801</v>
      </c>
      <c r="D3111">
        <f t="shared" ca="1" si="145"/>
        <v>0</v>
      </c>
    </row>
    <row r="3112" spans="2:4" x14ac:dyDescent="0.25">
      <c r="B3112">
        <f t="shared" ca="1" si="146"/>
        <v>39882.384656370443</v>
      </c>
      <c r="C3112">
        <f t="shared" ca="1" si="144"/>
        <v>117.61534362955717</v>
      </c>
      <c r="D3112">
        <f t="shared" ca="1" si="145"/>
        <v>0</v>
      </c>
    </row>
    <row r="3113" spans="2:4" x14ac:dyDescent="0.25">
      <c r="B3113">
        <f t="shared" ca="1" si="146"/>
        <v>44198.171517221403</v>
      </c>
      <c r="C3113">
        <f t="shared" ca="1" si="144"/>
        <v>0</v>
      </c>
      <c r="D3113">
        <f t="shared" ca="1" si="145"/>
        <v>4198.1715172214026</v>
      </c>
    </row>
    <row r="3114" spans="2:4" x14ac:dyDescent="0.25">
      <c r="B3114">
        <f t="shared" ca="1" si="146"/>
        <v>45974.197632880285</v>
      </c>
      <c r="C3114">
        <f t="shared" ca="1" si="144"/>
        <v>0</v>
      </c>
      <c r="D3114">
        <f t="shared" ca="1" si="145"/>
        <v>5974.1976328802848</v>
      </c>
    </row>
    <row r="3115" spans="2:4" x14ac:dyDescent="0.25">
      <c r="B3115">
        <f t="shared" ca="1" si="146"/>
        <v>38744.162941226721</v>
      </c>
      <c r="C3115">
        <f t="shared" ca="1" si="144"/>
        <v>1255.8370587732788</v>
      </c>
      <c r="D3115">
        <f t="shared" ca="1" si="145"/>
        <v>0</v>
      </c>
    </row>
    <row r="3116" spans="2:4" x14ac:dyDescent="0.25">
      <c r="B3116">
        <f t="shared" ca="1" si="146"/>
        <v>43548.316579417209</v>
      </c>
      <c r="C3116">
        <f t="shared" ca="1" si="144"/>
        <v>0</v>
      </c>
      <c r="D3116">
        <f t="shared" ca="1" si="145"/>
        <v>3548.3165794172091</v>
      </c>
    </row>
    <row r="3117" spans="2:4" x14ac:dyDescent="0.25">
      <c r="B3117">
        <f t="shared" ca="1" si="146"/>
        <v>46538.352686806262</v>
      </c>
      <c r="C3117">
        <f t="shared" ca="1" si="144"/>
        <v>0</v>
      </c>
      <c r="D3117">
        <f t="shared" ca="1" si="145"/>
        <v>6538.3526868062618</v>
      </c>
    </row>
    <row r="3118" spans="2:4" x14ac:dyDescent="0.25">
      <c r="B3118">
        <f t="shared" ca="1" si="146"/>
        <v>41707.165992442911</v>
      </c>
      <c r="C3118">
        <f t="shared" ca="1" si="144"/>
        <v>0</v>
      </c>
      <c r="D3118">
        <f t="shared" ca="1" si="145"/>
        <v>1707.1659924429114</v>
      </c>
    </row>
    <row r="3119" spans="2:4" x14ac:dyDescent="0.25">
      <c r="B3119">
        <f t="shared" ca="1" si="146"/>
        <v>53420.421675219666</v>
      </c>
      <c r="C3119">
        <f t="shared" ca="1" si="144"/>
        <v>0</v>
      </c>
      <c r="D3119">
        <f t="shared" ca="1" si="145"/>
        <v>13420.421675219666</v>
      </c>
    </row>
    <row r="3120" spans="2:4" x14ac:dyDescent="0.25">
      <c r="B3120">
        <f t="shared" ca="1" si="146"/>
        <v>46718.4707465026</v>
      </c>
      <c r="C3120">
        <f t="shared" ca="1" si="144"/>
        <v>0</v>
      </c>
      <c r="D3120">
        <f t="shared" ca="1" si="145"/>
        <v>6718.4707465026004</v>
      </c>
    </row>
    <row r="3121" spans="2:4" x14ac:dyDescent="0.25">
      <c r="B3121">
        <f t="shared" ca="1" si="146"/>
        <v>45410.770403699797</v>
      </c>
      <c r="C3121">
        <f t="shared" ca="1" si="144"/>
        <v>0</v>
      </c>
      <c r="D3121">
        <f t="shared" ca="1" si="145"/>
        <v>5410.7704036997966</v>
      </c>
    </row>
    <row r="3122" spans="2:4" x14ac:dyDescent="0.25">
      <c r="B3122">
        <f t="shared" ca="1" si="146"/>
        <v>39803.045152966777</v>
      </c>
      <c r="C3122">
        <f t="shared" ca="1" si="144"/>
        <v>196.9548470332229</v>
      </c>
      <c r="D3122">
        <f t="shared" ca="1" si="145"/>
        <v>0</v>
      </c>
    </row>
    <row r="3123" spans="2:4" x14ac:dyDescent="0.25">
      <c r="B3123">
        <f t="shared" ca="1" si="146"/>
        <v>37776.26989710264</v>
      </c>
      <c r="C3123">
        <f t="shared" ca="1" si="144"/>
        <v>2223.7301028973598</v>
      </c>
      <c r="D3123">
        <f t="shared" ca="1" si="145"/>
        <v>0</v>
      </c>
    </row>
    <row r="3124" spans="2:4" x14ac:dyDescent="0.25">
      <c r="B3124">
        <f t="shared" ca="1" si="146"/>
        <v>44460.061613670419</v>
      </c>
      <c r="C3124">
        <f t="shared" ca="1" si="144"/>
        <v>0</v>
      </c>
      <c r="D3124">
        <f t="shared" ca="1" si="145"/>
        <v>4460.0616136704193</v>
      </c>
    </row>
    <row r="3125" spans="2:4" x14ac:dyDescent="0.25">
      <c r="B3125">
        <f t="shared" ca="1" si="146"/>
        <v>44090.95091508692</v>
      </c>
      <c r="C3125">
        <f t="shared" ca="1" si="144"/>
        <v>0</v>
      </c>
      <c r="D3125">
        <f t="shared" ca="1" si="145"/>
        <v>4090.9509150869198</v>
      </c>
    </row>
    <row r="3126" spans="2:4" x14ac:dyDescent="0.25">
      <c r="B3126">
        <f t="shared" ca="1" si="146"/>
        <v>41872.358783128657</v>
      </c>
      <c r="C3126">
        <f t="shared" ca="1" si="144"/>
        <v>0</v>
      </c>
      <c r="D3126">
        <f t="shared" ca="1" si="145"/>
        <v>1872.3587831286568</v>
      </c>
    </row>
    <row r="3127" spans="2:4" x14ac:dyDescent="0.25">
      <c r="B3127">
        <f t="shared" ca="1" si="146"/>
        <v>43741.786389200526</v>
      </c>
      <c r="C3127">
        <f t="shared" ca="1" si="144"/>
        <v>0</v>
      </c>
      <c r="D3127">
        <f t="shared" ca="1" si="145"/>
        <v>3741.7863892005262</v>
      </c>
    </row>
    <row r="3128" spans="2:4" x14ac:dyDescent="0.25">
      <c r="B3128">
        <f t="shared" ca="1" si="146"/>
        <v>42078.835636159216</v>
      </c>
      <c r="C3128">
        <f t="shared" ca="1" si="144"/>
        <v>0</v>
      </c>
      <c r="D3128">
        <f t="shared" ca="1" si="145"/>
        <v>2078.8356361592159</v>
      </c>
    </row>
    <row r="3129" spans="2:4" x14ac:dyDescent="0.25">
      <c r="B3129">
        <f t="shared" ca="1" si="146"/>
        <v>45570.958958842828</v>
      </c>
      <c r="C3129">
        <f t="shared" ca="1" si="144"/>
        <v>0</v>
      </c>
      <c r="D3129">
        <f t="shared" ca="1" si="145"/>
        <v>5570.958958842828</v>
      </c>
    </row>
    <row r="3130" spans="2:4" x14ac:dyDescent="0.25">
      <c r="B3130">
        <f t="shared" ca="1" si="146"/>
        <v>48370.954797845225</v>
      </c>
      <c r="C3130">
        <f t="shared" ca="1" si="144"/>
        <v>0</v>
      </c>
      <c r="D3130">
        <f t="shared" ca="1" si="145"/>
        <v>8370.9547978452247</v>
      </c>
    </row>
    <row r="3131" spans="2:4" x14ac:dyDescent="0.25">
      <c r="B3131">
        <f t="shared" ca="1" si="146"/>
        <v>37470.939649964443</v>
      </c>
      <c r="C3131">
        <f t="shared" ca="1" si="144"/>
        <v>2529.0603500355573</v>
      </c>
      <c r="D3131">
        <f t="shared" ca="1" si="145"/>
        <v>0</v>
      </c>
    </row>
    <row r="3132" spans="2:4" x14ac:dyDescent="0.25">
      <c r="B3132">
        <f t="shared" ca="1" si="146"/>
        <v>46949.517412190013</v>
      </c>
      <c r="C3132">
        <f t="shared" ca="1" si="144"/>
        <v>0</v>
      </c>
      <c r="D3132">
        <f t="shared" ca="1" si="145"/>
        <v>6949.5174121900127</v>
      </c>
    </row>
    <row r="3133" spans="2:4" x14ac:dyDescent="0.25">
      <c r="B3133">
        <f t="shared" ca="1" si="146"/>
        <v>47999.27581493133</v>
      </c>
      <c r="C3133">
        <f t="shared" ca="1" si="144"/>
        <v>0</v>
      </c>
      <c r="D3133">
        <f t="shared" ca="1" si="145"/>
        <v>7999.2758149313304</v>
      </c>
    </row>
    <row r="3134" spans="2:4" x14ac:dyDescent="0.25">
      <c r="B3134">
        <f t="shared" ca="1" si="146"/>
        <v>43675.525330171215</v>
      </c>
      <c r="C3134">
        <f t="shared" ca="1" si="144"/>
        <v>0</v>
      </c>
      <c r="D3134">
        <f t="shared" ca="1" si="145"/>
        <v>3675.5253301712146</v>
      </c>
    </row>
    <row r="3135" spans="2:4" x14ac:dyDescent="0.25">
      <c r="B3135">
        <f t="shared" ca="1" si="146"/>
        <v>49507.743672151708</v>
      </c>
      <c r="C3135">
        <f t="shared" ca="1" si="144"/>
        <v>0</v>
      </c>
      <c r="D3135">
        <f t="shared" ca="1" si="145"/>
        <v>9507.7436721517079</v>
      </c>
    </row>
    <row r="3136" spans="2:4" x14ac:dyDescent="0.25">
      <c r="B3136">
        <f t="shared" ca="1" si="146"/>
        <v>53038.296712271229</v>
      </c>
      <c r="C3136">
        <f t="shared" ca="1" si="144"/>
        <v>0</v>
      </c>
      <c r="D3136">
        <f t="shared" ca="1" si="145"/>
        <v>13038.296712271229</v>
      </c>
    </row>
    <row r="3137" spans="2:4" x14ac:dyDescent="0.25">
      <c r="B3137">
        <f t="shared" ca="1" si="146"/>
        <v>60370.73568149584</v>
      </c>
      <c r="C3137">
        <f t="shared" ca="1" si="144"/>
        <v>0</v>
      </c>
      <c r="D3137">
        <f t="shared" ca="1" si="145"/>
        <v>20370.73568149584</v>
      </c>
    </row>
    <row r="3138" spans="2:4" x14ac:dyDescent="0.25">
      <c r="B3138">
        <f t="shared" ca="1" si="146"/>
        <v>46973.245451399431</v>
      </c>
      <c r="C3138">
        <f t="shared" ca="1" si="144"/>
        <v>0</v>
      </c>
      <c r="D3138">
        <f t="shared" ca="1" si="145"/>
        <v>6973.2454513994307</v>
      </c>
    </row>
    <row r="3139" spans="2:4" x14ac:dyDescent="0.25">
      <c r="B3139">
        <f t="shared" ca="1" si="146"/>
        <v>46221.910932484752</v>
      </c>
      <c r="C3139">
        <f t="shared" ca="1" si="144"/>
        <v>0</v>
      </c>
      <c r="D3139">
        <f t="shared" ca="1" si="145"/>
        <v>6221.9109324847523</v>
      </c>
    </row>
    <row r="3140" spans="2:4" x14ac:dyDescent="0.25">
      <c r="B3140">
        <f t="shared" ca="1" si="146"/>
        <v>44608.048401346488</v>
      </c>
      <c r="C3140">
        <f t="shared" ca="1" si="144"/>
        <v>0</v>
      </c>
      <c r="D3140">
        <f t="shared" ca="1" si="145"/>
        <v>4608.0484013464884</v>
      </c>
    </row>
    <row r="3141" spans="2:4" x14ac:dyDescent="0.25">
      <c r="B3141">
        <f t="shared" ca="1" si="146"/>
        <v>50617.380917516908</v>
      </c>
      <c r="C3141">
        <f t="shared" ca="1" si="144"/>
        <v>0</v>
      </c>
      <c r="D3141">
        <f t="shared" ca="1" si="145"/>
        <v>10617.380917516908</v>
      </c>
    </row>
    <row r="3142" spans="2:4" x14ac:dyDescent="0.25">
      <c r="B3142">
        <f t="shared" ca="1" si="146"/>
        <v>48490.330425243446</v>
      </c>
      <c r="C3142">
        <f t="shared" ca="1" si="144"/>
        <v>0</v>
      </c>
      <c r="D3142">
        <f t="shared" ca="1" si="145"/>
        <v>8490.3304252434464</v>
      </c>
    </row>
    <row r="3143" spans="2:4" x14ac:dyDescent="0.25">
      <c r="B3143">
        <f t="shared" ca="1" si="146"/>
        <v>54220.908410679534</v>
      </c>
      <c r="C3143">
        <f t="shared" ca="1" si="144"/>
        <v>0</v>
      </c>
      <c r="D3143">
        <f t="shared" ca="1" si="145"/>
        <v>14220.908410679534</v>
      </c>
    </row>
    <row r="3144" spans="2:4" x14ac:dyDescent="0.25">
      <c r="B3144">
        <f t="shared" ca="1" si="146"/>
        <v>39990.723451218466</v>
      </c>
      <c r="C3144">
        <f t="shared" ca="1" si="144"/>
        <v>9.2765487815340748</v>
      </c>
      <c r="D3144">
        <f t="shared" ca="1" si="145"/>
        <v>0</v>
      </c>
    </row>
    <row r="3145" spans="2:4" x14ac:dyDescent="0.25">
      <c r="B3145">
        <f t="shared" ca="1" si="146"/>
        <v>40172.159804918309</v>
      </c>
      <c r="C3145">
        <f t="shared" ca="1" si="144"/>
        <v>0</v>
      </c>
      <c r="D3145">
        <f t="shared" ca="1" si="145"/>
        <v>172.15980491830851</v>
      </c>
    </row>
    <row r="3146" spans="2:4" x14ac:dyDescent="0.25">
      <c r="B3146">
        <f t="shared" ca="1" si="146"/>
        <v>40392.087279808176</v>
      </c>
      <c r="C3146">
        <f t="shared" ca="1" si="144"/>
        <v>0</v>
      </c>
      <c r="D3146">
        <f t="shared" ca="1" si="145"/>
        <v>392.08727980817639</v>
      </c>
    </row>
    <row r="3147" spans="2:4" x14ac:dyDescent="0.25">
      <c r="B3147">
        <f t="shared" ca="1" si="146"/>
        <v>44406.512560615862</v>
      </c>
      <c r="C3147">
        <f t="shared" ca="1" si="144"/>
        <v>0</v>
      </c>
      <c r="D3147">
        <f t="shared" ca="1" si="145"/>
        <v>4406.5125606158617</v>
      </c>
    </row>
    <row r="3148" spans="2:4" x14ac:dyDescent="0.25">
      <c r="B3148">
        <f t="shared" ca="1" si="146"/>
        <v>44355.967052611311</v>
      </c>
      <c r="C3148">
        <f t="shared" ref="C3148:C3211" ca="1" si="147">IF(MAX($B$2-B3148)&lt;0,0,$B$2-B3148)</f>
        <v>0</v>
      </c>
      <c r="D3148">
        <f t="shared" ref="D3148:D3211" ca="1" si="148">IF(MAX(B3148-$B$2)&lt;0,0,B3148-$B$2)</f>
        <v>4355.9670526113114</v>
      </c>
    </row>
    <row r="3149" spans="2:4" x14ac:dyDescent="0.25">
      <c r="B3149">
        <f t="shared" ref="B3149:B3212" ca="1" si="149">$B$1*EXP((($B$4-($B$3^2)/2)*$B$5+$B$3*SQRT($B$5)*NORMSINV(RAND())))</f>
        <v>38788.729727765764</v>
      </c>
      <c r="C3149">
        <f t="shared" ca="1" si="147"/>
        <v>1211.2702722342365</v>
      </c>
      <c r="D3149">
        <f t="shared" ca="1" si="148"/>
        <v>0</v>
      </c>
    </row>
    <row r="3150" spans="2:4" x14ac:dyDescent="0.25">
      <c r="B3150">
        <f t="shared" ca="1" si="149"/>
        <v>34079.320406201114</v>
      </c>
      <c r="C3150">
        <f t="shared" ca="1" si="147"/>
        <v>5920.6795937988863</v>
      </c>
      <c r="D3150">
        <f t="shared" ca="1" si="148"/>
        <v>0</v>
      </c>
    </row>
    <row r="3151" spans="2:4" x14ac:dyDescent="0.25">
      <c r="B3151">
        <f t="shared" ca="1" si="149"/>
        <v>48634.031589073413</v>
      </c>
      <c r="C3151">
        <f t="shared" ca="1" si="147"/>
        <v>0</v>
      </c>
      <c r="D3151">
        <f t="shared" ca="1" si="148"/>
        <v>8634.0315890734128</v>
      </c>
    </row>
    <row r="3152" spans="2:4" x14ac:dyDescent="0.25">
      <c r="B3152">
        <f t="shared" ca="1" si="149"/>
        <v>45204.738055609247</v>
      </c>
      <c r="C3152">
        <f t="shared" ca="1" si="147"/>
        <v>0</v>
      </c>
      <c r="D3152">
        <f t="shared" ca="1" si="148"/>
        <v>5204.7380556092467</v>
      </c>
    </row>
    <row r="3153" spans="2:4" x14ac:dyDescent="0.25">
      <c r="B3153">
        <f t="shared" ca="1" si="149"/>
        <v>43017.867870645736</v>
      </c>
      <c r="C3153">
        <f t="shared" ca="1" si="147"/>
        <v>0</v>
      </c>
      <c r="D3153">
        <f t="shared" ca="1" si="148"/>
        <v>3017.8678706457358</v>
      </c>
    </row>
    <row r="3154" spans="2:4" x14ac:dyDescent="0.25">
      <c r="B3154">
        <f t="shared" ca="1" si="149"/>
        <v>39440.411913246644</v>
      </c>
      <c r="C3154">
        <f t="shared" ca="1" si="147"/>
        <v>559.58808675335604</v>
      </c>
      <c r="D3154">
        <f t="shared" ca="1" si="148"/>
        <v>0</v>
      </c>
    </row>
    <row r="3155" spans="2:4" x14ac:dyDescent="0.25">
      <c r="B3155">
        <f t="shared" ca="1" si="149"/>
        <v>36343.989191683133</v>
      </c>
      <c r="C3155">
        <f t="shared" ca="1" si="147"/>
        <v>3656.010808316867</v>
      </c>
      <c r="D3155">
        <f t="shared" ca="1" si="148"/>
        <v>0</v>
      </c>
    </row>
    <row r="3156" spans="2:4" x14ac:dyDescent="0.25">
      <c r="B3156">
        <f t="shared" ca="1" si="149"/>
        <v>39581.836647047618</v>
      </c>
      <c r="C3156">
        <f t="shared" ca="1" si="147"/>
        <v>418.16335295238241</v>
      </c>
      <c r="D3156">
        <f t="shared" ca="1" si="148"/>
        <v>0</v>
      </c>
    </row>
    <row r="3157" spans="2:4" x14ac:dyDescent="0.25">
      <c r="B3157">
        <f t="shared" ca="1" si="149"/>
        <v>51633.426795334897</v>
      </c>
      <c r="C3157">
        <f t="shared" ca="1" si="147"/>
        <v>0</v>
      </c>
      <c r="D3157">
        <f t="shared" ca="1" si="148"/>
        <v>11633.426795334897</v>
      </c>
    </row>
    <row r="3158" spans="2:4" x14ac:dyDescent="0.25">
      <c r="B3158">
        <f t="shared" ca="1" si="149"/>
        <v>51628.157969292319</v>
      </c>
      <c r="C3158">
        <f t="shared" ca="1" si="147"/>
        <v>0</v>
      </c>
      <c r="D3158">
        <f t="shared" ca="1" si="148"/>
        <v>11628.157969292319</v>
      </c>
    </row>
    <row r="3159" spans="2:4" x14ac:dyDescent="0.25">
      <c r="B3159">
        <f t="shared" ca="1" si="149"/>
        <v>47439.478968884068</v>
      </c>
      <c r="C3159">
        <f t="shared" ca="1" si="147"/>
        <v>0</v>
      </c>
      <c r="D3159">
        <f t="shared" ca="1" si="148"/>
        <v>7439.4789688840683</v>
      </c>
    </row>
    <row r="3160" spans="2:4" x14ac:dyDescent="0.25">
      <c r="B3160">
        <f t="shared" ca="1" si="149"/>
        <v>51856.493472204129</v>
      </c>
      <c r="C3160">
        <f t="shared" ca="1" si="147"/>
        <v>0</v>
      </c>
      <c r="D3160">
        <f t="shared" ca="1" si="148"/>
        <v>11856.493472204129</v>
      </c>
    </row>
    <row r="3161" spans="2:4" x14ac:dyDescent="0.25">
      <c r="B3161">
        <f t="shared" ca="1" si="149"/>
        <v>44291.377313824334</v>
      </c>
      <c r="C3161">
        <f t="shared" ca="1" si="147"/>
        <v>0</v>
      </c>
      <c r="D3161">
        <f t="shared" ca="1" si="148"/>
        <v>4291.3773138243341</v>
      </c>
    </row>
    <row r="3162" spans="2:4" x14ac:dyDescent="0.25">
      <c r="B3162">
        <f t="shared" ca="1" si="149"/>
        <v>37418.028921849516</v>
      </c>
      <c r="C3162">
        <f t="shared" ca="1" si="147"/>
        <v>2581.9710781504837</v>
      </c>
      <c r="D3162">
        <f t="shared" ca="1" si="148"/>
        <v>0</v>
      </c>
    </row>
    <row r="3163" spans="2:4" x14ac:dyDescent="0.25">
      <c r="B3163">
        <f t="shared" ca="1" si="149"/>
        <v>48220.505223678112</v>
      </c>
      <c r="C3163">
        <f t="shared" ca="1" si="147"/>
        <v>0</v>
      </c>
      <c r="D3163">
        <f t="shared" ca="1" si="148"/>
        <v>8220.5052236781121</v>
      </c>
    </row>
    <row r="3164" spans="2:4" x14ac:dyDescent="0.25">
      <c r="B3164">
        <f t="shared" ca="1" si="149"/>
        <v>49787.651128774625</v>
      </c>
      <c r="C3164">
        <f t="shared" ca="1" si="147"/>
        <v>0</v>
      </c>
      <c r="D3164">
        <f t="shared" ca="1" si="148"/>
        <v>9787.6511287746252</v>
      </c>
    </row>
    <row r="3165" spans="2:4" x14ac:dyDescent="0.25">
      <c r="B3165">
        <f t="shared" ca="1" si="149"/>
        <v>44049.936536554123</v>
      </c>
      <c r="C3165">
        <f t="shared" ca="1" si="147"/>
        <v>0</v>
      </c>
      <c r="D3165">
        <f t="shared" ca="1" si="148"/>
        <v>4049.9365365541234</v>
      </c>
    </row>
    <row r="3166" spans="2:4" x14ac:dyDescent="0.25">
      <c r="B3166">
        <f t="shared" ca="1" si="149"/>
        <v>41596.264390793753</v>
      </c>
      <c r="C3166">
        <f t="shared" ca="1" si="147"/>
        <v>0</v>
      </c>
      <c r="D3166">
        <f t="shared" ca="1" si="148"/>
        <v>1596.2643907937527</v>
      </c>
    </row>
    <row r="3167" spans="2:4" x14ac:dyDescent="0.25">
      <c r="B3167">
        <f t="shared" ca="1" si="149"/>
        <v>41529.956902112761</v>
      </c>
      <c r="C3167">
        <f t="shared" ca="1" si="147"/>
        <v>0</v>
      </c>
      <c r="D3167">
        <f t="shared" ca="1" si="148"/>
        <v>1529.9569021127609</v>
      </c>
    </row>
    <row r="3168" spans="2:4" x14ac:dyDescent="0.25">
      <c r="B3168">
        <f t="shared" ca="1" si="149"/>
        <v>49668.284113372574</v>
      </c>
      <c r="C3168">
        <f t="shared" ca="1" si="147"/>
        <v>0</v>
      </c>
      <c r="D3168">
        <f t="shared" ca="1" si="148"/>
        <v>9668.2841133725742</v>
      </c>
    </row>
    <row r="3169" spans="2:4" x14ac:dyDescent="0.25">
      <c r="B3169">
        <f t="shared" ca="1" si="149"/>
        <v>45665.080685399458</v>
      </c>
      <c r="C3169">
        <f t="shared" ca="1" si="147"/>
        <v>0</v>
      </c>
      <c r="D3169">
        <f t="shared" ca="1" si="148"/>
        <v>5665.0806853994582</v>
      </c>
    </row>
    <row r="3170" spans="2:4" x14ac:dyDescent="0.25">
      <c r="B3170">
        <f t="shared" ca="1" si="149"/>
        <v>37637.845231378131</v>
      </c>
      <c r="C3170">
        <f t="shared" ca="1" si="147"/>
        <v>2362.1547686218692</v>
      </c>
      <c r="D3170">
        <f t="shared" ca="1" si="148"/>
        <v>0</v>
      </c>
    </row>
    <row r="3171" spans="2:4" x14ac:dyDescent="0.25">
      <c r="B3171">
        <f t="shared" ca="1" si="149"/>
        <v>42849.174318337238</v>
      </c>
      <c r="C3171">
        <f t="shared" ca="1" si="147"/>
        <v>0</v>
      </c>
      <c r="D3171">
        <f t="shared" ca="1" si="148"/>
        <v>2849.1743183372382</v>
      </c>
    </row>
    <row r="3172" spans="2:4" x14ac:dyDescent="0.25">
      <c r="B3172">
        <f t="shared" ca="1" si="149"/>
        <v>43068.294976546815</v>
      </c>
      <c r="C3172">
        <f t="shared" ca="1" si="147"/>
        <v>0</v>
      </c>
      <c r="D3172">
        <f t="shared" ca="1" si="148"/>
        <v>3068.2949765468147</v>
      </c>
    </row>
    <row r="3173" spans="2:4" x14ac:dyDescent="0.25">
      <c r="B3173">
        <f t="shared" ca="1" si="149"/>
        <v>50865.927578525065</v>
      </c>
      <c r="C3173">
        <f t="shared" ca="1" si="147"/>
        <v>0</v>
      </c>
      <c r="D3173">
        <f t="shared" ca="1" si="148"/>
        <v>10865.927578525065</v>
      </c>
    </row>
    <row r="3174" spans="2:4" x14ac:dyDescent="0.25">
      <c r="B3174">
        <f t="shared" ca="1" si="149"/>
        <v>44227.86060810458</v>
      </c>
      <c r="C3174">
        <f t="shared" ca="1" si="147"/>
        <v>0</v>
      </c>
      <c r="D3174">
        <f t="shared" ca="1" si="148"/>
        <v>4227.86060810458</v>
      </c>
    </row>
    <row r="3175" spans="2:4" x14ac:dyDescent="0.25">
      <c r="B3175">
        <f t="shared" ca="1" si="149"/>
        <v>45296.863230284791</v>
      </c>
      <c r="C3175">
        <f t="shared" ca="1" si="147"/>
        <v>0</v>
      </c>
      <c r="D3175">
        <f t="shared" ca="1" si="148"/>
        <v>5296.8632302847909</v>
      </c>
    </row>
    <row r="3176" spans="2:4" x14ac:dyDescent="0.25">
      <c r="B3176">
        <f t="shared" ca="1" si="149"/>
        <v>50523.377906017362</v>
      </c>
      <c r="C3176">
        <f t="shared" ca="1" si="147"/>
        <v>0</v>
      </c>
      <c r="D3176">
        <f t="shared" ca="1" si="148"/>
        <v>10523.377906017362</v>
      </c>
    </row>
    <row r="3177" spans="2:4" x14ac:dyDescent="0.25">
      <c r="B3177">
        <f t="shared" ca="1" si="149"/>
        <v>44534.99449887134</v>
      </c>
      <c r="C3177">
        <f t="shared" ca="1" si="147"/>
        <v>0</v>
      </c>
      <c r="D3177">
        <f t="shared" ca="1" si="148"/>
        <v>4534.9944988713396</v>
      </c>
    </row>
    <row r="3178" spans="2:4" x14ac:dyDescent="0.25">
      <c r="B3178">
        <f t="shared" ca="1" si="149"/>
        <v>46582.387569460327</v>
      </c>
      <c r="C3178">
        <f t="shared" ca="1" si="147"/>
        <v>0</v>
      </c>
      <c r="D3178">
        <f t="shared" ca="1" si="148"/>
        <v>6582.3875694603266</v>
      </c>
    </row>
    <row r="3179" spans="2:4" x14ac:dyDescent="0.25">
      <c r="B3179">
        <f t="shared" ca="1" si="149"/>
        <v>47277.553042363506</v>
      </c>
      <c r="C3179">
        <f t="shared" ca="1" si="147"/>
        <v>0</v>
      </c>
      <c r="D3179">
        <f t="shared" ca="1" si="148"/>
        <v>7277.5530423635064</v>
      </c>
    </row>
    <row r="3180" spans="2:4" x14ac:dyDescent="0.25">
      <c r="B3180">
        <f t="shared" ca="1" si="149"/>
        <v>46168.918007158944</v>
      </c>
      <c r="C3180">
        <f t="shared" ca="1" si="147"/>
        <v>0</v>
      </c>
      <c r="D3180">
        <f t="shared" ca="1" si="148"/>
        <v>6168.9180071589435</v>
      </c>
    </row>
    <row r="3181" spans="2:4" x14ac:dyDescent="0.25">
      <c r="B3181">
        <f t="shared" ca="1" si="149"/>
        <v>42124.250663787119</v>
      </c>
      <c r="C3181">
        <f t="shared" ca="1" si="147"/>
        <v>0</v>
      </c>
      <c r="D3181">
        <f t="shared" ca="1" si="148"/>
        <v>2124.2506637871193</v>
      </c>
    </row>
    <row r="3182" spans="2:4" x14ac:dyDescent="0.25">
      <c r="B3182">
        <f t="shared" ca="1" si="149"/>
        <v>44911.104567956201</v>
      </c>
      <c r="C3182">
        <f t="shared" ca="1" si="147"/>
        <v>0</v>
      </c>
      <c r="D3182">
        <f t="shared" ca="1" si="148"/>
        <v>4911.1045679562012</v>
      </c>
    </row>
    <row r="3183" spans="2:4" x14ac:dyDescent="0.25">
      <c r="B3183">
        <f t="shared" ca="1" si="149"/>
        <v>46361.849762457205</v>
      </c>
      <c r="C3183">
        <f t="shared" ca="1" si="147"/>
        <v>0</v>
      </c>
      <c r="D3183">
        <f t="shared" ca="1" si="148"/>
        <v>6361.8497624572046</v>
      </c>
    </row>
    <row r="3184" spans="2:4" x14ac:dyDescent="0.25">
      <c r="B3184">
        <f t="shared" ca="1" si="149"/>
        <v>46432.950810339724</v>
      </c>
      <c r="C3184">
        <f t="shared" ca="1" si="147"/>
        <v>0</v>
      </c>
      <c r="D3184">
        <f t="shared" ca="1" si="148"/>
        <v>6432.9508103397238</v>
      </c>
    </row>
    <row r="3185" spans="2:4" x14ac:dyDescent="0.25">
      <c r="B3185">
        <f t="shared" ca="1" si="149"/>
        <v>48985.852615233496</v>
      </c>
      <c r="C3185">
        <f t="shared" ca="1" si="147"/>
        <v>0</v>
      </c>
      <c r="D3185">
        <f t="shared" ca="1" si="148"/>
        <v>8985.8526152334962</v>
      </c>
    </row>
    <row r="3186" spans="2:4" x14ac:dyDescent="0.25">
      <c r="B3186">
        <f t="shared" ca="1" si="149"/>
        <v>42303.949047735056</v>
      </c>
      <c r="C3186">
        <f t="shared" ca="1" si="147"/>
        <v>0</v>
      </c>
      <c r="D3186">
        <f t="shared" ca="1" si="148"/>
        <v>2303.9490477350555</v>
      </c>
    </row>
    <row r="3187" spans="2:4" x14ac:dyDescent="0.25">
      <c r="B3187">
        <f t="shared" ca="1" si="149"/>
        <v>41987.515984887861</v>
      </c>
      <c r="C3187">
        <f t="shared" ca="1" si="147"/>
        <v>0</v>
      </c>
      <c r="D3187">
        <f t="shared" ca="1" si="148"/>
        <v>1987.5159848878611</v>
      </c>
    </row>
    <row r="3188" spans="2:4" x14ac:dyDescent="0.25">
      <c r="B3188">
        <f t="shared" ca="1" si="149"/>
        <v>40149.030152147447</v>
      </c>
      <c r="C3188">
        <f t="shared" ca="1" si="147"/>
        <v>0</v>
      </c>
      <c r="D3188">
        <f t="shared" ca="1" si="148"/>
        <v>149.03015214744664</v>
      </c>
    </row>
    <row r="3189" spans="2:4" x14ac:dyDescent="0.25">
      <c r="B3189">
        <f t="shared" ca="1" si="149"/>
        <v>42411.351803620739</v>
      </c>
      <c r="C3189">
        <f t="shared" ca="1" si="147"/>
        <v>0</v>
      </c>
      <c r="D3189">
        <f t="shared" ca="1" si="148"/>
        <v>2411.3518036207388</v>
      </c>
    </row>
    <row r="3190" spans="2:4" x14ac:dyDescent="0.25">
      <c r="B3190">
        <f t="shared" ca="1" si="149"/>
        <v>46300.270239750804</v>
      </c>
      <c r="C3190">
        <f t="shared" ca="1" si="147"/>
        <v>0</v>
      </c>
      <c r="D3190">
        <f t="shared" ca="1" si="148"/>
        <v>6300.2702397508037</v>
      </c>
    </row>
    <row r="3191" spans="2:4" x14ac:dyDescent="0.25">
      <c r="B3191">
        <f t="shared" ca="1" si="149"/>
        <v>40999.990160379355</v>
      </c>
      <c r="C3191">
        <f t="shared" ca="1" si="147"/>
        <v>0</v>
      </c>
      <c r="D3191">
        <f t="shared" ca="1" si="148"/>
        <v>999.99016037935507</v>
      </c>
    </row>
    <row r="3192" spans="2:4" x14ac:dyDescent="0.25">
      <c r="B3192">
        <f t="shared" ca="1" si="149"/>
        <v>41720.260405415211</v>
      </c>
      <c r="C3192">
        <f t="shared" ca="1" si="147"/>
        <v>0</v>
      </c>
      <c r="D3192">
        <f t="shared" ca="1" si="148"/>
        <v>1720.2604054152107</v>
      </c>
    </row>
    <row r="3193" spans="2:4" x14ac:dyDescent="0.25">
      <c r="B3193">
        <f t="shared" ca="1" si="149"/>
        <v>38698.963927570745</v>
      </c>
      <c r="C3193">
        <f t="shared" ca="1" si="147"/>
        <v>1301.036072429255</v>
      </c>
      <c r="D3193">
        <f t="shared" ca="1" si="148"/>
        <v>0</v>
      </c>
    </row>
    <row r="3194" spans="2:4" x14ac:dyDescent="0.25">
      <c r="B3194">
        <f t="shared" ca="1" si="149"/>
        <v>46040.226926711795</v>
      </c>
      <c r="C3194">
        <f t="shared" ca="1" si="147"/>
        <v>0</v>
      </c>
      <c r="D3194">
        <f t="shared" ca="1" si="148"/>
        <v>6040.2269267117954</v>
      </c>
    </row>
    <row r="3195" spans="2:4" x14ac:dyDescent="0.25">
      <c r="B3195">
        <f t="shared" ca="1" si="149"/>
        <v>56086.618896015556</v>
      </c>
      <c r="C3195">
        <f t="shared" ca="1" si="147"/>
        <v>0</v>
      </c>
      <c r="D3195">
        <f t="shared" ca="1" si="148"/>
        <v>16086.618896015556</v>
      </c>
    </row>
    <row r="3196" spans="2:4" x14ac:dyDescent="0.25">
      <c r="B3196">
        <f t="shared" ca="1" si="149"/>
        <v>46510.416946972306</v>
      </c>
      <c r="C3196">
        <f t="shared" ca="1" si="147"/>
        <v>0</v>
      </c>
      <c r="D3196">
        <f t="shared" ca="1" si="148"/>
        <v>6510.4169469723056</v>
      </c>
    </row>
    <row r="3197" spans="2:4" x14ac:dyDescent="0.25">
      <c r="B3197">
        <f t="shared" ca="1" si="149"/>
        <v>39723.925465302113</v>
      </c>
      <c r="C3197">
        <f t="shared" ca="1" si="147"/>
        <v>276.07453469788743</v>
      </c>
      <c r="D3197">
        <f t="shared" ca="1" si="148"/>
        <v>0</v>
      </c>
    </row>
    <row r="3198" spans="2:4" x14ac:dyDescent="0.25">
      <c r="B3198">
        <f t="shared" ca="1" si="149"/>
        <v>39874.679187039583</v>
      </c>
      <c r="C3198">
        <f t="shared" ca="1" si="147"/>
        <v>125.32081296041724</v>
      </c>
      <c r="D3198">
        <f t="shared" ca="1" si="148"/>
        <v>0</v>
      </c>
    </row>
    <row r="3199" spans="2:4" x14ac:dyDescent="0.25">
      <c r="B3199">
        <f t="shared" ca="1" si="149"/>
        <v>38245.821803388899</v>
      </c>
      <c r="C3199">
        <f t="shared" ca="1" si="147"/>
        <v>1754.1781966111012</v>
      </c>
      <c r="D3199">
        <f t="shared" ca="1" si="148"/>
        <v>0</v>
      </c>
    </row>
    <row r="3200" spans="2:4" x14ac:dyDescent="0.25">
      <c r="B3200">
        <f t="shared" ca="1" si="149"/>
        <v>43391.031495092211</v>
      </c>
      <c r="C3200">
        <f t="shared" ca="1" si="147"/>
        <v>0</v>
      </c>
      <c r="D3200">
        <f t="shared" ca="1" si="148"/>
        <v>3391.0314950922111</v>
      </c>
    </row>
    <row r="3201" spans="2:4" x14ac:dyDescent="0.25">
      <c r="B3201">
        <f t="shared" ca="1" si="149"/>
        <v>42237.984395500709</v>
      </c>
      <c r="C3201">
        <f t="shared" ca="1" si="147"/>
        <v>0</v>
      </c>
      <c r="D3201">
        <f t="shared" ca="1" si="148"/>
        <v>2237.9843955007091</v>
      </c>
    </row>
    <row r="3202" spans="2:4" x14ac:dyDescent="0.25">
      <c r="B3202">
        <f t="shared" ca="1" si="149"/>
        <v>44965.775595912572</v>
      </c>
      <c r="C3202">
        <f t="shared" ca="1" si="147"/>
        <v>0</v>
      </c>
      <c r="D3202">
        <f t="shared" ca="1" si="148"/>
        <v>4965.7755959125716</v>
      </c>
    </row>
    <row r="3203" spans="2:4" x14ac:dyDescent="0.25">
      <c r="B3203">
        <f t="shared" ca="1" si="149"/>
        <v>48896.221271231465</v>
      </c>
      <c r="C3203">
        <f t="shared" ca="1" si="147"/>
        <v>0</v>
      </c>
      <c r="D3203">
        <f t="shared" ca="1" si="148"/>
        <v>8896.2212712314649</v>
      </c>
    </row>
    <row r="3204" spans="2:4" x14ac:dyDescent="0.25">
      <c r="B3204">
        <f t="shared" ca="1" si="149"/>
        <v>40652.026428157042</v>
      </c>
      <c r="C3204">
        <f t="shared" ca="1" si="147"/>
        <v>0</v>
      </c>
      <c r="D3204">
        <f t="shared" ca="1" si="148"/>
        <v>652.02642815704166</v>
      </c>
    </row>
    <row r="3205" spans="2:4" x14ac:dyDescent="0.25">
      <c r="B3205">
        <f t="shared" ca="1" si="149"/>
        <v>40375.586679394124</v>
      </c>
      <c r="C3205">
        <f t="shared" ca="1" si="147"/>
        <v>0</v>
      </c>
      <c r="D3205">
        <f t="shared" ca="1" si="148"/>
        <v>375.58667939412408</v>
      </c>
    </row>
    <row r="3206" spans="2:4" x14ac:dyDescent="0.25">
      <c r="B3206">
        <f t="shared" ca="1" si="149"/>
        <v>40506.675672796868</v>
      </c>
      <c r="C3206">
        <f t="shared" ca="1" si="147"/>
        <v>0</v>
      </c>
      <c r="D3206">
        <f t="shared" ca="1" si="148"/>
        <v>506.67567279686773</v>
      </c>
    </row>
    <row r="3207" spans="2:4" x14ac:dyDescent="0.25">
      <c r="B3207">
        <f t="shared" ca="1" si="149"/>
        <v>41840.950262429738</v>
      </c>
      <c r="C3207">
        <f t="shared" ca="1" si="147"/>
        <v>0</v>
      </c>
      <c r="D3207">
        <f t="shared" ca="1" si="148"/>
        <v>1840.9502624297384</v>
      </c>
    </row>
    <row r="3208" spans="2:4" x14ac:dyDescent="0.25">
      <c r="B3208">
        <f t="shared" ca="1" si="149"/>
        <v>53474.503318032184</v>
      </c>
      <c r="C3208">
        <f t="shared" ca="1" si="147"/>
        <v>0</v>
      </c>
      <c r="D3208">
        <f t="shared" ca="1" si="148"/>
        <v>13474.503318032184</v>
      </c>
    </row>
    <row r="3209" spans="2:4" x14ac:dyDescent="0.25">
      <c r="B3209">
        <f t="shared" ca="1" si="149"/>
        <v>48360.501937697562</v>
      </c>
      <c r="C3209">
        <f t="shared" ca="1" si="147"/>
        <v>0</v>
      </c>
      <c r="D3209">
        <f t="shared" ca="1" si="148"/>
        <v>8360.5019376975615</v>
      </c>
    </row>
    <row r="3210" spans="2:4" x14ac:dyDescent="0.25">
      <c r="B3210">
        <f t="shared" ca="1" si="149"/>
        <v>44799.314937487339</v>
      </c>
      <c r="C3210">
        <f t="shared" ca="1" si="147"/>
        <v>0</v>
      </c>
      <c r="D3210">
        <f t="shared" ca="1" si="148"/>
        <v>4799.3149374873392</v>
      </c>
    </row>
    <row r="3211" spans="2:4" x14ac:dyDescent="0.25">
      <c r="B3211">
        <f t="shared" ca="1" si="149"/>
        <v>50113.145683137656</v>
      </c>
      <c r="C3211">
        <f t="shared" ca="1" si="147"/>
        <v>0</v>
      </c>
      <c r="D3211">
        <f t="shared" ca="1" si="148"/>
        <v>10113.145683137656</v>
      </c>
    </row>
    <row r="3212" spans="2:4" x14ac:dyDescent="0.25">
      <c r="B3212">
        <f t="shared" ca="1" si="149"/>
        <v>50151.192202020466</v>
      </c>
      <c r="C3212">
        <f t="shared" ref="C3212:C3275" ca="1" si="150">IF(MAX($B$2-B3212)&lt;0,0,$B$2-B3212)</f>
        <v>0</v>
      </c>
      <c r="D3212">
        <f t="shared" ref="D3212:D3275" ca="1" si="151">IF(MAX(B3212-$B$2)&lt;0,0,B3212-$B$2)</f>
        <v>10151.192202020466</v>
      </c>
    </row>
    <row r="3213" spans="2:4" x14ac:dyDescent="0.25">
      <c r="B3213">
        <f t="shared" ref="B3213:B3276" ca="1" si="152">$B$1*EXP((($B$4-($B$3^2)/2)*$B$5+$B$3*SQRT($B$5)*NORMSINV(RAND())))</f>
        <v>39914.341869390439</v>
      </c>
      <c r="C3213">
        <f t="shared" ca="1" si="150"/>
        <v>85.65813060956134</v>
      </c>
      <c r="D3213">
        <f t="shared" ca="1" si="151"/>
        <v>0</v>
      </c>
    </row>
    <row r="3214" spans="2:4" x14ac:dyDescent="0.25">
      <c r="B3214">
        <f t="shared" ca="1" si="152"/>
        <v>39996.939383937221</v>
      </c>
      <c r="C3214">
        <f t="shared" ca="1" si="150"/>
        <v>3.0606160627794452</v>
      </c>
      <c r="D3214">
        <f t="shared" ca="1" si="151"/>
        <v>0</v>
      </c>
    </row>
    <row r="3215" spans="2:4" x14ac:dyDescent="0.25">
      <c r="B3215">
        <f t="shared" ca="1" si="152"/>
        <v>43497.246693750836</v>
      </c>
      <c r="C3215">
        <f t="shared" ca="1" si="150"/>
        <v>0</v>
      </c>
      <c r="D3215">
        <f t="shared" ca="1" si="151"/>
        <v>3497.2466937508361</v>
      </c>
    </row>
    <row r="3216" spans="2:4" x14ac:dyDescent="0.25">
      <c r="B3216">
        <f t="shared" ca="1" si="152"/>
        <v>51115.430971945774</v>
      </c>
      <c r="C3216">
        <f t="shared" ca="1" si="150"/>
        <v>0</v>
      </c>
      <c r="D3216">
        <f t="shared" ca="1" si="151"/>
        <v>11115.430971945774</v>
      </c>
    </row>
    <row r="3217" spans="2:4" x14ac:dyDescent="0.25">
      <c r="B3217">
        <f t="shared" ca="1" si="152"/>
        <v>51435.18128762603</v>
      </c>
      <c r="C3217">
        <f t="shared" ca="1" si="150"/>
        <v>0</v>
      </c>
      <c r="D3217">
        <f t="shared" ca="1" si="151"/>
        <v>11435.18128762603</v>
      </c>
    </row>
    <row r="3218" spans="2:4" x14ac:dyDescent="0.25">
      <c r="B3218">
        <f t="shared" ca="1" si="152"/>
        <v>46972.709385687434</v>
      </c>
      <c r="C3218">
        <f t="shared" ca="1" si="150"/>
        <v>0</v>
      </c>
      <c r="D3218">
        <f t="shared" ca="1" si="151"/>
        <v>6972.7093856874344</v>
      </c>
    </row>
    <row r="3219" spans="2:4" x14ac:dyDescent="0.25">
      <c r="B3219">
        <f t="shared" ca="1" si="152"/>
        <v>43529.15356918492</v>
      </c>
      <c r="C3219">
        <f t="shared" ca="1" si="150"/>
        <v>0</v>
      </c>
      <c r="D3219">
        <f t="shared" ca="1" si="151"/>
        <v>3529.1535691849203</v>
      </c>
    </row>
    <row r="3220" spans="2:4" x14ac:dyDescent="0.25">
      <c r="B3220">
        <f t="shared" ca="1" si="152"/>
        <v>44826.724404095788</v>
      </c>
      <c r="C3220">
        <f t="shared" ca="1" si="150"/>
        <v>0</v>
      </c>
      <c r="D3220">
        <f t="shared" ca="1" si="151"/>
        <v>4826.7244040957885</v>
      </c>
    </row>
    <row r="3221" spans="2:4" x14ac:dyDescent="0.25">
      <c r="B3221">
        <f t="shared" ca="1" si="152"/>
        <v>44713.776944105171</v>
      </c>
      <c r="C3221">
        <f t="shared" ca="1" si="150"/>
        <v>0</v>
      </c>
      <c r="D3221">
        <f t="shared" ca="1" si="151"/>
        <v>4713.7769441051714</v>
      </c>
    </row>
    <row r="3222" spans="2:4" x14ac:dyDescent="0.25">
      <c r="B3222">
        <f t="shared" ca="1" si="152"/>
        <v>45407.391758512509</v>
      </c>
      <c r="C3222">
        <f t="shared" ca="1" si="150"/>
        <v>0</v>
      </c>
      <c r="D3222">
        <f t="shared" ca="1" si="151"/>
        <v>5407.3917585125091</v>
      </c>
    </row>
    <row r="3223" spans="2:4" x14ac:dyDescent="0.25">
      <c r="B3223">
        <f t="shared" ca="1" si="152"/>
        <v>42979.380736662213</v>
      </c>
      <c r="C3223">
        <f t="shared" ca="1" si="150"/>
        <v>0</v>
      </c>
      <c r="D3223">
        <f t="shared" ca="1" si="151"/>
        <v>2979.3807366622132</v>
      </c>
    </row>
    <row r="3224" spans="2:4" x14ac:dyDescent="0.25">
      <c r="B3224">
        <f t="shared" ca="1" si="152"/>
        <v>49070.513117126102</v>
      </c>
      <c r="C3224">
        <f t="shared" ca="1" si="150"/>
        <v>0</v>
      </c>
      <c r="D3224">
        <f t="shared" ca="1" si="151"/>
        <v>9070.5131171261019</v>
      </c>
    </row>
    <row r="3225" spans="2:4" x14ac:dyDescent="0.25">
      <c r="B3225">
        <f t="shared" ca="1" si="152"/>
        <v>43761.249064305492</v>
      </c>
      <c r="C3225">
        <f t="shared" ca="1" si="150"/>
        <v>0</v>
      </c>
      <c r="D3225">
        <f t="shared" ca="1" si="151"/>
        <v>3761.2490643054916</v>
      </c>
    </row>
    <row r="3226" spans="2:4" x14ac:dyDescent="0.25">
      <c r="B3226">
        <f t="shared" ca="1" si="152"/>
        <v>51321.83937253266</v>
      </c>
      <c r="C3226">
        <f t="shared" ca="1" si="150"/>
        <v>0</v>
      </c>
      <c r="D3226">
        <f t="shared" ca="1" si="151"/>
        <v>11321.83937253266</v>
      </c>
    </row>
    <row r="3227" spans="2:4" x14ac:dyDescent="0.25">
      <c r="B3227">
        <f t="shared" ca="1" si="152"/>
        <v>39164.311948170609</v>
      </c>
      <c r="C3227">
        <f t="shared" ca="1" si="150"/>
        <v>835.68805182939104</v>
      </c>
      <c r="D3227">
        <f t="shared" ca="1" si="151"/>
        <v>0</v>
      </c>
    </row>
    <row r="3228" spans="2:4" x14ac:dyDescent="0.25">
      <c r="B3228">
        <f t="shared" ca="1" si="152"/>
        <v>43933.550688644689</v>
      </c>
      <c r="C3228">
        <f t="shared" ca="1" si="150"/>
        <v>0</v>
      </c>
      <c r="D3228">
        <f t="shared" ca="1" si="151"/>
        <v>3933.5506886446892</v>
      </c>
    </row>
    <row r="3229" spans="2:4" x14ac:dyDescent="0.25">
      <c r="B3229">
        <f t="shared" ca="1" si="152"/>
        <v>42250.363087082413</v>
      </c>
      <c r="C3229">
        <f t="shared" ca="1" si="150"/>
        <v>0</v>
      </c>
      <c r="D3229">
        <f t="shared" ca="1" si="151"/>
        <v>2250.3630870824127</v>
      </c>
    </row>
    <row r="3230" spans="2:4" x14ac:dyDescent="0.25">
      <c r="B3230">
        <f t="shared" ca="1" si="152"/>
        <v>49078.726423361295</v>
      </c>
      <c r="C3230">
        <f t="shared" ca="1" si="150"/>
        <v>0</v>
      </c>
      <c r="D3230">
        <f t="shared" ca="1" si="151"/>
        <v>9078.726423361295</v>
      </c>
    </row>
    <row r="3231" spans="2:4" x14ac:dyDescent="0.25">
      <c r="B3231">
        <f t="shared" ca="1" si="152"/>
        <v>46590.920878960038</v>
      </c>
      <c r="C3231">
        <f t="shared" ca="1" si="150"/>
        <v>0</v>
      </c>
      <c r="D3231">
        <f t="shared" ca="1" si="151"/>
        <v>6590.920878960038</v>
      </c>
    </row>
    <row r="3232" spans="2:4" x14ac:dyDescent="0.25">
      <c r="B3232">
        <f t="shared" ca="1" si="152"/>
        <v>44578.248154652269</v>
      </c>
      <c r="C3232">
        <f t="shared" ca="1" si="150"/>
        <v>0</v>
      </c>
      <c r="D3232">
        <f t="shared" ca="1" si="151"/>
        <v>4578.2481546522686</v>
      </c>
    </row>
    <row r="3233" spans="2:4" x14ac:dyDescent="0.25">
      <c r="B3233">
        <f t="shared" ca="1" si="152"/>
        <v>48884.743972733035</v>
      </c>
      <c r="C3233">
        <f t="shared" ca="1" si="150"/>
        <v>0</v>
      </c>
      <c r="D3233">
        <f t="shared" ca="1" si="151"/>
        <v>8884.7439727330348</v>
      </c>
    </row>
    <row r="3234" spans="2:4" x14ac:dyDescent="0.25">
      <c r="B3234">
        <f t="shared" ca="1" si="152"/>
        <v>47663.032223127324</v>
      </c>
      <c r="C3234">
        <f t="shared" ca="1" si="150"/>
        <v>0</v>
      </c>
      <c r="D3234">
        <f t="shared" ca="1" si="151"/>
        <v>7663.032223127324</v>
      </c>
    </row>
    <row r="3235" spans="2:4" x14ac:dyDescent="0.25">
      <c r="B3235">
        <f t="shared" ca="1" si="152"/>
        <v>44436.095994667958</v>
      </c>
      <c r="C3235">
        <f t="shared" ca="1" si="150"/>
        <v>0</v>
      </c>
      <c r="D3235">
        <f t="shared" ca="1" si="151"/>
        <v>4436.0959946679577</v>
      </c>
    </row>
    <row r="3236" spans="2:4" x14ac:dyDescent="0.25">
      <c r="B3236">
        <f t="shared" ca="1" si="152"/>
        <v>40723.156831683053</v>
      </c>
      <c r="C3236">
        <f t="shared" ca="1" si="150"/>
        <v>0</v>
      </c>
      <c r="D3236">
        <f t="shared" ca="1" si="151"/>
        <v>723.15683168305259</v>
      </c>
    </row>
    <row r="3237" spans="2:4" x14ac:dyDescent="0.25">
      <c r="B3237">
        <f t="shared" ca="1" si="152"/>
        <v>43677.293658644878</v>
      </c>
      <c r="C3237">
        <f t="shared" ca="1" si="150"/>
        <v>0</v>
      </c>
      <c r="D3237">
        <f t="shared" ca="1" si="151"/>
        <v>3677.2936586448777</v>
      </c>
    </row>
    <row r="3238" spans="2:4" x14ac:dyDescent="0.25">
      <c r="B3238">
        <f t="shared" ca="1" si="152"/>
        <v>58665.481458445662</v>
      </c>
      <c r="C3238">
        <f t="shared" ca="1" si="150"/>
        <v>0</v>
      </c>
      <c r="D3238">
        <f t="shared" ca="1" si="151"/>
        <v>18665.481458445662</v>
      </c>
    </row>
    <row r="3239" spans="2:4" x14ac:dyDescent="0.25">
      <c r="B3239">
        <f t="shared" ca="1" si="152"/>
        <v>51989.992006501787</v>
      </c>
      <c r="C3239">
        <f t="shared" ca="1" si="150"/>
        <v>0</v>
      </c>
      <c r="D3239">
        <f t="shared" ca="1" si="151"/>
        <v>11989.992006501787</v>
      </c>
    </row>
    <row r="3240" spans="2:4" x14ac:dyDescent="0.25">
      <c r="B3240">
        <f t="shared" ca="1" si="152"/>
        <v>46642.290864452501</v>
      </c>
      <c r="C3240">
        <f t="shared" ca="1" si="150"/>
        <v>0</v>
      </c>
      <c r="D3240">
        <f t="shared" ca="1" si="151"/>
        <v>6642.2908644525014</v>
      </c>
    </row>
    <row r="3241" spans="2:4" x14ac:dyDescent="0.25">
      <c r="B3241">
        <f t="shared" ca="1" si="152"/>
        <v>45133.742833367476</v>
      </c>
      <c r="C3241">
        <f t="shared" ca="1" si="150"/>
        <v>0</v>
      </c>
      <c r="D3241">
        <f t="shared" ca="1" si="151"/>
        <v>5133.7428333674761</v>
      </c>
    </row>
    <row r="3242" spans="2:4" x14ac:dyDescent="0.25">
      <c r="B3242">
        <f t="shared" ca="1" si="152"/>
        <v>46408.106676744479</v>
      </c>
      <c r="C3242">
        <f t="shared" ca="1" si="150"/>
        <v>0</v>
      </c>
      <c r="D3242">
        <f t="shared" ca="1" si="151"/>
        <v>6408.106676744479</v>
      </c>
    </row>
    <row r="3243" spans="2:4" x14ac:dyDescent="0.25">
      <c r="B3243">
        <f t="shared" ca="1" si="152"/>
        <v>42548.003717300817</v>
      </c>
      <c r="C3243">
        <f t="shared" ca="1" si="150"/>
        <v>0</v>
      </c>
      <c r="D3243">
        <f t="shared" ca="1" si="151"/>
        <v>2548.0037173008168</v>
      </c>
    </row>
    <row r="3244" spans="2:4" x14ac:dyDescent="0.25">
      <c r="B3244">
        <f t="shared" ca="1" si="152"/>
        <v>39638.520812884119</v>
      </c>
      <c r="C3244">
        <f t="shared" ca="1" si="150"/>
        <v>361.47918711588136</v>
      </c>
      <c r="D3244">
        <f t="shared" ca="1" si="151"/>
        <v>0</v>
      </c>
    </row>
    <row r="3245" spans="2:4" x14ac:dyDescent="0.25">
      <c r="B3245">
        <f t="shared" ca="1" si="152"/>
        <v>40310.519170288608</v>
      </c>
      <c r="C3245">
        <f t="shared" ca="1" si="150"/>
        <v>0</v>
      </c>
      <c r="D3245">
        <f t="shared" ca="1" si="151"/>
        <v>310.51917028860771</v>
      </c>
    </row>
    <row r="3246" spans="2:4" x14ac:dyDescent="0.25">
      <c r="B3246">
        <f t="shared" ca="1" si="152"/>
        <v>49193.885487087027</v>
      </c>
      <c r="C3246">
        <f t="shared" ca="1" si="150"/>
        <v>0</v>
      </c>
      <c r="D3246">
        <f t="shared" ca="1" si="151"/>
        <v>9193.8854870870273</v>
      </c>
    </row>
    <row r="3247" spans="2:4" x14ac:dyDescent="0.25">
      <c r="B3247">
        <f t="shared" ca="1" si="152"/>
        <v>48578.357354534659</v>
      </c>
      <c r="C3247">
        <f t="shared" ca="1" si="150"/>
        <v>0</v>
      </c>
      <c r="D3247">
        <f t="shared" ca="1" si="151"/>
        <v>8578.357354534659</v>
      </c>
    </row>
    <row r="3248" spans="2:4" x14ac:dyDescent="0.25">
      <c r="B3248">
        <f t="shared" ca="1" si="152"/>
        <v>42094.062029311506</v>
      </c>
      <c r="C3248">
        <f t="shared" ca="1" si="150"/>
        <v>0</v>
      </c>
      <c r="D3248">
        <f t="shared" ca="1" si="151"/>
        <v>2094.0620293115062</v>
      </c>
    </row>
    <row r="3249" spans="2:4" x14ac:dyDescent="0.25">
      <c r="B3249">
        <f t="shared" ca="1" si="152"/>
        <v>38839.690792442729</v>
      </c>
      <c r="C3249">
        <f t="shared" ca="1" si="150"/>
        <v>1160.3092075572713</v>
      </c>
      <c r="D3249">
        <f t="shared" ca="1" si="151"/>
        <v>0</v>
      </c>
    </row>
    <row r="3250" spans="2:4" x14ac:dyDescent="0.25">
      <c r="B3250">
        <f t="shared" ca="1" si="152"/>
        <v>40080.335635144991</v>
      </c>
      <c r="C3250">
        <f t="shared" ca="1" si="150"/>
        <v>0</v>
      </c>
      <c r="D3250">
        <f t="shared" ca="1" si="151"/>
        <v>80.335635144991102</v>
      </c>
    </row>
    <row r="3251" spans="2:4" x14ac:dyDescent="0.25">
      <c r="B3251">
        <f t="shared" ca="1" si="152"/>
        <v>40003.612369519193</v>
      </c>
      <c r="C3251">
        <f t="shared" ca="1" si="150"/>
        <v>0</v>
      </c>
      <c r="D3251">
        <f t="shared" ca="1" si="151"/>
        <v>3.6123695191927254</v>
      </c>
    </row>
    <row r="3252" spans="2:4" x14ac:dyDescent="0.25">
      <c r="B3252">
        <f t="shared" ca="1" si="152"/>
        <v>43653.391985238712</v>
      </c>
      <c r="C3252">
        <f t="shared" ca="1" si="150"/>
        <v>0</v>
      </c>
      <c r="D3252">
        <f t="shared" ca="1" si="151"/>
        <v>3653.3919852387116</v>
      </c>
    </row>
    <row r="3253" spans="2:4" x14ac:dyDescent="0.25">
      <c r="B3253">
        <f t="shared" ca="1" si="152"/>
        <v>46118.530020558232</v>
      </c>
      <c r="C3253">
        <f t="shared" ca="1" si="150"/>
        <v>0</v>
      </c>
      <c r="D3253">
        <f t="shared" ca="1" si="151"/>
        <v>6118.5300205582316</v>
      </c>
    </row>
    <row r="3254" spans="2:4" x14ac:dyDescent="0.25">
      <c r="B3254">
        <f t="shared" ca="1" si="152"/>
        <v>46877.681418378874</v>
      </c>
      <c r="C3254">
        <f t="shared" ca="1" si="150"/>
        <v>0</v>
      </c>
      <c r="D3254">
        <f t="shared" ca="1" si="151"/>
        <v>6877.6814183788738</v>
      </c>
    </row>
    <row r="3255" spans="2:4" x14ac:dyDescent="0.25">
      <c r="B3255">
        <f t="shared" ca="1" si="152"/>
        <v>49334.682827416727</v>
      </c>
      <c r="C3255">
        <f t="shared" ca="1" si="150"/>
        <v>0</v>
      </c>
      <c r="D3255">
        <f t="shared" ca="1" si="151"/>
        <v>9334.6828274167274</v>
      </c>
    </row>
    <row r="3256" spans="2:4" x14ac:dyDescent="0.25">
      <c r="B3256">
        <f t="shared" ca="1" si="152"/>
        <v>46115.010690771989</v>
      </c>
      <c r="C3256">
        <f t="shared" ca="1" si="150"/>
        <v>0</v>
      </c>
      <c r="D3256">
        <f t="shared" ca="1" si="151"/>
        <v>6115.0106907719892</v>
      </c>
    </row>
    <row r="3257" spans="2:4" x14ac:dyDescent="0.25">
      <c r="B3257">
        <f t="shared" ca="1" si="152"/>
        <v>42049.569930726757</v>
      </c>
      <c r="C3257">
        <f t="shared" ca="1" si="150"/>
        <v>0</v>
      </c>
      <c r="D3257">
        <f t="shared" ca="1" si="151"/>
        <v>2049.5699307267569</v>
      </c>
    </row>
    <row r="3258" spans="2:4" x14ac:dyDescent="0.25">
      <c r="B3258">
        <f t="shared" ca="1" si="152"/>
        <v>42569.820735157569</v>
      </c>
      <c r="C3258">
        <f t="shared" ca="1" si="150"/>
        <v>0</v>
      </c>
      <c r="D3258">
        <f t="shared" ca="1" si="151"/>
        <v>2569.8207351575693</v>
      </c>
    </row>
    <row r="3259" spans="2:4" x14ac:dyDescent="0.25">
      <c r="B3259">
        <f t="shared" ca="1" si="152"/>
        <v>41968.363095480665</v>
      </c>
      <c r="C3259">
        <f t="shared" ca="1" si="150"/>
        <v>0</v>
      </c>
      <c r="D3259">
        <f t="shared" ca="1" si="151"/>
        <v>1968.3630954806649</v>
      </c>
    </row>
    <row r="3260" spans="2:4" x14ac:dyDescent="0.25">
      <c r="B3260">
        <f t="shared" ca="1" si="152"/>
        <v>45432.924431416999</v>
      </c>
      <c r="C3260">
        <f t="shared" ca="1" si="150"/>
        <v>0</v>
      </c>
      <c r="D3260">
        <f t="shared" ca="1" si="151"/>
        <v>5432.9244314169991</v>
      </c>
    </row>
    <row r="3261" spans="2:4" x14ac:dyDescent="0.25">
      <c r="B3261">
        <f t="shared" ca="1" si="152"/>
        <v>47966.14485475151</v>
      </c>
      <c r="C3261">
        <f t="shared" ca="1" si="150"/>
        <v>0</v>
      </c>
      <c r="D3261">
        <f t="shared" ca="1" si="151"/>
        <v>7966.1448547515101</v>
      </c>
    </row>
    <row r="3262" spans="2:4" x14ac:dyDescent="0.25">
      <c r="B3262">
        <f t="shared" ca="1" si="152"/>
        <v>46803.775835324624</v>
      </c>
      <c r="C3262">
        <f t="shared" ca="1" si="150"/>
        <v>0</v>
      </c>
      <c r="D3262">
        <f t="shared" ca="1" si="151"/>
        <v>6803.7758353246245</v>
      </c>
    </row>
    <row r="3263" spans="2:4" x14ac:dyDescent="0.25">
      <c r="B3263">
        <f t="shared" ca="1" si="152"/>
        <v>50602.060352364439</v>
      </c>
      <c r="C3263">
        <f t="shared" ca="1" si="150"/>
        <v>0</v>
      </c>
      <c r="D3263">
        <f t="shared" ca="1" si="151"/>
        <v>10602.060352364439</v>
      </c>
    </row>
    <row r="3264" spans="2:4" x14ac:dyDescent="0.25">
      <c r="B3264">
        <f t="shared" ca="1" si="152"/>
        <v>48108.320125965154</v>
      </c>
      <c r="C3264">
        <f t="shared" ca="1" si="150"/>
        <v>0</v>
      </c>
      <c r="D3264">
        <f t="shared" ca="1" si="151"/>
        <v>8108.3201259651541</v>
      </c>
    </row>
    <row r="3265" spans="2:4" x14ac:dyDescent="0.25">
      <c r="B3265">
        <f t="shared" ca="1" si="152"/>
        <v>43386.553699870623</v>
      </c>
      <c r="C3265">
        <f t="shared" ca="1" si="150"/>
        <v>0</v>
      </c>
      <c r="D3265">
        <f t="shared" ca="1" si="151"/>
        <v>3386.5536998706229</v>
      </c>
    </row>
    <row r="3266" spans="2:4" x14ac:dyDescent="0.25">
      <c r="B3266">
        <f t="shared" ca="1" si="152"/>
        <v>45355.664843241408</v>
      </c>
      <c r="C3266">
        <f t="shared" ca="1" si="150"/>
        <v>0</v>
      </c>
      <c r="D3266">
        <f t="shared" ca="1" si="151"/>
        <v>5355.6648432414077</v>
      </c>
    </row>
    <row r="3267" spans="2:4" x14ac:dyDescent="0.25">
      <c r="B3267">
        <f t="shared" ca="1" si="152"/>
        <v>42441.171561692732</v>
      </c>
      <c r="C3267">
        <f t="shared" ca="1" si="150"/>
        <v>0</v>
      </c>
      <c r="D3267">
        <f t="shared" ca="1" si="151"/>
        <v>2441.1715616927322</v>
      </c>
    </row>
    <row r="3268" spans="2:4" x14ac:dyDescent="0.25">
      <c r="B3268">
        <f t="shared" ca="1" si="152"/>
        <v>42047.290907848452</v>
      </c>
      <c r="C3268">
        <f t="shared" ca="1" si="150"/>
        <v>0</v>
      </c>
      <c r="D3268">
        <f t="shared" ca="1" si="151"/>
        <v>2047.2909078484518</v>
      </c>
    </row>
    <row r="3269" spans="2:4" x14ac:dyDescent="0.25">
      <c r="B3269">
        <f t="shared" ca="1" si="152"/>
        <v>53234.367547490678</v>
      </c>
      <c r="C3269">
        <f t="shared" ca="1" si="150"/>
        <v>0</v>
      </c>
      <c r="D3269">
        <f t="shared" ca="1" si="151"/>
        <v>13234.367547490678</v>
      </c>
    </row>
    <row r="3270" spans="2:4" x14ac:dyDescent="0.25">
      <c r="B3270">
        <f t="shared" ca="1" si="152"/>
        <v>40655.552246392755</v>
      </c>
      <c r="C3270">
        <f t="shared" ca="1" si="150"/>
        <v>0</v>
      </c>
      <c r="D3270">
        <f t="shared" ca="1" si="151"/>
        <v>655.55224639275548</v>
      </c>
    </row>
    <row r="3271" spans="2:4" x14ac:dyDescent="0.25">
      <c r="B3271">
        <f t="shared" ca="1" si="152"/>
        <v>46590.317507743159</v>
      </c>
      <c r="C3271">
        <f t="shared" ca="1" si="150"/>
        <v>0</v>
      </c>
      <c r="D3271">
        <f t="shared" ca="1" si="151"/>
        <v>6590.3175077431588</v>
      </c>
    </row>
    <row r="3272" spans="2:4" x14ac:dyDescent="0.25">
      <c r="B3272">
        <f t="shared" ca="1" si="152"/>
        <v>43419.001289128348</v>
      </c>
      <c r="C3272">
        <f t="shared" ca="1" si="150"/>
        <v>0</v>
      </c>
      <c r="D3272">
        <f t="shared" ca="1" si="151"/>
        <v>3419.0012891283477</v>
      </c>
    </row>
    <row r="3273" spans="2:4" x14ac:dyDescent="0.25">
      <c r="B3273">
        <f t="shared" ca="1" si="152"/>
        <v>52065.004106966073</v>
      </c>
      <c r="C3273">
        <f t="shared" ca="1" si="150"/>
        <v>0</v>
      </c>
      <c r="D3273">
        <f t="shared" ca="1" si="151"/>
        <v>12065.004106966073</v>
      </c>
    </row>
    <row r="3274" spans="2:4" x14ac:dyDescent="0.25">
      <c r="B3274">
        <f t="shared" ca="1" si="152"/>
        <v>47271.173765849213</v>
      </c>
      <c r="C3274">
        <f t="shared" ca="1" si="150"/>
        <v>0</v>
      </c>
      <c r="D3274">
        <f t="shared" ca="1" si="151"/>
        <v>7271.1737658492129</v>
      </c>
    </row>
    <row r="3275" spans="2:4" x14ac:dyDescent="0.25">
      <c r="B3275">
        <f t="shared" ca="1" si="152"/>
        <v>42266.046191383328</v>
      </c>
      <c r="C3275">
        <f t="shared" ca="1" si="150"/>
        <v>0</v>
      </c>
      <c r="D3275">
        <f t="shared" ca="1" si="151"/>
        <v>2266.0461913833278</v>
      </c>
    </row>
    <row r="3276" spans="2:4" x14ac:dyDescent="0.25">
      <c r="B3276">
        <f t="shared" ca="1" si="152"/>
        <v>58069.731699824952</v>
      </c>
      <c r="C3276">
        <f t="shared" ref="C3276:C3339" ca="1" si="153">IF(MAX($B$2-B3276)&lt;0,0,$B$2-B3276)</f>
        <v>0</v>
      </c>
      <c r="D3276">
        <f t="shared" ref="D3276:D3339" ca="1" si="154">IF(MAX(B3276-$B$2)&lt;0,0,B3276-$B$2)</f>
        <v>18069.731699824952</v>
      </c>
    </row>
    <row r="3277" spans="2:4" x14ac:dyDescent="0.25">
      <c r="B3277">
        <f t="shared" ref="B3277:B3340" ca="1" si="155">$B$1*EXP((($B$4-($B$3^2)/2)*$B$5+$B$3*SQRT($B$5)*NORMSINV(RAND())))</f>
        <v>47218.584205444262</v>
      </c>
      <c r="C3277">
        <f t="shared" ca="1" si="153"/>
        <v>0</v>
      </c>
      <c r="D3277">
        <f t="shared" ca="1" si="154"/>
        <v>7218.5842054442619</v>
      </c>
    </row>
    <row r="3278" spans="2:4" x14ac:dyDescent="0.25">
      <c r="B3278">
        <f t="shared" ca="1" si="155"/>
        <v>41417.679225657594</v>
      </c>
      <c r="C3278">
        <f t="shared" ca="1" si="153"/>
        <v>0</v>
      </c>
      <c r="D3278">
        <f t="shared" ca="1" si="154"/>
        <v>1417.6792256575936</v>
      </c>
    </row>
    <row r="3279" spans="2:4" x14ac:dyDescent="0.25">
      <c r="B3279">
        <f t="shared" ca="1" si="155"/>
        <v>53461.265331423587</v>
      </c>
      <c r="C3279">
        <f t="shared" ca="1" si="153"/>
        <v>0</v>
      </c>
      <c r="D3279">
        <f t="shared" ca="1" si="154"/>
        <v>13461.265331423587</v>
      </c>
    </row>
    <row r="3280" spans="2:4" x14ac:dyDescent="0.25">
      <c r="B3280">
        <f t="shared" ca="1" si="155"/>
        <v>47309.382348134932</v>
      </c>
      <c r="C3280">
        <f t="shared" ca="1" si="153"/>
        <v>0</v>
      </c>
      <c r="D3280">
        <f t="shared" ca="1" si="154"/>
        <v>7309.3823481349318</v>
      </c>
    </row>
    <row r="3281" spans="2:4" x14ac:dyDescent="0.25">
      <c r="B3281">
        <f t="shared" ca="1" si="155"/>
        <v>42136.354243080335</v>
      </c>
      <c r="C3281">
        <f t="shared" ca="1" si="153"/>
        <v>0</v>
      </c>
      <c r="D3281">
        <f t="shared" ca="1" si="154"/>
        <v>2136.3542430803354</v>
      </c>
    </row>
    <row r="3282" spans="2:4" x14ac:dyDescent="0.25">
      <c r="B3282">
        <f t="shared" ca="1" si="155"/>
        <v>50738.136548519775</v>
      </c>
      <c r="C3282">
        <f t="shared" ca="1" si="153"/>
        <v>0</v>
      </c>
      <c r="D3282">
        <f t="shared" ca="1" si="154"/>
        <v>10738.136548519775</v>
      </c>
    </row>
    <row r="3283" spans="2:4" x14ac:dyDescent="0.25">
      <c r="B3283">
        <f t="shared" ca="1" si="155"/>
        <v>42967.050972012214</v>
      </c>
      <c r="C3283">
        <f t="shared" ca="1" si="153"/>
        <v>0</v>
      </c>
      <c r="D3283">
        <f t="shared" ca="1" si="154"/>
        <v>2967.0509720122136</v>
      </c>
    </row>
    <row r="3284" spans="2:4" x14ac:dyDescent="0.25">
      <c r="B3284">
        <f t="shared" ca="1" si="155"/>
        <v>54663.091936744335</v>
      </c>
      <c r="C3284">
        <f t="shared" ca="1" si="153"/>
        <v>0</v>
      </c>
      <c r="D3284">
        <f t="shared" ca="1" si="154"/>
        <v>14663.091936744335</v>
      </c>
    </row>
    <row r="3285" spans="2:4" x14ac:dyDescent="0.25">
      <c r="B3285">
        <f t="shared" ca="1" si="155"/>
        <v>44598.430466755897</v>
      </c>
      <c r="C3285">
        <f t="shared" ca="1" si="153"/>
        <v>0</v>
      </c>
      <c r="D3285">
        <f t="shared" ca="1" si="154"/>
        <v>4598.4304667558972</v>
      </c>
    </row>
    <row r="3286" spans="2:4" x14ac:dyDescent="0.25">
      <c r="B3286">
        <f t="shared" ca="1" si="155"/>
        <v>46683.722652946788</v>
      </c>
      <c r="C3286">
        <f t="shared" ca="1" si="153"/>
        <v>0</v>
      </c>
      <c r="D3286">
        <f t="shared" ca="1" si="154"/>
        <v>6683.722652946788</v>
      </c>
    </row>
    <row r="3287" spans="2:4" x14ac:dyDescent="0.25">
      <c r="B3287">
        <f t="shared" ca="1" si="155"/>
        <v>42674.24156038912</v>
      </c>
      <c r="C3287">
        <f t="shared" ca="1" si="153"/>
        <v>0</v>
      </c>
      <c r="D3287">
        <f t="shared" ca="1" si="154"/>
        <v>2674.2415603891204</v>
      </c>
    </row>
    <row r="3288" spans="2:4" x14ac:dyDescent="0.25">
      <c r="B3288">
        <f t="shared" ca="1" si="155"/>
        <v>40932.283794169773</v>
      </c>
      <c r="C3288">
        <f t="shared" ca="1" si="153"/>
        <v>0</v>
      </c>
      <c r="D3288">
        <f t="shared" ca="1" si="154"/>
        <v>932.28379416977259</v>
      </c>
    </row>
    <row r="3289" spans="2:4" x14ac:dyDescent="0.25">
      <c r="B3289">
        <f t="shared" ca="1" si="155"/>
        <v>48450.674503267372</v>
      </c>
      <c r="C3289">
        <f t="shared" ca="1" si="153"/>
        <v>0</v>
      </c>
      <c r="D3289">
        <f t="shared" ca="1" si="154"/>
        <v>8450.6745032673716</v>
      </c>
    </row>
    <row r="3290" spans="2:4" x14ac:dyDescent="0.25">
      <c r="B3290">
        <f t="shared" ca="1" si="155"/>
        <v>41987.940193107708</v>
      </c>
      <c r="C3290">
        <f t="shared" ca="1" si="153"/>
        <v>0</v>
      </c>
      <c r="D3290">
        <f t="shared" ca="1" si="154"/>
        <v>1987.9401931077082</v>
      </c>
    </row>
    <row r="3291" spans="2:4" x14ac:dyDescent="0.25">
      <c r="B3291">
        <f t="shared" ca="1" si="155"/>
        <v>47664.763806411262</v>
      </c>
      <c r="C3291">
        <f t="shared" ca="1" si="153"/>
        <v>0</v>
      </c>
      <c r="D3291">
        <f t="shared" ca="1" si="154"/>
        <v>7664.7638064112616</v>
      </c>
    </row>
    <row r="3292" spans="2:4" x14ac:dyDescent="0.25">
      <c r="B3292">
        <f t="shared" ca="1" si="155"/>
        <v>37293.672068486158</v>
      </c>
      <c r="C3292">
        <f t="shared" ca="1" si="153"/>
        <v>2706.3279315138425</v>
      </c>
      <c r="D3292">
        <f t="shared" ca="1" si="154"/>
        <v>0</v>
      </c>
    </row>
    <row r="3293" spans="2:4" x14ac:dyDescent="0.25">
      <c r="B3293">
        <f t="shared" ca="1" si="155"/>
        <v>49354.229574464094</v>
      </c>
      <c r="C3293">
        <f t="shared" ca="1" si="153"/>
        <v>0</v>
      </c>
      <c r="D3293">
        <f t="shared" ca="1" si="154"/>
        <v>9354.2295744640942</v>
      </c>
    </row>
    <row r="3294" spans="2:4" x14ac:dyDescent="0.25">
      <c r="B3294">
        <f t="shared" ca="1" si="155"/>
        <v>37727.057352669253</v>
      </c>
      <c r="C3294">
        <f t="shared" ca="1" si="153"/>
        <v>2272.9426473307467</v>
      </c>
      <c r="D3294">
        <f t="shared" ca="1" si="154"/>
        <v>0</v>
      </c>
    </row>
    <row r="3295" spans="2:4" x14ac:dyDescent="0.25">
      <c r="B3295">
        <f t="shared" ca="1" si="155"/>
        <v>41953.795380268704</v>
      </c>
      <c r="C3295">
        <f t="shared" ca="1" si="153"/>
        <v>0</v>
      </c>
      <c r="D3295">
        <f t="shared" ca="1" si="154"/>
        <v>1953.7953802687043</v>
      </c>
    </row>
    <row r="3296" spans="2:4" x14ac:dyDescent="0.25">
      <c r="B3296">
        <f t="shared" ca="1" si="155"/>
        <v>42731.734541682396</v>
      </c>
      <c r="C3296">
        <f t="shared" ca="1" si="153"/>
        <v>0</v>
      </c>
      <c r="D3296">
        <f t="shared" ca="1" si="154"/>
        <v>2731.7345416823955</v>
      </c>
    </row>
    <row r="3297" spans="2:4" x14ac:dyDescent="0.25">
      <c r="B3297">
        <f t="shared" ca="1" si="155"/>
        <v>47831.304169247749</v>
      </c>
      <c r="C3297">
        <f t="shared" ca="1" si="153"/>
        <v>0</v>
      </c>
      <c r="D3297">
        <f t="shared" ca="1" si="154"/>
        <v>7831.3041692477491</v>
      </c>
    </row>
    <row r="3298" spans="2:4" x14ac:dyDescent="0.25">
      <c r="B3298">
        <f t="shared" ca="1" si="155"/>
        <v>39002.810462989546</v>
      </c>
      <c r="C3298">
        <f t="shared" ca="1" si="153"/>
        <v>997.18953701045393</v>
      </c>
      <c r="D3298">
        <f t="shared" ca="1" si="154"/>
        <v>0</v>
      </c>
    </row>
    <row r="3299" spans="2:4" x14ac:dyDescent="0.25">
      <c r="B3299">
        <f t="shared" ca="1" si="155"/>
        <v>47494.096906567313</v>
      </c>
      <c r="C3299">
        <f t="shared" ca="1" si="153"/>
        <v>0</v>
      </c>
      <c r="D3299">
        <f t="shared" ca="1" si="154"/>
        <v>7494.0969065673125</v>
      </c>
    </row>
    <row r="3300" spans="2:4" x14ac:dyDescent="0.25">
      <c r="B3300">
        <f t="shared" ca="1" si="155"/>
        <v>40223.604539620297</v>
      </c>
      <c r="C3300">
        <f t="shared" ca="1" si="153"/>
        <v>0</v>
      </c>
      <c r="D3300">
        <f t="shared" ca="1" si="154"/>
        <v>223.60453962029715</v>
      </c>
    </row>
    <row r="3301" spans="2:4" x14ac:dyDescent="0.25">
      <c r="B3301">
        <f t="shared" ca="1" si="155"/>
        <v>49967.558927786362</v>
      </c>
      <c r="C3301">
        <f t="shared" ca="1" si="153"/>
        <v>0</v>
      </c>
      <c r="D3301">
        <f t="shared" ca="1" si="154"/>
        <v>9967.5589277863619</v>
      </c>
    </row>
    <row r="3302" spans="2:4" x14ac:dyDescent="0.25">
      <c r="B3302">
        <f t="shared" ca="1" si="155"/>
        <v>43379.588107784031</v>
      </c>
      <c r="C3302">
        <f t="shared" ca="1" si="153"/>
        <v>0</v>
      </c>
      <c r="D3302">
        <f t="shared" ca="1" si="154"/>
        <v>3379.5881077840313</v>
      </c>
    </row>
    <row r="3303" spans="2:4" x14ac:dyDescent="0.25">
      <c r="B3303">
        <f t="shared" ca="1" si="155"/>
        <v>42481.041240122409</v>
      </c>
      <c r="C3303">
        <f t="shared" ca="1" si="153"/>
        <v>0</v>
      </c>
      <c r="D3303">
        <f t="shared" ca="1" si="154"/>
        <v>2481.0412401224094</v>
      </c>
    </row>
    <row r="3304" spans="2:4" x14ac:dyDescent="0.25">
      <c r="B3304">
        <f t="shared" ca="1" si="155"/>
        <v>46560.841637218444</v>
      </c>
      <c r="C3304">
        <f t="shared" ca="1" si="153"/>
        <v>0</v>
      </c>
      <c r="D3304">
        <f t="shared" ca="1" si="154"/>
        <v>6560.8416372184438</v>
      </c>
    </row>
    <row r="3305" spans="2:4" x14ac:dyDescent="0.25">
      <c r="B3305">
        <f t="shared" ca="1" si="155"/>
        <v>42018.047440157265</v>
      </c>
      <c r="C3305">
        <f t="shared" ca="1" si="153"/>
        <v>0</v>
      </c>
      <c r="D3305">
        <f t="shared" ca="1" si="154"/>
        <v>2018.0474401572646</v>
      </c>
    </row>
    <row r="3306" spans="2:4" x14ac:dyDescent="0.25">
      <c r="B3306">
        <f t="shared" ca="1" si="155"/>
        <v>43627.713576557973</v>
      </c>
      <c r="C3306">
        <f t="shared" ca="1" si="153"/>
        <v>0</v>
      </c>
      <c r="D3306">
        <f t="shared" ca="1" si="154"/>
        <v>3627.7135765579733</v>
      </c>
    </row>
    <row r="3307" spans="2:4" x14ac:dyDescent="0.25">
      <c r="B3307">
        <f t="shared" ca="1" si="155"/>
        <v>37777.363552414419</v>
      </c>
      <c r="C3307">
        <f t="shared" ca="1" si="153"/>
        <v>2222.6364475855808</v>
      </c>
      <c r="D3307">
        <f t="shared" ca="1" si="154"/>
        <v>0</v>
      </c>
    </row>
    <row r="3308" spans="2:4" x14ac:dyDescent="0.25">
      <c r="B3308">
        <f t="shared" ca="1" si="155"/>
        <v>47323.783827289299</v>
      </c>
      <c r="C3308">
        <f t="shared" ca="1" si="153"/>
        <v>0</v>
      </c>
      <c r="D3308">
        <f t="shared" ca="1" si="154"/>
        <v>7323.7838272892986</v>
      </c>
    </row>
    <row r="3309" spans="2:4" x14ac:dyDescent="0.25">
      <c r="B3309">
        <f t="shared" ca="1" si="155"/>
        <v>40937.006123005427</v>
      </c>
      <c r="C3309">
        <f t="shared" ca="1" si="153"/>
        <v>0</v>
      </c>
      <c r="D3309">
        <f t="shared" ca="1" si="154"/>
        <v>937.00612300542707</v>
      </c>
    </row>
    <row r="3310" spans="2:4" x14ac:dyDescent="0.25">
      <c r="B3310">
        <f t="shared" ca="1" si="155"/>
        <v>47784.289365079603</v>
      </c>
      <c r="C3310">
        <f t="shared" ca="1" si="153"/>
        <v>0</v>
      </c>
      <c r="D3310">
        <f t="shared" ca="1" si="154"/>
        <v>7784.2893650796032</v>
      </c>
    </row>
    <row r="3311" spans="2:4" x14ac:dyDescent="0.25">
      <c r="B3311">
        <f t="shared" ca="1" si="155"/>
        <v>44473.422033862204</v>
      </c>
      <c r="C3311">
        <f t="shared" ca="1" si="153"/>
        <v>0</v>
      </c>
      <c r="D3311">
        <f t="shared" ca="1" si="154"/>
        <v>4473.4220338622035</v>
      </c>
    </row>
    <row r="3312" spans="2:4" x14ac:dyDescent="0.25">
      <c r="B3312">
        <f t="shared" ca="1" si="155"/>
        <v>39957.498705254518</v>
      </c>
      <c r="C3312">
        <f t="shared" ca="1" si="153"/>
        <v>42.501294745481573</v>
      </c>
      <c r="D3312">
        <f t="shared" ca="1" si="154"/>
        <v>0</v>
      </c>
    </row>
    <row r="3313" spans="2:4" x14ac:dyDescent="0.25">
      <c r="B3313">
        <f t="shared" ca="1" si="155"/>
        <v>36361.306329178951</v>
      </c>
      <c r="C3313">
        <f t="shared" ca="1" si="153"/>
        <v>3638.6936708210487</v>
      </c>
      <c r="D3313">
        <f t="shared" ca="1" si="154"/>
        <v>0</v>
      </c>
    </row>
    <row r="3314" spans="2:4" x14ac:dyDescent="0.25">
      <c r="B3314">
        <f t="shared" ca="1" si="155"/>
        <v>38108.790483307952</v>
      </c>
      <c r="C3314">
        <f t="shared" ca="1" si="153"/>
        <v>1891.2095166920481</v>
      </c>
      <c r="D3314">
        <f t="shared" ca="1" si="154"/>
        <v>0</v>
      </c>
    </row>
    <row r="3315" spans="2:4" x14ac:dyDescent="0.25">
      <c r="B3315">
        <f t="shared" ca="1" si="155"/>
        <v>43813.853577203896</v>
      </c>
      <c r="C3315">
        <f t="shared" ca="1" si="153"/>
        <v>0</v>
      </c>
      <c r="D3315">
        <f t="shared" ca="1" si="154"/>
        <v>3813.8535772038958</v>
      </c>
    </row>
    <row r="3316" spans="2:4" x14ac:dyDescent="0.25">
      <c r="B3316">
        <f t="shared" ca="1" si="155"/>
        <v>39484.31890671001</v>
      </c>
      <c r="C3316">
        <f t="shared" ca="1" si="153"/>
        <v>515.6810932899898</v>
      </c>
      <c r="D3316">
        <f t="shared" ca="1" si="154"/>
        <v>0</v>
      </c>
    </row>
    <row r="3317" spans="2:4" x14ac:dyDescent="0.25">
      <c r="B3317">
        <f t="shared" ca="1" si="155"/>
        <v>50944.666336186528</v>
      </c>
      <c r="C3317">
        <f t="shared" ca="1" si="153"/>
        <v>0</v>
      </c>
      <c r="D3317">
        <f t="shared" ca="1" si="154"/>
        <v>10944.666336186528</v>
      </c>
    </row>
    <row r="3318" spans="2:4" x14ac:dyDescent="0.25">
      <c r="B3318">
        <f t="shared" ca="1" si="155"/>
        <v>40980.741578196532</v>
      </c>
      <c r="C3318">
        <f t="shared" ca="1" si="153"/>
        <v>0</v>
      </c>
      <c r="D3318">
        <f t="shared" ca="1" si="154"/>
        <v>980.74157819653192</v>
      </c>
    </row>
    <row r="3319" spans="2:4" x14ac:dyDescent="0.25">
      <c r="B3319">
        <f t="shared" ca="1" si="155"/>
        <v>54125.163203892145</v>
      </c>
      <c r="C3319">
        <f t="shared" ca="1" si="153"/>
        <v>0</v>
      </c>
      <c r="D3319">
        <f t="shared" ca="1" si="154"/>
        <v>14125.163203892145</v>
      </c>
    </row>
    <row r="3320" spans="2:4" x14ac:dyDescent="0.25">
      <c r="B3320">
        <f t="shared" ca="1" si="155"/>
        <v>45160.410303650322</v>
      </c>
      <c r="C3320">
        <f t="shared" ca="1" si="153"/>
        <v>0</v>
      </c>
      <c r="D3320">
        <f t="shared" ca="1" si="154"/>
        <v>5160.410303650322</v>
      </c>
    </row>
    <row r="3321" spans="2:4" x14ac:dyDescent="0.25">
      <c r="B3321">
        <f t="shared" ca="1" si="155"/>
        <v>38157.108189757477</v>
      </c>
      <c r="C3321">
        <f t="shared" ca="1" si="153"/>
        <v>1842.8918102425232</v>
      </c>
      <c r="D3321">
        <f t="shared" ca="1" si="154"/>
        <v>0</v>
      </c>
    </row>
    <row r="3322" spans="2:4" x14ac:dyDescent="0.25">
      <c r="B3322">
        <f t="shared" ca="1" si="155"/>
        <v>43141.339924226042</v>
      </c>
      <c r="C3322">
        <f t="shared" ca="1" si="153"/>
        <v>0</v>
      </c>
      <c r="D3322">
        <f t="shared" ca="1" si="154"/>
        <v>3141.3399242260421</v>
      </c>
    </row>
    <row r="3323" spans="2:4" x14ac:dyDescent="0.25">
      <c r="B3323">
        <f t="shared" ca="1" si="155"/>
        <v>39420.281925265517</v>
      </c>
      <c r="C3323">
        <f t="shared" ca="1" si="153"/>
        <v>579.7180747344828</v>
      </c>
      <c r="D3323">
        <f t="shared" ca="1" si="154"/>
        <v>0</v>
      </c>
    </row>
    <row r="3324" spans="2:4" x14ac:dyDescent="0.25">
      <c r="B3324">
        <f t="shared" ca="1" si="155"/>
        <v>42439.093606106682</v>
      </c>
      <c r="C3324">
        <f t="shared" ca="1" si="153"/>
        <v>0</v>
      </c>
      <c r="D3324">
        <f t="shared" ca="1" si="154"/>
        <v>2439.0936061066823</v>
      </c>
    </row>
    <row r="3325" spans="2:4" x14ac:dyDescent="0.25">
      <c r="B3325">
        <f t="shared" ca="1" si="155"/>
        <v>43319.545644024489</v>
      </c>
      <c r="C3325">
        <f t="shared" ca="1" si="153"/>
        <v>0</v>
      </c>
      <c r="D3325">
        <f t="shared" ca="1" si="154"/>
        <v>3319.5456440244889</v>
      </c>
    </row>
    <row r="3326" spans="2:4" x14ac:dyDescent="0.25">
      <c r="B3326">
        <f t="shared" ca="1" si="155"/>
        <v>45792.660598599214</v>
      </c>
      <c r="C3326">
        <f t="shared" ca="1" si="153"/>
        <v>0</v>
      </c>
      <c r="D3326">
        <f t="shared" ca="1" si="154"/>
        <v>5792.6605985992137</v>
      </c>
    </row>
    <row r="3327" spans="2:4" x14ac:dyDescent="0.25">
      <c r="B3327">
        <f t="shared" ca="1" si="155"/>
        <v>46692.46773313357</v>
      </c>
      <c r="C3327">
        <f t="shared" ca="1" si="153"/>
        <v>0</v>
      </c>
      <c r="D3327">
        <f t="shared" ca="1" si="154"/>
        <v>6692.4677331335697</v>
      </c>
    </row>
    <row r="3328" spans="2:4" x14ac:dyDescent="0.25">
      <c r="B3328">
        <f t="shared" ca="1" si="155"/>
        <v>38425.784128116684</v>
      </c>
      <c r="C3328">
        <f t="shared" ca="1" si="153"/>
        <v>1574.2158718833161</v>
      </c>
      <c r="D3328">
        <f t="shared" ca="1" si="154"/>
        <v>0</v>
      </c>
    </row>
    <row r="3329" spans="2:4" x14ac:dyDescent="0.25">
      <c r="B3329">
        <f t="shared" ca="1" si="155"/>
        <v>42860.058466990609</v>
      </c>
      <c r="C3329">
        <f t="shared" ca="1" si="153"/>
        <v>0</v>
      </c>
      <c r="D3329">
        <f t="shared" ca="1" si="154"/>
        <v>2860.0584669906093</v>
      </c>
    </row>
    <row r="3330" spans="2:4" x14ac:dyDescent="0.25">
      <c r="B3330">
        <f t="shared" ca="1" si="155"/>
        <v>44087.189075468195</v>
      </c>
      <c r="C3330">
        <f t="shared" ca="1" si="153"/>
        <v>0</v>
      </c>
      <c r="D3330">
        <f t="shared" ca="1" si="154"/>
        <v>4087.1890754681954</v>
      </c>
    </row>
    <row r="3331" spans="2:4" x14ac:dyDescent="0.25">
      <c r="B3331">
        <f t="shared" ca="1" si="155"/>
        <v>40406.633499743257</v>
      </c>
      <c r="C3331">
        <f t="shared" ca="1" si="153"/>
        <v>0</v>
      </c>
      <c r="D3331">
        <f t="shared" ca="1" si="154"/>
        <v>406.63349974325683</v>
      </c>
    </row>
    <row r="3332" spans="2:4" x14ac:dyDescent="0.25">
      <c r="B3332">
        <f t="shared" ca="1" si="155"/>
        <v>46412.235600864413</v>
      </c>
      <c r="C3332">
        <f t="shared" ca="1" si="153"/>
        <v>0</v>
      </c>
      <c r="D3332">
        <f t="shared" ca="1" si="154"/>
        <v>6412.2356008644128</v>
      </c>
    </row>
    <row r="3333" spans="2:4" x14ac:dyDescent="0.25">
      <c r="B3333">
        <f t="shared" ca="1" si="155"/>
        <v>47925.670468094853</v>
      </c>
      <c r="C3333">
        <f t="shared" ca="1" si="153"/>
        <v>0</v>
      </c>
      <c r="D3333">
        <f t="shared" ca="1" si="154"/>
        <v>7925.6704680948533</v>
      </c>
    </row>
    <row r="3334" spans="2:4" x14ac:dyDescent="0.25">
      <c r="B3334">
        <f t="shared" ca="1" si="155"/>
        <v>44489.939661117962</v>
      </c>
      <c r="C3334">
        <f t="shared" ca="1" si="153"/>
        <v>0</v>
      </c>
      <c r="D3334">
        <f t="shared" ca="1" si="154"/>
        <v>4489.9396611179618</v>
      </c>
    </row>
    <row r="3335" spans="2:4" x14ac:dyDescent="0.25">
      <c r="B3335">
        <f t="shared" ca="1" si="155"/>
        <v>48540.70179935437</v>
      </c>
      <c r="C3335">
        <f t="shared" ca="1" si="153"/>
        <v>0</v>
      </c>
      <c r="D3335">
        <f t="shared" ca="1" si="154"/>
        <v>8540.7017993543705</v>
      </c>
    </row>
    <row r="3336" spans="2:4" x14ac:dyDescent="0.25">
      <c r="B3336">
        <f t="shared" ca="1" si="155"/>
        <v>46537.495358771521</v>
      </c>
      <c r="C3336">
        <f t="shared" ca="1" si="153"/>
        <v>0</v>
      </c>
      <c r="D3336">
        <f t="shared" ca="1" si="154"/>
        <v>6537.4953587715208</v>
      </c>
    </row>
    <row r="3337" spans="2:4" x14ac:dyDescent="0.25">
      <c r="B3337">
        <f t="shared" ca="1" si="155"/>
        <v>44944.194509986366</v>
      </c>
      <c r="C3337">
        <f t="shared" ca="1" si="153"/>
        <v>0</v>
      </c>
      <c r="D3337">
        <f t="shared" ca="1" si="154"/>
        <v>4944.194509986366</v>
      </c>
    </row>
    <row r="3338" spans="2:4" x14ac:dyDescent="0.25">
      <c r="B3338">
        <f t="shared" ca="1" si="155"/>
        <v>49790.342499240265</v>
      </c>
      <c r="C3338">
        <f t="shared" ca="1" si="153"/>
        <v>0</v>
      </c>
      <c r="D3338">
        <f t="shared" ca="1" si="154"/>
        <v>9790.3424992402652</v>
      </c>
    </row>
    <row r="3339" spans="2:4" x14ac:dyDescent="0.25">
      <c r="B3339">
        <f t="shared" ca="1" si="155"/>
        <v>40296.741184769955</v>
      </c>
      <c r="C3339">
        <f t="shared" ca="1" si="153"/>
        <v>0</v>
      </c>
      <c r="D3339">
        <f t="shared" ca="1" si="154"/>
        <v>296.741184769955</v>
      </c>
    </row>
    <row r="3340" spans="2:4" x14ac:dyDescent="0.25">
      <c r="B3340">
        <f t="shared" ca="1" si="155"/>
        <v>41606.8169066798</v>
      </c>
      <c r="C3340">
        <f t="shared" ref="C3340:C3403" ca="1" si="156">IF(MAX($B$2-B3340)&lt;0,0,$B$2-B3340)</f>
        <v>0</v>
      </c>
      <c r="D3340">
        <f t="shared" ref="D3340:D3403" ca="1" si="157">IF(MAX(B3340-$B$2)&lt;0,0,B3340-$B$2)</f>
        <v>1606.8169066798</v>
      </c>
    </row>
    <row r="3341" spans="2:4" x14ac:dyDescent="0.25">
      <c r="B3341">
        <f t="shared" ref="B3341:B3404" ca="1" si="158">$B$1*EXP((($B$4-($B$3^2)/2)*$B$5+$B$3*SQRT($B$5)*NORMSINV(RAND())))</f>
        <v>41547.477707170212</v>
      </c>
      <c r="C3341">
        <f t="shared" ca="1" si="156"/>
        <v>0</v>
      </c>
      <c r="D3341">
        <f t="shared" ca="1" si="157"/>
        <v>1547.4777071702119</v>
      </c>
    </row>
    <row r="3342" spans="2:4" x14ac:dyDescent="0.25">
      <c r="B3342">
        <f t="shared" ca="1" si="158"/>
        <v>43325.552622056959</v>
      </c>
      <c r="C3342">
        <f t="shared" ca="1" si="156"/>
        <v>0</v>
      </c>
      <c r="D3342">
        <f t="shared" ca="1" si="157"/>
        <v>3325.5526220569591</v>
      </c>
    </row>
    <row r="3343" spans="2:4" x14ac:dyDescent="0.25">
      <c r="B3343">
        <f t="shared" ca="1" si="158"/>
        <v>50326.070954807947</v>
      </c>
      <c r="C3343">
        <f t="shared" ca="1" si="156"/>
        <v>0</v>
      </c>
      <c r="D3343">
        <f t="shared" ca="1" si="157"/>
        <v>10326.070954807947</v>
      </c>
    </row>
    <row r="3344" spans="2:4" x14ac:dyDescent="0.25">
      <c r="B3344">
        <f t="shared" ca="1" si="158"/>
        <v>44421.70996803337</v>
      </c>
      <c r="C3344">
        <f t="shared" ca="1" si="156"/>
        <v>0</v>
      </c>
      <c r="D3344">
        <f t="shared" ca="1" si="157"/>
        <v>4421.7099680333704</v>
      </c>
    </row>
    <row r="3345" spans="2:4" x14ac:dyDescent="0.25">
      <c r="B3345">
        <f t="shared" ca="1" si="158"/>
        <v>44925.234742736226</v>
      </c>
      <c r="C3345">
        <f t="shared" ca="1" si="156"/>
        <v>0</v>
      </c>
      <c r="D3345">
        <f t="shared" ca="1" si="157"/>
        <v>4925.2347427362256</v>
      </c>
    </row>
    <row r="3346" spans="2:4" x14ac:dyDescent="0.25">
      <c r="B3346">
        <f t="shared" ca="1" si="158"/>
        <v>37636.006076086844</v>
      </c>
      <c r="C3346">
        <f t="shared" ca="1" si="156"/>
        <v>2363.9939239131563</v>
      </c>
      <c r="D3346">
        <f t="shared" ca="1" si="157"/>
        <v>0</v>
      </c>
    </row>
    <row r="3347" spans="2:4" x14ac:dyDescent="0.25">
      <c r="B3347">
        <f t="shared" ca="1" si="158"/>
        <v>52511.098291686969</v>
      </c>
      <c r="C3347">
        <f t="shared" ca="1" si="156"/>
        <v>0</v>
      </c>
      <c r="D3347">
        <f t="shared" ca="1" si="157"/>
        <v>12511.098291686969</v>
      </c>
    </row>
    <row r="3348" spans="2:4" x14ac:dyDescent="0.25">
      <c r="B3348">
        <f t="shared" ca="1" si="158"/>
        <v>38835.533856929025</v>
      </c>
      <c r="C3348">
        <f t="shared" ca="1" si="156"/>
        <v>1164.4661430709748</v>
      </c>
      <c r="D3348">
        <f t="shared" ca="1" si="157"/>
        <v>0</v>
      </c>
    </row>
    <row r="3349" spans="2:4" x14ac:dyDescent="0.25">
      <c r="B3349">
        <f t="shared" ca="1" si="158"/>
        <v>44573.08344252898</v>
      </c>
      <c r="C3349">
        <f t="shared" ca="1" si="156"/>
        <v>0</v>
      </c>
      <c r="D3349">
        <f t="shared" ca="1" si="157"/>
        <v>4573.0834425289795</v>
      </c>
    </row>
    <row r="3350" spans="2:4" x14ac:dyDescent="0.25">
      <c r="B3350">
        <f t="shared" ca="1" si="158"/>
        <v>49196.785220551566</v>
      </c>
      <c r="C3350">
        <f t="shared" ca="1" si="156"/>
        <v>0</v>
      </c>
      <c r="D3350">
        <f t="shared" ca="1" si="157"/>
        <v>9196.7852205515665</v>
      </c>
    </row>
    <row r="3351" spans="2:4" x14ac:dyDescent="0.25">
      <c r="B3351">
        <f t="shared" ca="1" si="158"/>
        <v>42921.724570352242</v>
      </c>
      <c r="C3351">
        <f t="shared" ca="1" si="156"/>
        <v>0</v>
      </c>
      <c r="D3351">
        <f t="shared" ca="1" si="157"/>
        <v>2921.7245703522422</v>
      </c>
    </row>
    <row r="3352" spans="2:4" x14ac:dyDescent="0.25">
      <c r="B3352">
        <f t="shared" ca="1" si="158"/>
        <v>40708.847577589258</v>
      </c>
      <c r="C3352">
        <f t="shared" ca="1" si="156"/>
        <v>0</v>
      </c>
      <c r="D3352">
        <f t="shared" ca="1" si="157"/>
        <v>708.84757758925844</v>
      </c>
    </row>
    <row r="3353" spans="2:4" x14ac:dyDescent="0.25">
      <c r="B3353">
        <f t="shared" ca="1" si="158"/>
        <v>45092.785865464466</v>
      </c>
      <c r="C3353">
        <f t="shared" ca="1" si="156"/>
        <v>0</v>
      </c>
      <c r="D3353">
        <f t="shared" ca="1" si="157"/>
        <v>5092.785865464466</v>
      </c>
    </row>
    <row r="3354" spans="2:4" x14ac:dyDescent="0.25">
      <c r="B3354">
        <f t="shared" ca="1" si="158"/>
        <v>49380.719682636794</v>
      </c>
      <c r="C3354">
        <f t="shared" ca="1" si="156"/>
        <v>0</v>
      </c>
      <c r="D3354">
        <f t="shared" ca="1" si="157"/>
        <v>9380.7196826367945</v>
      </c>
    </row>
    <row r="3355" spans="2:4" x14ac:dyDescent="0.25">
      <c r="B3355">
        <f t="shared" ca="1" si="158"/>
        <v>47943.560028138738</v>
      </c>
      <c r="C3355">
        <f t="shared" ca="1" si="156"/>
        <v>0</v>
      </c>
      <c r="D3355">
        <f t="shared" ca="1" si="157"/>
        <v>7943.5600281387378</v>
      </c>
    </row>
    <row r="3356" spans="2:4" x14ac:dyDescent="0.25">
      <c r="B3356">
        <f t="shared" ca="1" si="158"/>
        <v>40471.546470604226</v>
      </c>
      <c r="C3356">
        <f t="shared" ca="1" si="156"/>
        <v>0</v>
      </c>
      <c r="D3356">
        <f t="shared" ca="1" si="157"/>
        <v>471.54647060422576</v>
      </c>
    </row>
    <row r="3357" spans="2:4" x14ac:dyDescent="0.25">
      <c r="B3357">
        <f t="shared" ca="1" si="158"/>
        <v>37139.129588986601</v>
      </c>
      <c r="C3357">
        <f t="shared" ca="1" si="156"/>
        <v>2860.8704110133986</v>
      </c>
      <c r="D3357">
        <f t="shared" ca="1" si="157"/>
        <v>0</v>
      </c>
    </row>
    <row r="3358" spans="2:4" x14ac:dyDescent="0.25">
      <c r="B3358">
        <f t="shared" ca="1" si="158"/>
        <v>40855.553108788285</v>
      </c>
      <c r="C3358">
        <f t="shared" ca="1" si="156"/>
        <v>0</v>
      </c>
      <c r="D3358">
        <f t="shared" ca="1" si="157"/>
        <v>855.55310878828459</v>
      </c>
    </row>
    <row r="3359" spans="2:4" x14ac:dyDescent="0.25">
      <c r="B3359">
        <f t="shared" ca="1" si="158"/>
        <v>52708.710481107788</v>
      </c>
      <c r="C3359">
        <f t="shared" ca="1" si="156"/>
        <v>0</v>
      </c>
      <c r="D3359">
        <f t="shared" ca="1" si="157"/>
        <v>12708.710481107788</v>
      </c>
    </row>
    <row r="3360" spans="2:4" x14ac:dyDescent="0.25">
      <c r="B3360">
        <f t="shared" ca="1" si="158"/>
        <v>46652.733674141833</v>
      </c>
      <c r="C3360">
        <f t="shared" ca="1" si="156"/>
        <v>0</v>
      </c>
      <c r="D3360">
        <f t="shared" ca="1" si="157"/>
        <v>6652.733674141833</v>
      </c>
    </row>
    <row r="3361" spans="2:4" x14ac:dyDescent="0.25">
      <c r="B3361">
        <f t="shared" ca="1" si="158"/>
        <v>50096.995707341943</v>
      </c>
      <c r="C3361">
        <f t="shared" ca="1" si="156"/>
        <v>0</v>
      </c>
      <c r="D3361">
        <f t="shared" ca="1" si="157"/>
        <v>10096.995707341943</v>
      </c>
    </row>
    <row r="3362" spans="2:4" x14ac:dyDescent="0.25">
      <c r="B3362">
        <f t="shared" ca="1" si="158"/>
        <v>45143.542193383066</v>
      </c>
      <c r="C3362">
        <f t="shared" ca="1" si="156"/>
        <v>0</v>
      </c>
      <c r="D3362">
        <f t="shared" ca="1" si="157"/>
        <v>5143.5421933830658</v>
      </c>
    </row>
    <row r="3363" spans="2:4" x14ac:dyDescent="0.25">
      <c r="B3363">
        <f t="shared" ca="1" si="158"/>
        <v>48393.369447611905</v>
      </c>
      <c r="C3363">
        <f t="shared" ca="1" si="156"/>
        <v>0</v>
      </c>
      <c r="D3363">
        <f t="shared" ca="1" si="157"/>
        <v>8393.3694476119053</v>
      </c>
    </row>
    <row r="3364" spans="2:4" x14ac:dyDescent="0.25">
      <c r="B3364">
        <f t="shared" ca="1" si="158"/>
        <v>43332.014482615283</v>
      </c>
      <c r="C3364">
        <f t="shared" ca="1" si="156"/>
        <v>0</v>
      </c>
      <c r="D3364">
        <f t="shared" ca="1" si="157"/>
        <v>3332.0144826152828</v>
      </c>
    </row>
    <row r="3365" spans="2:4" x14ac:dyDescent="0.25">
      <c r="B3365">
        <f t="shared" ca="1" si="158"/>
        <v>45918.590594934234</v>
      </c>
      <c r="C3365">
        <f t="shared" ca="1" si="156"/>
        <v>0</v>
      </c>
      <c r="D3365">
        <f t="shared" ca="1" si="157"/>
        <v>5918.5905949342341</v>
      </c>
    </row>
    <row r="3366" spans="2:4" x14ac:dyDescent="0.25">
      <c r="B3366">
        <f t="shared" ca="1" si="158"/>
        <v>45349.236424552641</v>
      </c>
      <c r="C3366">
        <f t="shared" ca="1" si="156"/>
        <v>0</v>
      </c>
      <c r="D3366">
        <f t="shared" ca="1" si="157"/>
        <v>5349.2364245526405</v>
      </c>
    </row>
    <row r="3367" spans="2:4" x14ac:dyDescent="0.25">
      <c r="B3367">
        <f t="shared" ca="1" si="158"/>
        <v>37295.151898283439</v>
      </c>
      <c r="C3367">
        <f t="shared" ca="1" si="156"/>
        <v>2704.8481017165614</v>
      </c>
      <c r="D3367">
        <f t="shared" ca="1" si="157"/>
        <v>0</v>
      </c>
    </row>
    <row r="3368" spans="2:4" x14ac:dyDescent="0.25">
      <c r="B3368">
        <f t="shared" ca="1" si="158"/>
        <v>40937.24164044459</v>
      </c>
      <c r="C3368">
        <f t="shared" ca="1" si="156"/>
        <v>0</v>
      </c>
      <c r="D3368">
        <f t="shared" ca="1" si="157"/>
        <v>937.2416404445903</v>
      </c>
    </row>
    <row r="3369" spans="2:4" x14ac:dyDescent="0.25">
      <c r="B3369">
        <f t="shared" ca="1" si="158"/>
        <v>36673.057017327817</v>
      </c>
      <c r="C3369">
        <f t="shared" ca="1" si="156"/>
        <v>3326.9429826721826</v>
      </c>
      <c r="D3369">
        <f t="shared" ca="1" si="157"/>
        <v>0</v>
      </c>
    </row>
    <row r="3370" spans="2:4" x14ac:dyDescent="0.25">
      <c r="B3370">
        <f t="shared" ca="1" si="158"/>
        <v>42156.250451837135</v>
      </c>
      <c r="C3370">
        <f t="shared" ca="1" si="156"/>
        <v>0</v>
      </c>
      <c r="D3370">
        <f t="shared" ca="1" si="157"/>
        <v>2156.2504518371352</v>
      </c>
    </row>
    <row r="3371" spans="2:4" x14ac:dyDescent="0.25">
      <c r="B3371">
        <f t="shared" ca="1" si="158"/>
        <v>47547.885722859581</v>
      </c>
      <c r="C3371">
        <f t="shared" ca="1" si="156"/>
        <v>0</v>
      </c>
      <c r="D3371">
        <f t="shared" ca="1" si="157"/>
        <v>7547.8857228595807</v>
      </c>
    </row>
    <row r="3372" spans="2:4" x14ac:dyDescent="0.25">
      <c r="B3372">
        <f t="shared" ca="1" si="158"/>
        <v>46655.570141790449</v>
      </c>
      <c r="C3372">
        <f t="shared" ca="1" si="156"/>
        <v>0</v>
      </c>
      <c r="D3372">
        <f t="shared" ca="1" si="157"/>
        <v>6655.5701417904493</v>
      </c>
    </row>
    <row r="3373" spans="2:4" x14ac:dyDescent="0.25">
      <c r="B3373">
        <f t="shared" ca="1" si="158"/>
        <v>39664.972977537996</v>
      </c>
      <c r="C3373">
        <f t="shared" ca="1" si="156"/>
        <v>335.02702246200352</v>
      </c>
      <c r="D3373">
        <f t="shared" ca="1" si="157"/>
        <v>0</v>
      </c>
    </row>
    <row r="3374" spans="2:4" x14ac:dyDescent="0.25">
      <c r="B3374">
        <f t="shared" ca="1" si="158"/>
        <v>44153.436032517384</v>
      </c>
      <c r="C3374">
        <f t="shared" ca="1" si="156"/>
        <v>0</v>
      </c>
      <c r="D3374">
        <f t="shared" ca="1" si="157"/>
        <v>4153.4360325173839</v>
      </c>
    </row>
    <row r="3375" spans="2:4" x14ac:dyDescent="0.25">
      <c r="B3375">
        <f t="shared" ca="1" si="158"/>
        <v>48510.849001479357</v>
      </c>
      <c r="C3375">
        <f t="shared" ca="1" si="156"/>
        <v>0</v>
      </c>
      <c r="D3375">
        <f t="shared" ca="1" si="157"/>
        <v>8510.849001479357</v>
      </c>
    </row>
    <row r="3376" spans="2:4" x14ac:dyDescent="0.25">
      <c r="B3376">
        <f t="shared" ca="1" si="158"/>
        <v>45919.969514643395</v>
      </c>
      <c r="C3376">
        <f t="shared" ca="1" si="156"/>
        <v>0</v>
      </c>
      <c r="D3376">
        <f t="shared" ca="1" si="157"/>
        <v>5919.9695146433951</v>
      </c>
    </row>
    <row r="3377" spans="2:4" x14ac:dyDescent="0.25">
      <c r="B3377">
        <f t="shared" ca="1" si="158"/>
        <v>47103.981055977609</v>
      </c>
      <c r="C3377">
        <f t="shared" ca="1" si="156"/>
        <v>0</v>
      </c>
      <c r="D3377">
        <f t="shared" ca="1" si="157"/>
        <v>7103.9810559776088</v>
      </c>
    </row>
    <row r="3378" spans="2:4" x14ac:dyDescent="0.25">
      <c r="B3378">
        <f t="shared" ca="1" si="158"/>
        <v>46823.724283826043</v>
      </c>
      <c r="C3378">
        <f t="shared" ca="1" si="156"/>
        <v>0</v>
      </c>
      <c r="D3378">
        <f t="shared" ca="1" si="157"/>
        <v>6823.7242838260427</v>
      </c>
    </row>
    <row r="3379" spans="2:4" x14ac:dyDescent="0.25">
      <c r="B3379">
        <f t="shared" ca="1" si="158"/>
        <v>45464.843372433927</v>
      </c>
      <c r="C3379">
        <f t="shared" ca="1" si="156"/>
        <v>0</v>
      </c>
      <c r="D3379">
        <f t="shared" ca="1" si="157"/>
        <v>5464.8433724339266</v>
      </c>
    </row>
    <row r="3380" spans="2:4" x14ac:dyDescent="0.25">
      <c r="B3380">
        <f t="shared" ca="1" si="158"/>
        <v>41629.625592894437</v>
      </c>
      <c r="C3380">
        <f t="shared" ca="1" si="156"/>
        <v>0</v>
      </c>
      <c r="D3380">
        <f t="shared" ca="1" si="157"/>
        <v>1629.6255928944374</v>
      </c>
    </row>
    <row r="3381" spans="2:4" x14ac:dyDescent="0.25">
      <c r="B3381">
        <f t="shared" ca="1" si="158"/>
        <v>59270.154997495731</v>
      </c>
      <c r="C3381">
        <f t="shared" ca="1" si="156"/>
        <v>0</v>
      </c>
      <c r="D3381">
        <f t="shared" ca="1" si="157"/>
        <v>19270.154997495731</v>
      </c>
    </row>
    <row r="3382" spans="2:4" x14ac:dyDescent="0.25">
      <c r="B3382">
        <f t="shared" ca="1" si="158"/>
        <v>50811.093707574204</v>
      </c>
      <c r="C3382">
        <f t="shared" ca="1" si="156"/>
        <v>0</v>
      </c>
      <c r="D3382">
        <f t="shared" ca="1" si="157"/>
        <v>10811.093707574204</v>
      </c>
    </row>
    <row r="3383" spans="2:4" x14ac:dyDescent="0.25">
      <c r="B3383">
        <f t="shared" ca="1" si="158"/>
        <v>42685.081310394256</v>
      </c>
      <c r="C3383">
        <f t="shared" ca="1" si="156"/>
        <v>0</v>
      </c>
      <c r="D3383">
        <f t="shared" ca="1" si="157"/>
        <v>2685.0813103942564</v>
      </c>
    </row>
    <row r="3384" spans="2:4" x14ac:dyDescent="0.25">
      <c r="B3384">
        <f t="shared" ca="1" si="158"/>
        <v>46375.929679041968</v>
      </c>
      <c r="C3384">
        <f t="shared" ca="1" si="156"/>
        <v>0</v>
      </c>
      <c r="D3384">
        <f t="shared" ca="1" si="157"/>
        <v>6375.9296790419685</v>
      </c>
    </row>
    <row r="3385" spans="2:4" x14ac:dyDescent="0.25">
      <c r="B3385">
        <f t="shared" ca="1" si="158"/>
        <v>41567.293005530897</v>
      </c>
      <c r="C3385">
        <f t="shared" ca="1" si="156"/>
        <v>0</v>
      </c>
      <c r="D3385">
        <f t="shared" ca="1" si="157"/>
        <v>1567.2930055308971</v>
      </c>
    </row>
    <row r="3386" spans="2:4" x14ac:dyDescent="0.25">
      <c r="B3386">
        <f t="shared" ca="1" si="158"/>
        <v>41731.281219486496</v>
      </c>
      <c r="C3386">
        <f t="shared" ca="1" si="156"/>
        <v>0</v>
      </c>
      <c r="D3386">
        <f t="shared" ca="1" si="157"/>
        <v>1731.2812194864964</v>
      </c>
    </row>
    <row r="3387" spans="2:4" x14ac:dyDescent="0.25">
      <c r="B3387">
        <f t="shared" ca="1" si="158"/>
        <v>40348.709775416981</v>
      </c>
      <c r="C3387">
        <f t="shared" ca="1" si="156"/>
        <v>0</v>
      </c>
      <c r="D3387">
        <f t="shared" ca="1" si="157"/>
        <v>348.70977541698085</v>
      </c>
    </row>
    <row r="3388" spans="2:4" x14ac:dyDescent="0.25">
      <c r="B3388">
        <f t="shared" ca="1" si="158"/>
        <v>39277.217475840087</v>
      </c>
      <c r="C3388">
        <f t="shared" ca="1" si="156"/>
        <v>722.78252415991301</v>
      </c>
      <c r="D3388">
        <f t="shared" ca="1" si="157"/>
        <v>0</v>
      </c>
    </row>
    <row r="3389" spans="2:4" x14ac:dyDescent="0.25">
      <c r="B3389">
        <f t="shared" ca="1" si="158"/>
        <v>45484.647253547329</v>
      </c>
      <c r="C3389">
        <f t="shared" ca="1" si="156"/>
        <v>0</v>
      </c>
      <c r="D3389">
        <f t="shared" ca="1" si="157"/>
        <v>5484.6472535473295</v>
      </c>
    </row>
    <row r="3390" spans="2:4" x14ac:dyDescent="0.25">
      <c r="B3390">
        <f t="shared" ca="1" si="158"/>
        <v>38495.756324787915</v>
      </c>
      <c r="C3390">
        <f t="shared" ca="1" si="156"/>
        <v>1504.2436752120848</v>
      </c>
      <c r="D3390">
        <f t="shared" ca="1" si="157"/>
        <v>0</v>
      </c>
    </row>
    <row r="3391" spans="2:4" x14ac:dyDescent="0.25">
      <c r="B3391">
        <f t="shared" ca="1" si="158"/>
        <v>39407.687795824597</v>
      </c>
      <c r="C3391">
        <f t="shared" ca="1" si="156"/>
        <v>592.31220417540317</v>
      </c>
      <c r="D3391">
        <f t="shared" ca="1" si="157"/>
        <v>0</v>
      </c>
    </row>
    <row r="3392" spans="2:4" x14ac:dyDescent="0.25">
      <c r="B3392">
        <f t="shared" ca="1" si="158"/>
        <v>45995.875732455446</v>
      </c>
      <c r="C3392">
        <f t="shared" ca="1" si="156"/>
        <v>0</v>
      </c>
      <c r="D3392">
        <f t="shared" ca="1" si="157"/>
        <v>5995.8757324554463</v>
      </c>
    </row>
    <row r="3393" spans="2:4" x14ac:dyDescent="0.25">
      <c r="B3393">
        <f t="shared" ca="1" si="158"/>
        <v>41167.9837029716</v>
      </c>
      <c r="C3393">
        <f t="shared" ca="1" si="156"/>
        <v>0</v>
      </c>
      <c r="D3393">
        <f t="shared" ca="1" si="157"/>
        <v>1167.9837029716</v>
      </c>
    </row>
    <row r="3394" spans="2:4" x14ac:dyDescent="0.25">
      <c r="B3394">
        <f t="shared" ca="1" si="158"/>
        <v>47819.057277388805</v>
      </c>
      <c r="C3394">
        <f t="shared" ca="1" si="156"/>
        <v>0</v>
      </c>
      <c r="D3394">
        <f t="shared" ca="1" si="157"/>
        <v>7819.0572773888052</v>
      </c>
    </row>
    <row r="3395" spans="2:4" x14ac:dyDescent="0.25">
      <c r="B3395">
        <f t="shared" ca="1" si="158"/>
        <v>41969.348174317711</v>
      </c>
      <c r="C3395">
        <f t="shared" ca="1" si="156"/>
        <v>0</v>
      </c>
      <c r="D3395">
        <f t="shared" ca="1" si="157"/>
        <v>1969.3481743177108</v>
      </c>
    </row>
    <row r="3396" spans="2:4" x14ac:dyDescent="0.25">
      <c r="B3396">
        <f t="shared" ca="1" si="158"/>
        <v>41960.557428249842</v>
      </c>
      <c r="C3396">
        <f t="shared" ca="1" si="156"/>
        <v>0</v>
      </c>
      <c r="D3396">
        <f t="shared" ca="1" si="157"/>
        <v>1960.5574282498419</v>
      </c>
    </row>
    <row r="3397" spans="2:4" x14ac:dyDescent="0.25">
      <c r="B3397">
        <f t="shared" ca="1" si="158"/>
        <v>41267.574257310742</v>
      </c>
      <c r="C3397">
        <f t="shared" ca="1" si="156"/>
        <v>0</v>
      </c>
      <c r="D3397">
        <f t="shared" ca="1" si="157"/>
        <v>1267.5742573107418</v>
      </c>
    </row>
    <row r="3398" spans="2:4" x14ac:dyDescent="0.25">
      <c r="B3398">
        <f t="shared" ca="1" si="158"/>
        <v>47622.594999086345</v>
      </c>
      <c r="C3398">
        <f t="shared" ca="1" si="156"/>
        <v>0</v>
      </c>
      <c r="D3398">
        <f t="shared" ca="1" si="157"/>
        <v>7622.5949990863446</v>
      </c>
    </row>
    <row r="3399" spans="2:4" x14ac:dyDescent="0.25">
      <c r="B3399">
        <f t="shared" ca="1" si="158"/>
        <v>46099.897361947493</v>
      </c>
      <c r="C3399">
        <f t="shared" ca="1" si="156"/>
        <v>0</v>
      </c>
      <c r="D3399">
        <f t="shared" ca="1" si="157"/>
        <v>6099.8973619474928</v>
      </c>
    </row>
    <row r="3400" spans="2:4" x14ac:dyDescent="0.25">
      <c r="B3400">
        <f t="shared" ca="1" si="158"/>
        <v>44034.793314900729</v>
      </c>
      <c r="C3400">
        <f t="shared" ca="1" si="156"/>
        <v>0</v>
      </c>
      <c r="D3400">
        <f t="shared" ca="1" si="157"/>
        <v>4034.7933149007295</v>
      </c>
    </row>
    <row r="3401" spans="2:4" x14ac:dyDescent="0.25">
      <c r="B3401">
        <f t="shared" ca="1" si="158"/>
        <v>47862.56191076809</v>
      </c>
      <c r="C3401">
        <f t="shared" ca="1" si="156"/>
        <v>0</v>
      </c>
      <c r="D3401">
        <f t="shared" ca="1" si="157"/>
        <v>7862.5619107680905</v>
      </c>
    </row>
    <row r="3402" spans="2:4" x14ac:dyDescent="0.25">
      <c r="B3402">
        <f t="shared" ca="1" si="158"/>
        <v>54450.804557666946</v>
      </c>
      <c r="C3402">
        <f t="shared" ca="1" si="156"/>
        <v>0</v>
      </c>
      <c r="D3402">
        <f t="shared" ca="1" si="157"/>
        <v>14450.804557666946</v>
      </c>
    </row>
    <row r="3403" spans="2:4" x14ac:dyDescent="0.25">
      <c r="B3403">
        <f t="shared" ca="1" si="158"/>
        <v>40694.40203399046</v>
      </c>
      <c r="C3403">
        <f t="shared" ca="1" si="156"/>
        <v>0</v>
      </c>
      <c r="D3403">
        <f t="shared" ca="1" si="157"/>
        <v>694.40203399046004</v>
      </c>
    </row>
    <row r="3404" spans="2:4" x14ac:dyDescent="0.25">
      <c r="B3404">
        <f t="shared" ca="1" si="158"/>
        <v>44655.13385279441</v>
      </c>
      <c r="C3404">
        <f t="shared" ref="C3404:C3467" ca="1" si="159">IF(MAX($B$2-B3404)&lt;0,0,$B$2-B3404)</f>
        <v>0</v>
      </c>
      <c r="D3404">
        <f t="shared" ref="D3404:D3467" ca="1" si="160">IF(MAX(B3404-$B$2)&lt;0,0,B3404-$B$2)</f>
        <v>4655.1338527944099</v>
      </c>
    </row>
    <row r="3405" spans="2:4" x14ac:dyDescent="0.25">
      <c r="B3405">
        <f t="shared" ref="B3405:B3468" ca="1" si="161">$B$1*EXP((($B$4-($B$3^2)/2)*$B$5+$B$3*SQRT($B$5)*NORMSINV(RAND())))</f>
        <v>43278.271125887812</v>
      </c>
      <c r="C3405">
        <f t="shared" ca="1" si="159"/>
        <v>0</v>
      </c>
      <c r="D3405">
        <f t="shared" ca="1" si="160"/>
        <v>3278.2711258878116</v>
      </c>
    </row>
    <row r="3406" spans="2:4" x14ac:dyDescent="0.25">
      <c r="B3406">
        <f t="shared" ca="1" si="161"/>
        <v>48830.21097656247</v>
      </c>
      <c r="C3406">
        <f t="shared" ca="1" si="159"/>
        <v>0</v>
      </c>
      <c r="D3406">
        <f t="shared" ca="1" si="160"/>
        <v>8830.21097656247</v>
      </c>
    </row>
    <row r="3407" spans="2:4" x14ac:dyDescent="0.25">
      <c r="B3407">
        <f t="shared" ca="1" si="161"/>
        <v>42046.130172740777</v>
      </c>
      <c r="C3407">
        <f t="shared" ca="1" si="159"/>
        <v>0</v>
      </c>
      <c r="D3407">
        <f t="shared" ca="1" si="160"/>
        <v>2046.1301727407772</v>
      </c>
    </row>
    <row r="3408" spans="2:4" x14ac:dyDescent="0.25">
      <c r="B3408">
        <f t="shared" ca="1" si="161"/>
        <v>46453.172238864987</v>
      </c>
      <c r="C3408">
        <f t="shared" ca="1" si="159"/>
        <v>0</v>
      </c>
      <c r="D3408">
        <f t="shared" ca="1" si="160"/>
        <v>6453.1722388649869</v>
      </c>
    </row>
    <row r="3409" spans="2:4" x14ac:dyDescent="0.25">
      <c r="B3409">
        <f t="shared" ca="1" si="161"/>
        <v>53060.181196115904</v>
      </c>
      <c r="C3409">
        <f t="shared" ca="1" si="159"/>
        <v>0</v>
      </c>
      <c r="D3409">
        <f t="shared" ca="1" si="160"/>
        <v>13060.181196115904</v>
      </c>
    </row>
    <row r="3410" spans="2:4" x14ac:dyDescent="0.25">
      <c r="B3410">
        <f t="shared" ca="1" si="161"/>
        <v>46808.533398926556</v>
      </c>
      <c r="C3410">
        <f t="shared" ca="1" si="159"/>
        <v>0</v>
      </c>
      <c r="D3410">
        <f t="shared" ca="1" si="160"/>
        <v>6808.5333989265564</v>
      </c>
    </row>
    <row r="3411" spans="2:4" x14ac:dyDescent="0.25">
      <c r="B3411">
        <f t="shared" ca="1" si="161"/>
        <v>42262.555937251906</v>
      </c>
      <c r="C3411">
        <f t="shared" ca="1" si="159"/>
        <v>0</v>
      </c>
      <c r="D3411">
        <f t="shared" ca="1" si="160"/>
        <v>2262.5559372519056</v>
      </c>
    </row>
    <row r="3412" spans="2:4" x14ac:dyDescent="0.25">
      <c r="B3412">
        <f t="shared" ca="1" si="161"/>
        <v>41815.81565968092</v>
      </c>
      <c r="C3412">
        <f t="shared" ca="1" si="159"/>
        <v>0</v>
      </c>
      <c r="D3412">
        <f t="shared" ca="1" si="160"/>
        <v>1815.8156596809204</v>
      </c>
    </row>
    <row r="3413" spans="2:4" x14ac:dyDescent="0.25">
      <c r="B3413">
        <f t="shared" ca="1" si="161"/>
        <v>50217.486604360238</v>
      </c>
      <c r="C3413">
        <f t="shared" ca="1" si="159"/>
        <v>0</v>
      </c>
      <c r="D3413">
        <f t="shared" ca="1" si="160"/>
        <v>10217.486604360238</v>
      </c>
    </row>
    <row r="3414" spans="2:4" x14ac:dyDescent="0.25">
      <c r="B3414">
        <f t="shared" ca="1" si="161"/>
        <v>36324.612230856881</v>
      </c>
      <c r="C3414">
        <f t="shared" ca="1" si="159"/>
        <v>3675.3877691431189</v>
      </c>
      <c r="D3414">
        <f t="shared" ca="1" si="160"/>
        <v>0</v>
      </c>
    </row>
    <row r="3415" spans="2:4" x14ac:dyDescent="0.25">
      <c r="B3415">
        <f t="shared" ca="1" si="161"/>
        <v>42880.274099548347</v>
      </c>
      <c r="C3415">
        <f t="shared" ca="1" si="159"/>
        <v>0</v>
      </c>
      <c r="D3415">
        <f t="shared" ca="1" si="160"/>
        <v>2880.2740995483473</v>
      </c>
    </row>
    <row r="3416" spans="2:4" x14ac:dyDescent="0.25">
      <c r="B3416">
        <f t="shared" ca="1" si="161"/>
        <v>42728.123094997158</v>
      </c>
      <c r="C3416">
        <f t="shared" ca="1" si="159"/>
        <v>0</v>
      </c>
      <c r="D3416">
        <f t="shared" ca="1" si="160"/>
        <v>2728.1230949971578</v>
      </c>
    </row>
    <row r="3417" spans="2:4" x14ac:dyDescent="0.25">
      <c r="B3417">
        <f t="shared" ca="1" si="161"/>
        <v>52239.756131642935</v>
      </c>
      <c r="C3417">
        <f t="shared" ca="1" si="159"/>
        <v>0</v>
      </c>
      <c r="D3417">
        <f t="shared" ca="1" si="160"/>
        <v>12239.756131642935</v>
      </c>
    </row>
    <row r="3418" spans="2:4" x14ac:dyDescent="0.25">
      <c r="B3418">
        <f t="shared" ca="1" si="161"/>
        <v>39989.718703840903</v>
      </c>
      <c r="C3418">
        <f t="shared" ca="1" si="159"/>
        <v>10.28129615909711</v>
      </c>
      <c r="D3418">
        <f t="shared" ca="1" si="160"/>
        <v>0</v>
      </c>
    </row>
    <row r="3419" spans="2:4" x14ac:dyDescent="0.25">
      <c r="B3419">
        <f t="shared" ca="1" si="161"/>
        <v>55730.159311505755</v>
      </c>
      <c r="C3419">
        <f t="shared" ca="1" si="159"/>
        <v>0</v>
      </c>
      <c r="D3419">
        <f t="shared" ca="1" si="160"/>
        <v>15730.159311505755</v>
      </c>
    </row>
    <row r="3420" spans="2:4" x14ac:dyDescent="0.25">
      <c r="B3420">
        <f t="shared" ca="1" si="161"/>
        <v>47383.884494766186</v>
      </c>
      <c r="C3420">
        <f t="shared" ca="1" si="159"/>
        <v>0</v>
      </c>
      <c r="D3420">
        <f t="shared" ca="1" si="160"/>
        <v>7383.8844947661855</v>
      </c>
    </row>
    <row r="3421" spans="2:4" x14ac:dyDescent="0.25">
      <c r="B3421">
        <f t="shared" ca="1" si="161"/>
        <v>47925.242805812064</v>
      </c>
      <c r="C3421">
        <f t="shared" ca="1" si="159"/>
        <v>0</v>
      </c>
      <c r="D3421">
        <f t="shared" ca="1" si="160"/>
        <v>7925.242805812064</v>
      </c>
    </row>
    <row r="3422" spans="2:4" x14ac:dyDescent="0.25">
      <c r="B3422">
        <f t="shared" ca="1" si="161"/>
        <v>47533.805679571728</v>
      </c>
      <c r="C3422">
        <f t="shared" ca="1" si="159"/>
        <v>0</v>
      </c>
      <c r="D3422">
        <f t="shared" ca="1" si="160"/>
        <v>7533.8056795717275</v>
      </c>
    </row>
    <row r="3423" spans="2:4" x14ac:dyDescent="0.25">
      <c r="B3423">
        <f t="shared" ca="1" si="161"/>
        <v>46041.814627827822</v>
      </c>
      <c r="C3423">
        <f t="shared" ca="1" si="159"/>
        <v>0</v>
      </c>
      <c r="D3423">
        <f t="shared" ca="1" si="160"/>
        <v>6041.8146278278218</v>
      </c>
    </row>
    <row r="3424" spans="2:4" x14ac:dyDescent="0.25">
      <c r="B3424">
        <f t="shared" ca="1" si="161"/>
        <v>43911.768485070592</v>
      </c>
      <c r="C3424">
        <f t="shared" ca="1" si="159"/>
        <v>0</v>
      </c>
      <c r="D3424">
        <f t="shared" ca="1" si="160"/>
        <v>3911.7684850705919</v>
      </c>
    </row>
    <row r="3425" spans="2:4" x14ac:dyDescent="0.25">
      <c r="B3425">
        <f t="shared" ca="1" si="161"/>
        <v>44178.056753661447</v>
      </c>
      <c r="C3425">
        <f t="shared" ca="1" si="159"/>
        <v>0</v>
      </c>
      <c r="D3425">
        <f t="shared" ca="1" si="160"/>
        <v>4178.0567536614471</v>
      </c>
    </row>
    <row r="3426" spans="2:4" x14ac:dyDescent="0.25">
      <c r="B3426">
        <f t="shared" ca="1" si="161"/>
        <v>51311.208130966028</v>
      </c>
      <c r="C3426">
        <f t="shared" ca="1" si="159"/>
        <v>0</v>
      </c>
      <c r="D3426">
        <f t="shared" ca="1" si="160"/>
        <v>11311.208130966028</v>
      </c>
    </row>
    <row r="3427" spans="2:4" x14ac:dyDescent="0.25">
      <c r="B3427">
        <f t="shared" ca="1" si="161"/>
        <v>48107.609003318896</v>
      </c>
      <c r="C3427">
        <f t="shared" ca="1" si="159"/>
        <v>0</v>
      </c>
      <c r="D3427">
        <f t="shared" ca="1" si="160"/>
        <v>8107.6090033188957</v>
      </c>
    </row>
    <row r="3428" spans="2:4" x14ac:dyDescent="0.25">
      <c r="B3428">
        <f t="shared" ca="1" si="161"/>
        <v>38857.301950798006</v>
      </c>
      <c r="C3428">
        <f t="shared" ca="1" si="159"/>
        <v>1142.6980492019939</v>
      </c>
      <c r="D3428">
        <f t="shared" ca="1" si="160"/>
        <v>0</v>
      </c>
    </row>
    <row r="3429" spans="2:4" x14ac:dyDescent="0.25">
      <c r="B3429">
        <f t="shared" ca="1" si="161"/>
        <v>45344.482611437175</v>
      </c>
      <c r="C3429">
        <f t="shared" ca="1" si="159"/>
        <v>0</v>
      </c>
      <c r="D3429">
        <f t="shared" ca="1" si="160"/>
        <v>5344.4826114371754</v>
      </c>
    </row>
    <row r="3430" spans="2:4" x14ac:dyDescent="0.25">
      <c r="B3430">
        <f t="shared" ca="1" si="161"/>
        <v>48208.042633387311</v>
      </c>
      <c r="C3430">
        <f t="shared" ca="1" si="159"/>
        <v>0</v>
      </c>
      <c r="D3430">
        <f t="shared" ca="1" si="160"/>
        <v>8208.0426333873111</v>
      </c>
    </row>
    <row r="3431" spans="2:4" x14ac:dyDescent="0.25">
      <c r="B3431">
        <f t="shared" ca="1" si="161"/>
        <v>37190.64867255737</v>
      </c>
      <c r="C3431">
        <f t="shared" ca="1" si="159"/>
        <v>2809.3513274426296</v>
      </c>
      <c r="D3431">
        <f t="shared" ca="1" si="160"/>
        <v>0</v>
      </c>
    </row>
    <row r="3432" spans="2:4" x14ac:dyDescent="0.25">
      <c r="B3432">
        <f t="shared" ca="1" si="161"/>
        <v>40674.333488301825</v>
      </c>
      <c r="C3432">
        <f t="shared" ca="1" si="159"/>
        <v>0</v>
      </c>
      <c r="D3432">
        <f t="shared" ca="1" si="160"/>
        <v>674.33348830182513</v>
      </c>
    </row>
    <row r="3433" spans="2:4" x14ac:dyDescent="0.25">
      <c r="B3433">
        <f t="shared" ca="1" si="161"/>
        <v>47540.839696127623</v>
      </c>
      <c r="C3433">
        <f t="shared" ca="1" si="159"/>
        <v>0</v>
      </c>
      <c r="D3433">
        <f t="shared" ca="1" si="160"/>
        <v>7540.839696127623</v>
      </c>
    </row>
    <row r="3434" spans="2:4" x14ac:dyDescent="0.25">
      <c r="B3434">
        <f t="shared" ca="1" si="161"/>
        <v>44408.813372449709</v>
      </c>
      <c r="C3434">
        <f t="shared" ca="1" si="159"/>
        <v>0</v>
      </c>
      <c r="D3434">
        <f t="shared" ca="1" si="160"/>
        <v>4408.8133724497093</v>
      </c>
    </row>
    <row r="3435" spans="2:4" x14ac:dyDescent="0.25">
      <c r="B3435">
        <f t="shared" ca="1" si="161"/>
        <v>42011.149746236253</v>
      </c>
      <c r="C3435">
        <f t="shared" ca="1" si="159"/>
        <v>0</v>
      </c>
      <c r="D3435">
        <f t="shared" ca="1" si="160"/>
        <v>2011.1497462362531</v>
      </c>
    </row>
    <row r="3436" spans="2:4" x14ac:dyDescent="0.25">
      <c r="B3436">
        <f t="shared" ca="1" si="161"/>
        <v>43220.020812800503</v>
      </c>
      <c r="C3436">
        <f t="shared" ca="1" si="159"/>
        <v>0</v>
      </c>
      <c r="D3436">
        <f t="shared" ca="1" si="160"/>
        <v>3220.0208128005033</v>
      </c>
    </row>
    <row r="3437" spans="2:4" x14ac:dyDescent="0.25">
      <c r="B3437">
        <f t="shared" ca="1" si="161"/>
        <v>52178.688749453846</v>
      </c>
      <c r="C3437">
        <f t="shared" ca="1" si="159"/>
        <v>0</v>
      </c>
      <c r="D3437">
        <f t="shared" ca="1" si="160"/>
        <v>12178.688749453846</v>
      </c>
    </row>
    <row r="3438" spans="2:4" x14ac:dyDescent="0.25">
      <c r="B3438">
        <f t="shared" ca="1" si="161"/>
        <v>33861.582491615962</v>
      </c>
      <c r="C3438">
        <f t="shared" ca="1" si="159"/>
        <v>6138.4175083840382</v>
      </c>
      <c r="D3438">
        <f t="shared" ca="1" si="160"/>
        <v>0</v>
      </c>
    </row>
    <row r="3439" spans="2:4" x14ac:dyDescent="0.25">
      <c r="B3439">
        <f t="shared" ca="1" si="161"/>
        <v>44877.936324586546</v>
      </c>
      <c r="C3439">
        <f t="shared" ca="1" si="159"/>
        <v>0</v>
      </c>
      <c r="D3439">
        <f t="shared" ca="1" si="160"/>
        <v>4877.9363245865461</v>
      </c>
    </row>
    <row r="3440" spans="2:4" x14ac:dyDescent="0.25">
      <c r="B3440">
        <f t="shared" ca="1" si="161"/>
        <v>45369.5888028564</v>
      </c>
      <c r="C3440">
        <f t="shared" ca="1" si="159"/>
        <v>0</v>
      </c>
      <c r="D3440">
        <f t="shared" ca="1" si="160"/>
        <v>5369.5888028564004</v>
      </c>
    </row>
    <row r="3441" spans="2:4" x14ac:dyDescent="0.25">
      <c r="B3441">
        <f t="shared" ca="1" si="161"/>
        <v>43379.026530052353</v>
      </c>
      <c r="C3441">
        <f t="shared" ca="1" si="159"/>
        <v>0</v>
      </c>
      <c r="D3441">
        <f t="shared" ca="1" si="160"/>
        <v>3379.0265300523533</v>
      </c>
    </row>
    <row r="3442" spans="2:4" x14ac:dyDescent="0.25">
      <c r="B3442">
        <f t="shared" ca="1" si="161"/>
        <v>50283.001728502619</v>
      </c>
      <c r="C3442">
        <f t="shared" ca="1" si="159"/>
        <v>0</v>
      </c>
      <c r="D3442">
        <f t="shared" ca="1" si="160"/>
        <v>10283.001728502619</v>
      </c>
    </row>
    <row r="3443" spans="2:4" x14ac:dyDescent="0.25">
      <c r="B3443">
        <f t="shared" ca="1" si="161"/>
        <v>40021.076722642487</v>
      </c>
      <c r="C3443">
        <f t="shared" ca="1" si="159"/>
        <v>0</v>
      </c>
      <c r="D3443">
        <f t="shared" ca="1" si="160"/>
        <v>21.076722642486857</v>
      </c>
    </row>
    <row r="3444" spans="2:4" x14ac:dyDescent="0.25">
      <c r="B3444">
        <f t="shared" ca="1" si="161"/>
        <v>40858.290389613918</v>
      </c>
      <c r="C3444">
        <f t="shared" ca="1" si="159"/>
        <v>0</v>
      </c>
      <c r="D3444">
        <f t="shared" ca="1" si="160"/>
        <v>858.2903896139178</v>
      </c>
    </row>
    <row r="3445" spans="2:4" x14ac:dyDescent="0.25">
      <c r="B3445">
        <f t="shared" ca="1" si="161"/>
        <v>43564.1515966554</v>
      </c>
      <c r="C3445">
        <f t="shared" ca="1" si="159"/>
        <v>0</v>
      </c>
      <c r="D3445">
        <f t="shared" ca="1" si="160"/>
        <v>3564.1515966553998</v>
      </c>
    </row>
    <row r="3446" spans="2:4" x14ac:dyDescent="0.25">
      <c r="B3446">
        <f t="shared" ca="1" si="161"/>
        <v>47005.611109831909</v>
      </c>
      <c r="C3446">
        <f t="shared" ca="1" si="159"/>
        <v>0</v>
      </c>
      <c r="D3446">
        <f t="shared" ca="1" si="160"/>
        <v>7005.6111098319088</v>
      </c>
    </row>
    <row r="3447" spans="2:4" x14ac:dyDescent="0.25">
      <c r="B3447">
        <f t="shared" ca="1" si="161"/>
        <v>45860.716761114098</v>
      </c>
      <c r="C3447">
        <f t="shared" ca="1" si="159"/>
        <v>0</v>
      </c>
      <c r="D3447">
        <f t="shared" ca="1" si="160"/>
        <v>5860.7167611140976</v>
      </c>
    </row>
    <row r="3448" spans="2:4" x14ac:dyDescent="0.25">
      <c r="B3448">
        <f t="shared" ca="1" si="161"/>
        <v>47337.826942621672</v>
      </c>
      <c r="C3448">
        <f t="shared" ca="1" si="159"/>
        <v>0</v>
      </c>
      <c r="D3448">
        <f t="shared" ca="1" si="160"/>
        <v>7337.8269426216721</v>
      </c>
    </row>
    <row r="3449" spans="2:4" x14ac:dyDescent="0.25">
      <c r="B3449">
        <f t="shared" ca="1" si="161"/>
        <v>41266.113785336718</v>
      </c>
      <c r="C3449">
        <f t="shared" ca="1" si="159"/>
        <v>0</v>
      </c>
      <c r="D3449">
        <f t="shared" ca="1" si="160"/>
        <v>1266.1137853367181</v>
      </c>
    </row>
    <row r="3450" spans="2:4" x14ac:dyDescent="0.25">
      <c r="B3450">
        <f t="shared" ca="1" si="161"/>
        <v>37492.689052929993</v>
      </c>
      <c r="C3450">
        <f t="shared" ca="1" si="159"/>
        <v>2507.3109470700074</v>
      </c>
      <c r="D3450">
        <f t="shared" ca="1" si="160"/>
        <v>0</v>
      </c>
    </row>
    <row r="3451" spans="2:4" x14ac:dyDescent="0.25">
      <c r="B3451">
        <f t="shared" ca="1" si="161"/>
        <v>45626.97722280398</v>
      </c>
      <c r="C3451">
        <f t="shared" ca="1" si="159"/>
        <v>0</v>
      </c>
      <c r="D3451">
        <f t="shared" ca="1" si="160"/>
        <v>5626.9772228039801</v>
      </c>
    </row>
    <row r="3452" spans="2:4" x14ac:dyDescent="0.25">
      <c r="B3452">
        <f t="shared" ca="1" si="161"/>
        <v>47846.850348532294</v>
      </c>
      <c r="C3452">
        <f t="shared" ca="1" si="159"/>
        <v>0</v>
      </c>
      <c r="D3452">
        <f t="shared" ca="1" si="160"/>
        <v>7846.8503485322944</v>
      </c>
    </row>
    <row r="3453" spans="2:4" x14ac:dyDescent="0.25">
      <c r="B3453">
        <f t="shared" ca="1" si="161"/>
        <v>47416.696948030723</v>
      </c>
      <c r="C3453">
        <f t="shared" ca="1" si="159"/>
        <v>0</v>
      </c>
      <c r="D3453">
        <f t="shared" ca="1" si="160"/>
        <v>7416.6969480307234</v>
      </c>
    </row>
    <row r="3454" spans="2:4" x14ac:dyDescent="0.25">
      <c r="B3454">
        <f t="shared" ca="1" si="161"/>
        <v>54381.400759217366</v>
      </c>
      <c r="C3454">
        <f t="shared" ca="1" si="159"/>
        <v>0</v>
      </c>
      <c r="D3454">
        <f t="shared" ca="1" si="160"/>
        <v>14381.400759217366</v>
      </c>
    </row>
    <row r="3455" spans="2:4" x14ac:dyDescent="0.25">
      <c r="B3455">
        <f t="shared" ca="1" si="161"/>
        <v>46223.442226483938</v>
      </c>
      <c r="C3455">
        <f t="shared" ca="1" si="159"/>
        <v>0</v>
      </c>
      <c r="D3455">
        <f t="shared" ca="1" si="160"/>
        <v>6223.4422264839377</v>
      </c>
    </row>
    <row r="3456" spans="2:4" x14ac:dyDescent="0.25">
      <c r="B3456">
        <f t="shared" ca="1" si="161"/>
        <v>47379.734216204648</v>
      </c>
      <c r="C3456">
        <f t="shared" ca="1" si="159"/>
        <v>0</v>
      </c>
      <c r="D3456">
        <f t="shared" ca="1" si="160"/>
        <v>7379.734216204648</v>
      </c>
    </row>
    <row r="3457" spans="2:4" x14ac:dyDescent="0.25">
      <c r="B3457">
        <f t="shared" ca="1" si="161"/>
        <v>40845.946665934251</v>
      </c>
      <c r="C3457">
        <f t="shared" ca="1" si="159"/>
        <v>0</v>
      </c>
      <c r="D3457">
        <f t="shared" ca="1" si="160"/>
        <v>845.94666593425063</v>
      </c>
    </row>
    <row r="3458" spans="2:4" x14ac:dyDescent="0.25">
      <c r="B3458">
        <f t="shared" ca="1" si="161"/>
        <v>42210.361996939449</v>
      </c>
      <c r="C3458">
        <f t="shared" ca="1" si="159"/>
        <v>0</v>
      </c>
      <c r="D3458">
        <f t="shared" ca="1" si="160"/>
        <v>2210.3619969394495</v>
      </c>
    </row>
    <row r="3459" spans="2:4" x14ac:dyDescent="0.25">
      <c r="B3459">
        <f t="shared" ca="1" si="161"/>
        <v>47508.453901510955</v>
      </c>
      <c r="C3459">
        <f t="shared" ca="1" si="159"/>
        <v>0</v>
      </c>
      <c r="D3459">
        <f t="shared" ca="1" si="160"/>
        <v>7508.4539015109549</v>
      </c>
    </row>
    <row r="3460" spans="2:4" x14ac:dyDescent="0.25">
      <c r="B3460">
        <f t="shared" ca="1" si="161"/>
        <v>45616.214968436834</v>
      </c>
      <c r="C3460">
        <f t="shared" ca="1" si="159"/>
        <v>0</v>
      </c>
      <c r="D3460">
        <f t="shared" ca="1" si="160"/>
        <v>5616.2149684368342</v>
      </c>
    </row>
    <row r="3461" spans="2:4" x14ac:dyDescent="0.25">
      <c r="B3461">
        <f t="shared" ca="1" si="161"/>
        <v>43519.534246226707</v>
      </c>
      <c r="C3461">
        <f t="shared" ca="1" si="159"/>
        <v>0</v>
      </c>
      <c r="D3461">
        <f t="shared" ca="1" si="160"/>
        <v>3519.5342462267072</v>
      </c>
    </row>
    <row r="3462" spans="2:4" x14ac:dyDescent="0.25">
      <c r="B3462">
        <f t="shared" ca="1" si="161"/>
        <v>47368.253255250063</v>
      </c>
      <c r="C3462">
        <f t="shared" ca="1" si="159"/>
        <v>0</v>
      </c>
      <c r="D3462">
        <f t="shared" ca="1" si="160"/>
        <v>7368.2532552500634</v>
      </c>
    </row>
    <row r="3463" spans="2:4" x14ac:dyDescent="0.25">
      <c r="B3463">
        <f t="shared" ca="1" si="161"/>
        <v>43256.225704214572</v>
      </c>
      <c r="C3463">
        <f t="shared" ca="1" si="159"/>
        <v>0</v>
      </c>
      <c r="D3463">
        <f t="shared" ca="1" si="160"/>
        <v>3256.225704214572</v>
      </c>
    </row>
    <row r="3464" spans="2:4" x14ac:dyDescent="0.25">
      <c r="B3464">
        <f t="shared" ca="1" si="161"/>
        <v>41591.242814434612</v>
      </c>
      <c r="C3464">
        <f t="shared" ca="1" si="159"/>
        <v>0</v>
      </c>
      <c r="D3464">
        <f t="shared" ca="1" si="160"/>
        <v>1591.2428144346122</v>
      </c>
    </row>
    <row r="3465" spans="2:4" x14ac:dyDescent="0.25">
      <c r="B3465">
        <f t="shared" ca="1" si="161"/>
        <v>43267.310372347456</v>
      </c>
      <c r="C3465">
        <f t="shared" ca="1" si="159"/>
        <v>0</v>
      </c>
      <c r="D3465">
        <f t="shared" ca="1" si="160"/>
        <v>3267.310372347456</v>
      </c>
    </row>
    <row r="3466" spans="2:4" x14ac:dyDescent="0.25">
      <c r="B3466">
        <f t="shared" ca="1" si="161"/>
        <v>44152.931076136651</v>
      </c>
      <c r="C3466">
        <f t="shared" ca="1" si="159"/>
        <v>0</v>
      </c>
      <c r="D3466">
        <f t="shared" ca="1" si="160"/>
        <v>4152.9310761366505</v>
      </c>
    </row>
    <row r="3467" spans="2:4" x14ac:dyDescent="0.25">
      <c r="B3467">
        <f t="shared" ca="1" si="161"/>
        <v>50039.678109406108</v>
      </c>
      <c r="C3467">
        <f t="shared" ca="1" si="159"/>
        <v>0</v>
      </c>
      <c r="D3467">
        <f t="shared" ca="1" si="160"/>
        <v>10039.678109406108</v>
      </c>
    </row>
    <row r="3468" spans="2:4" x14ac:dyDescent="0.25">
      <c r="B3468">
        <f t="shared" ca="1" si="161"/>
        <v>43719.214197209389</v>
      </c>
      <c r="C3468">
        <f t="shared" ref="C3468:C3531" ca="1" si="162">IF(MAX($B$2-B3468)&lt;0,0,$B$2-B3468)</f>
        <v>0</v>
      </c>
      <c r="D3468">
        <f t="shared" ref="D3468:D3531" ca="1" si="163">IF(MAX(B3468-$B$2)&lt;0,0,B3468-$B$2)</f>
        <v>3719.2141972093887</v>
      </c>
    </row>
    <row r="3469" spans="2:4" x14ac:dyDescent="0.25">
      <c r="B3469">
        <f t="shared" ref="B3469:B3532" ca="1" si="164">$B$1*EXP((($B$4-($B$3^2)/2)*$B$5+$B$3*SQRT($B$5)*NORMSINV(RAND())))</f>
        <v>39158.970510672458</v>
      </c>
      <c r="C3469">
        <f t="shared" ca="1" si="162"/>
        <v>841.02948932754225</v>
      </c>
      <c r="D3469">
        <f t="shared" ca="1" si="163"/>
        <v>0</v>
      </c>
    </row>
    <row r="3470" spans="2:4" x14ac:dyDescent="0.25">
      <c r="B3470">
        <f t="shared" ca="1" si="164"/>
        <v>45641.34518803106</v>
      </c>
      <c r="C3470">
        <f t="shared" ca="1" si="162"/>
        <v>0</v>
      </c>
      <c r="D3470">
        <f t="shared" ca="1" si="163"/>
        <v>5641.3451880310604</v>
      </c>
    </row>
    <row r="3471" spans="2:4" x14ac:dyDescent="0.25">
      <c r="B3471">
        <f t="shared" ca="1" si="164"/>
        <v>51643.728103246074</v>
      </c>
      <c r="C3471">
        <f t="shared" ca="1" si="162"/>
        <v>0</v>
      </c>
      <c r="D3471">
        <f t="shared" ca="1" si="163"/>
        <v>11643.728103246074</v>
      </c>
    </row>
    <row r="3472" spans="2:4" x14ac:dyDescent="0.25">
      <c r="B3472">
        <f t="shared" ca="1" si="164"/>
        <v>50362.2525137919</v>
      </c>
      <c r="C3472">
        <f t="shared" ca="1" si="162"/>
        <v>0</v>
      </c>
      <c r="D3472">
        <f t="shared" ca="1" si="163"/>
        <v>10362.2525137919</v>
      </c>
    </row>
    <row r="3473" spans="2:4" x14ac:dyDescent="0.25">
      <c r="B3473">
        <f t="shared" ca="1" si="164"/>
        <v>42820.076607606534</v>
      </c>
      <c r="C3473">
        <f t="shared" ca="1" si="162"/>
        <v>0</v>
      </c>
      <c r="D3473">
        <f t="shared" ca="1" si="163"/>
        <v>2820.0766076065338</v>
      </c>
    </row>
    <row r="3474" spans="2:4" x14ac:dyDescent="0.25">
      <c r="B3474">
        <f t="shared" ca="1" si="164"/>
        <v>45223.171409003975</v>
      </c>
      <c r="C3474">
        <f t="shared" ca="1" si="162"/>
        <v>0</v>
      </c>
      <c r="D3474">
        <f t="shared" ca="1" si="163"/>
        <v>5223.171409003975</v>
      </c>
    </row>
    <row r="3475" spans="2:4" x14ac:dyDescent="0.25">
      <c r="B3475">
        <f t="shared" ca="1" si="164"/>
        <v>45867.495569902967</v>
      </c>
      <c r="C3475">
        <f t="shared" ca="1" si="162"/>
        <v>0</v>
      </c>
      <c r="D3475">
        <f t="shared" ca="1" si="163"/>
        <v>5867.495569902967</v>
      </c>
    </row>
    <row r="3476" spans="2:4" x14ac:dyDescent="0.25">
      <c r="B3476">
        <f t="shared" ca="1" si="164"/>
        <v>49580.035278363182</v>
      </c>
      <c r="C3476">
        <f t="shared" ca="1" si="162"/>
        <v>0</v>
      </c>
      <c r="D3476">
        <f t="shared" ca="1" si="163"/>
        <v>9580.0352783631824</v>
      </c>
    </row>
    <row r="3477" spans="2:4" x14ac:dyDescent="0.25">
      <c r="B3477">
        <f t="shared" ca="1" si="164"/>
        <v>45819.978415057434</v>
      </c>
      <c r="C3477">
        <f t="shared" ca="1" si="162"/>
        <v>0</v>
      </c>
      <c r="D3477">
        <f t="shared" ca="1" si="163"/>
        <v>5819.9784150574342</v>
      </c>
    </row>
    <row r="3478" spans="2:4" x14ac:dyDescent="0.25">
      <c r="B3478">
        <f t="shared" ca="1" si="164"/>
        <v>36088.034802901399</v>
      </c>
      <c r="C3478">
        <f t="shared" ca="1" si="162"/>
        <v>3911.9651970986015</v>
      </c>
      <c r="D3478">
        <f t="shared" ca="1" si="163"/>
        <v>0</v>
      </c>
    </row>
    <row r="3479" spans="2:4" x14ac:dyDescent="0.25">
      <c r="B3479">
        <f t="shared" ca="1" si="164"/>
        <v>51612.244027681532</v>
      </c>
      <c r="C3479">
        <f t="shared" ca="1" si="162"/>
        <v>0</v>
      </c>
      <c r="D3479">
        <f t="shared" ca="1" si="163"/>
        <v>11612.244027681532</v>
      </c>
    </row>
    <row r="3480" spans="2:4" x14ac:dyDescent="0.25">
      <c r="B3480">
        <f t="shared" ca="1" si="164"/>
        <v>47454.19528280534</v>
      </c>
      <c r="C3480">
        <f t="shared" ca="1" si="162"/>
        <v>0</v>
      </c>
      <c r="D3480">
        <f t="shared" ca="1" si="163"/>
        <v>7454.19528280534</v>
      </c>
    </row>
    <row r="3481" spans="2:4" x14ac:dyDescent="0.25">
      <c r="B3481">
        <f t="shared" ca="1" si="164"/>
        <v>39925.118185331674</v>
      </c>
      <c r="C3481">
        <f t="shared" ca="1" si="162"/>
        <v>74.881814668326115</v>
      </c>
      <c r="D3481">
        <f t="shared" ca="1" si="163"/>
        <v>0</v>
      </c>
    </row>
    <row r="3482" spans="2:4" x14ac:dyDescent="0.25">
      <c r="B3482">
        <f t="shared" ca="1" si="164"/>
        <v>37556.708008374844</v>
      </c>
      <c r="C3482">
        <f t="shared" ca="1" si="162"/>
        <v>2443.2919916251558</v>
      </c>
      <c r="D3482">
        <f t="shared" ca="1" si="163"/>
        <v>0</v>
      </c>
    </row>
    <row r="3483" spans="2:4" x14ac:dyDescent="0.25">
      <c r="B3483">
        <f t="shared" ca="1" si="164"/>
        <v>44822.902340358407</v>
      </c>
      <c r="C3483">
        <f t="shared" ca="1" si="162"/>
        <v>0</v>
      </c>
      <c r="D3483">
        <f t="shared" ca="1" si="163"/>
        <v>4822.9023403584069</v>
      </c>
    </row>
    <row r="3484" spans="2:4" x14ac:dyDescent="0.25">
      <c r="B3484">
        <f t="shared" ca="1" si="164"/>
        <v>43832.740543678774</v>
      </c>
      <c r="C3484">
        <f t="shared" ca="1" si="162"/>
        <v>0</v>
      </c>
      <c r="D3484">
        <f t="shared" ca="1" si="163"/>
        <v>3832.740543678774</v>
      </c>
    </row>
    <row r="3485" spans="2:4" x14ac:dyDescent="0.25">
      <c r="B3485">
        <f t="shared" ca="1" si="164"/>
        <v>44385.903390285566</v>
      </c>
      <c r="C3485">
        <f t="shared" ca="1" si="162"/>
        <v>0</v>
      </c>
      <c r="D3485">
        <f t="shared" ca="1" si="163"/>
        <v>4385.9033902855663</v>
      </c>
    </row>
    <row r="3486" spans="2:4" x14ac:dyDescent="0.25">
      <c r="B3486">
        <f t="shared" ca="1" si="164"/>
        <v>48425.837667701257</v>
      </c>
      <c r="C3486">
        <f t="shared" ca="1" si="162"/>
        <v>0</v>
      </c>
      <c r="D3486">
        <f t="shared" ca="1" si="163"/>
        <v>8425.8376677012566</v>
      </c>
    </row>
    <row r="3487" spans="2:4" x14ac:dyDescent="0.25">
      <c r="B3487">
        <f t="shared" ca="1" si="164"/>
        <v>47482.253760282219</v>
      </c>
      <c r="C3487">
        <f t="shared" ca="1" si="162"/>
        <v>0</v>
      </c>
      <c r="D3487">
        <f t="shared" ca="1" si="163"/>
        <v>7482.2537602822194</v>
      </c>
    </row>
    <row r="3488" spans="2:4" x14ac:dyDescent="0.25">
      <c r="B3488">
        <f t="shared" ca="1" si="164"/>
        <v>43654.375025588495</v>
      </c>
      <c r="C3488">
        <f t="shared" ca="1" si="162"/>
        <v>0</v>
      </c>
      <c r="D3488">
        <f t="shared" ca="1" si="163"/>
        <v>3654.3750255884952</v>
      </c>
    </row>
    <row r="3489" spans="2:4" x14ac:dyDescent="0.25">
      <c r="B3489">
        <f t="shared" ca="1" si="164"/>
        <v>50353.152871070415</v>
      </c>
      <c r="C3489">
        <f t="shared" ca="1" si="162"/>
        <v>0</v>
      </c>
      <c r="D3489">
        <f t="shared" ca="1" si="163"/>
        <v>10353.152871070415</v>
      </c>
    </row>
    <row r="3490" spans="2:4" x14ac:dyDescent="0.25">
      <c r="B3490">
        <f t="shared" ca="1" si="164"/>
        <v>47689.359989911289</v>
      </c>
      <c r="C3490">
        <f t="shared" ca="1" si="162"/>
        <v>0</v>
      </c>
      <c r="D3490">
        <f t="shared" ca="1" si="163"/>
        <v>7689.3599899112887</v>
      </c>
    </row>
    <row r="3491" spans="2:4" x14ac:dyDescent="0.25">
      <c r="B3491">
        <f t="shared" ca="1" si="164"/>
        <v>44909.243780855206</v>
      </c>
      <c r="C3491">
        <f t="shared" ca="1" si="162"/>
        <v>0</v>
      </c>
      <c r="D3491">
        <f t="shared" ca="1" si="163"/>
        <v>4909.2437808552058</v>
      </c>
    </row>
    <row r="3492" spans="2:4" x14ac:dyDescent="0.25">
      <c r="B3492">
        <f t="shared" ca="1" si="164"/>
        <v>39425.968212809465</v>
      </c>
      <c r="C3492">
        <f t="shared" ca="1" si="162"/>
        <v>574.0317871905354</v>
      </c>
      <c r="D3492">
        <f t="shared" ca="1" si="163"/>
        <v>0</v>
      </c>
    </row>
    <row r="3493" spans="2:4" x14ac:dyDescent="0.25">
      <c r="B3493">
        <f t="shared" ca="1" si="164"/>
        <v>50805.632899209748</v>
      </c>
      <c r="C3493">
        <f t="shared" ca="1" si="162"/>
        <v>0</v>
      </c>
      <c r="D3493">
        <f t="shared" ca="1" si="163"/>
        <v>10805.632899209748</v>
      </c>
    </row>
    <row r="3494" spans="2:4" x14ac:dyDescent="0.25">
      <c r="B3494">
        <f t="shared" ca="1" si="164"/>
        <v>55719.672394894864</v>
      </c>
      <c r="C3494">
        <f t="shared" ca="1" si="162"/>
        <v>0</v>
      </c>
      <c r="D3494">
        <f t="shared" ca="1" si="163"/>
        <v>15719.672394894864</v>
      </c>
    </row>
    <row r="3495" spans="2:4" x14ac:dyDescent="0.25">
      <c r="B3495">
        <f t="shared" ca="1" si="164"/>
        <v>44031.165963187283</v>
      </c>
      <c r="C3495">
        <f t="shared" ca="1" si="162"/>
        <v>0</v>
      </c>
      <c r="D3495">
        <f t="shared" ca="1" si="163"/>
        <v>4031.1659631872826</v>
      </c>
    </row>
    <row r="3496" spans="2:4" x14ac:dyDescent="0.25">
      <c r="B3496">
        <f t="shared" ca="1" si="164"/>
        <v>50514.015082516184</v>
      </c>
      <c r="C3496">
        <f t="shared" ca="1" si="162"/>
        <v>0</v>
      </c>
      <c r="D3496">
        <f t="shared" ca="1" si="163"/>
        <v>10514.015082516184</v>
      </c>
    </row>
    <row r="3497" spans="2:4" x14ac:dyDescent="0.25">
      <c r="B3497">
        <f t="shared" ca="1" si="164"/>
        <v>49043.404208399304</v>
      </c>
      <c r="C3497">
        <f t="shared" ca="1" si="162"/>
        <v>0</v>
      </c>
      <c r="D3497">
        <f t="shared" ca="1" si="163"/>
        <v>9043.4042083993045</v>
      </c>
    </row>
    <row r="3498" spans="2:4" x14ac:dyDescent="0.25">
      <c r="B3498">
        <f t="shared" ca="1" si="164"/>
        <v>40198.66096238108</v>
      </c>
      <c r="C3498">
        <f t="shared" ca="1" si="162"/>
        <v>0</v>
      </c>
      <c r="D3498">
        <f t="shared" ca="1" si="163"/>
        <v>198.66096238108003</v>
      </c>
    </row>
    <row r="3499" spans="2:4" x14ac:dyDescent="0.25">
      <c r="B3499">
        <f t="shared" ca="1" si="164"/>
        <v>40106.392941248247</v>
      </c>
      <c r="C3499">
        <f t="shared" ca="1" si="162"/>
        <v>0</v>
      </c>
      <c r="D3499">
        <f t="shared" ca="1" si="163"/>
        <v>106.39294124824664</v>
      </c>
    </row>
    <row r="3500" spans="2:4" x14ac:dyDescent="0.25">
      <c r="B3500">
        <f t="shared" ca="1" si="164"/>
        <v>44904.031181603197</v>
      </c>
      <c r="C3500">
        <f t="shared" ca="1" si="162"/>
        <v>0</v>
      </c>
      <c r="D3500">
        <f t="shared" ca="1" si="163"/>
        <v>4904.0311816031972</v>
      </c>
    </row>
    <row r="3501" spans="2:4" x14ac:dyDescent="0.25">
      <c r="B3501">
        <f t="shared" ca="1" si="164"/>
        <v>53640.61200288988</v>
      </c>
      <c r="C3501">
        <f t="shared" ca="1" si="162"/>
        <v>0</v>
      </c>
      <c r="D3501">
        <f t="shared" ca="1" si="163"/>
        <v>13640.61200288988</v>
      </c>
    </row>
    <row r="3502" spans="2:4" x14ac:dyDescent="0.25">
      <c r="B3502">
        <f t="shared" ca="1" si="164"/>
        <v>50855.829743426948</v>
      </c>
      <c r="C3502">
        <f t="shared" ca="1" si="162"/>
        <v>0</v>
      </c>
      <c r="D3502">
        <f t="shared" ca="1" si="163"/>
        <v>10855.829743426948</v>
      </c>
    </row>
    <row r="3503" spans="2:4" x14ac:dyDescent="0.25">
      <c r="B3503">
        <f t="shared" ca="1" si="164"/>
        <v>35882.041275927586</v>
      </c>
      <c r="C3503">
        <f t="shared" ca="1" si="162"/>
        <v>4117.958724072414</v>
      </c>
      <c r="D3503">
        <f t="shared" ca="1" si="163"/>
        <v>0</v>
      </c>
    </row>
    <row r="3504" spans="2:4" x14ac:dyDescent="0.25">
      <c r="B3504">
        <f t="shared" ca="1" si="164"/>
        <v>52033.877886701601</v>
      </c>
      <c r="C3504">
        <f t="shared" ca="1" si="162"/>
        <v>0</v>
      </c>
      <c r="D3504">
        <f t="shared" ca="1" si="163"/>
        <v>12033.877886701601</v>
      </c>
    </row>
    <row r="3505" spans="2:4" x14ac:dyDescent="0.25">
      <c r="B3505">
        <f t="shared" ca="1" si="164"/>
        <v>47364.187727297271</v>
      </c>
      <c r="C3505">
        <f t="shared" ca="1" si="162"/>
        <v>0</v>
      </c>
      <c r="D3505">
        <f t="shared" ca="1" si="163"/>
        <v>7364.1877272972706</v>
      </c>
    </row>
    <row r="3506" spans="2:4" x14ac:dyDescent="0.25">
      <c r="B3506">
        <f t="shared" ca="1" si="164"/>
        <v>47426.535053136213</v>
      </c>
      <c r="C3506">
        <f t="shared" ca="1" si="162"/>
        <v>0</v>
      </c>
      <c r="D3506">
        <f t="shared" ca="1" si="163"/>
        <v>7426.5350531362128</v>
      </c>
    </row>
    <row r="3507" spans="2:4" x14ac:dyDescent="0.25">
      <c r="B3507">
        <f t="shared" ca="1" si="164"/>
        <v>39786.906684790811</v>
      </c>
      <c r="C3507">
        <f t="shared" ca="1" si="162"/>
        <v>213.09331520918931</v>
      </c>
      <c r="D3507">
        <f t="shared" ca="1" si="163"/>
        <v>0</v>
      </c>
    </row>
    <row r="3508" spans="2:4" x14ac:dyDescent="0.25">
      <c r="B3508">
        <f t="shared" ca="1" si="164"/>
        <v>41626.890723207573</v>
      </c>
      <c r="C3508">
        <f t="shared" ca="1" si="162"/>
        <v>0</v>
      </c>
      <c r="D3508">
        <f t="shared" ca="1" si="163"/>
        <v>1626.8907232075726</v>
      </c>
    </row>
    <row r="3509" spans="2:4" x14ac:dyDescent="0.25">
      <c r="B3509">
        <f t="shared" ca="1" si="164"/>
        <v>41342.623264481081</v>
      </c>
      <c r="C3509">
        <f t="shared" ca="1" si="162"/>
        <v>0</v>
      </c>
      <c r="D3509">
        <f t="shared" ca="1" si="163"/>
        <v>1342.6232644810807</v>
      </c>
    </row>
    <row r="3510" spans="2:4" x14ac:dyDescent="0.25">
      <c r="B3510">
        <f t="shared" ca="1" si="164"/>
        <v>44381.065674025907</v>
      </c>
      <c r="C3510">
        <f t="shared" ca="1" si="162"/>
        <v>0</v>
      </c>
      <c r="D3510">
        <f t="shared" ca="1" si="163"/>
        <v>4381.0656740259074</v>
      </c>
    </row>
    <row r="3511" spans="2:4" x14ac:dyDescent="0.25">
      <c r="B3511">
        <f t="shared" ca="1" si="164"/>
        <v>41054.359747172028</v>
      </c>
      <c r="C3511">
        <f t="shared" ca="1" si="162"/>
        <v>0</v>
      </c>
      <c r="D3511">
        <f t="shared" ca="1" si="163"/>
        <v>1054.3597471720277</v>
      </c>
    </row>
    <row r="3512" spans="2:4" x14ac:dyDescent="0.25">
      <c r="B3512">
        <f t="shared" ca="1" si="164"/>
        <v>43087.791204138535</v>
      </c>
      <c r="C3512">
        <f t="shared" ca="1" si="162"/>
        <v>0</v>
      </c>
      <c r="D3512">
        <f t="shared" ca="1" si="163"/>
        <v>3087.7912041385352</v>
      </c>
    </row>
    <row r="3513" spans="2:4" x14ac:dyDescent="0.25">
      <c r="B3513">
        <f t="shared" ca="1" si="164"/>
        <v>43954.375736911243</v>
      </c>
      <c r="C3513">
        <f t="shared" ca="1" si="162"/>
        <v>0</v>
      </c>
      <c r="D3513">
        <f t="shared" ca="1" si="163"/>
        <v>3954.3757369112427</v>
      </c>
    </row>
    <row r="3514" spans="2:4" x14ac:dyDescent="0.25">
      <c r="B3514">
        <f t="shared" ca="1" si="164"/>
        <v>41654.211871425679</v>
      </c>
      <c r="C3514">
        <f t="shared" ca="1" si="162"/>
        <v>0</v>
      </c>
      <c r="D3514">
        <f t="shared" ca="1" si="163"/>
        <v>1654.2118714256794</v>
      </c>
    </row>
    <row r="3515" spans="2:4" x14ac:dyDescent="0.25">
      <c r="B3515">
        <f t="shared" ca="1" si="164"/>
        <v>44959.784555052902</v>
      </c>
      <c r="C3515">
        <f t="shared" ca="1" si="162"/>
        <v>0</v>
      </c>
      <c r="D3515">
        <f t="shared" ca="1" si="163"/>
        <v>4959.7845550529019</v>
      </c>
    </row>
    <row r="3516" spans="2:4" x14ac:dyDescent="0.25">
      <c r="B3516">
        <f t="shared" ca="1" si="164"/>
        <v>51548.190168675239</v>
      </c>
      <c r="C3516">
        <f t="shared" ca="1" si="162"/>
        <v>0</v>
      </c>
      <c r="D3516">
        <f t="shared" ca="1" si="163"/>
        <v>11548.190168675239</v>
      </c>
    </row>
    <row r="3517" spans="2:4" x14ac:dyDescent="0.25">
      <c r="B3517">
        <f t="shared" ca="1" si="164"/>
        <v>47386.652812669141</v>
      </c>
      <c r="C3517">
        <f t="shared" ca="1" si="162"/>
        <v>0</v>
      </c>
      <c r="D3517">
        <f t="shared" ca="1" si="163"/>
        <v>7386.652812669141</v>
      </c>
    </row>
    <row r="3518" spans="2:4" x14ac:dyDescent="0.25">
      <c r="B3518">
        <f t="shared" ca="1" si="164"/>
        <v>52910.295993560751</v>
      </c>
      <c r="C3518">
        <f t="shared" ca="1" si="162"/>
        <v>0</v>
      </c>
      <c r="D3518">
        <f t="shared" ca="1" si="163"/>
        <v>12910.295993560751</v>
      </c>
    </row>
    <row r="3519" spans="2:4" x14ac:dyDescent="0.25">
      <c r="B3519">
        <f t="shared" ca="1" si="164"/>
        <v>40014.336337128712</v>
      </c>
      <c r="C3519">
        <f t="shared" ca="1" si="162"/>
        <v>0</v>
      </c>
      <c r="D3519">
        <f t="shared" ca="1" si="163"/>
        <v>14.33633712871233</v>
      </c>
    </row>
    <row r="3520" spans="2:4" x14ac:dyDescent="0.25">
      <c r="B3520">
        <f t="shared" ca="1" si="164"/>
        <v>37277.087108042775</v>
      </c>
      <c r="C3520">
        <f t="shared" ca="1" si="162"/>
        <v>2722.9128919572249</v>
      </c>
      <c r="D3520">
        <f t="shared" ca="1" si="163"/>
        <v>0</v>
      </c>
    </row>
    <row r="3521" spans="2:4" x14ac:dyDescent="0.25">
      <c r="B3521">
        <f t="shared" ca="1" si="164"/>
        <v>49660.254930138057</v>
      </c>
      <c r="C3521">
        <f t="shared" ca="1" si="162"/>
        <v>0</v>
      </c>
      <c r="D3521">
        <f t="shared" ca="1" si="163"/>
        <v>9660.2549301380568</v>
      </c>
    </row>
    <row r="3522" spans="2:4" x14ac:dyDescent="0.25">
      <c r="B3522">
        <f t="shared" ca="1" si="164"/>
        <v>47387.527858912719</v>
      </c>
      <c r="C3522">
        <f t="shared" ca="1" si="162"/>
        <v>0</v>
      </c>
      <c r="D3522">
        <f t="shared" ca="1" si="163"/>
        <v>7387.5278589127192</v>
      </c>
    </row>
    <row r="3523" spans="2:4" x14ac:dyDescent="0.25">
      <c r="B3523">
        <f t="shared" ca="1" si="164"/>
        <v>42902.135764512415</v>
      </c>
      <c r="C3523">
        <f t="shared" ca="1" si="162"/>
        <v>0</v>
      </c>
      <c r="D3523">
        <f t="shared" ca="1" si="163"/>
        <v>2902.1357645124153</v>
      </c>
    </row>
    <row r="3524" spans="2:4" x14ac:dyDescent="0.25">
      <c r="B3524">
        <f t="shared" ca="1" si="164"/>
        <v>51401.702981395421</v>
      </c>
      <c r="C3524">
        <f t="shared" ca="1" si="162"/>
        <v>0</v>
      </c>
      <c r="D3524">
        <f t="shared" ca="1" si="163"/>
        <v>11401.702981395421</v>
      </c>
    </row>
    <row r="3525" spans="2:4" x14ac:dyDescent="0.25">
      <c r="B3525">
        <f t="shared" ca="1" si="164"/>
        <v>46293.370018602232</v>
      </c>
      <c r="C3525">
        <f t="shared" ca="1" si="162"/>
        <v>0</v>
      </c>
      <c r="D3525">
        <f t="shared" ca="1" si="163"/>
        <v>6293.3700186022324</v>
      </c>
    </row>
    <row r="3526" spans="2:4" x14ac:dyDescent="0.25">
      <c r="B3526">
        <f t="shared" ca="1" si="164"/>
        <v>41424.984400745074</v>
      </c>
      <c r="C3526">
        <f t="shared" ca="1" si="162"/>
        <v>0</v>
      </c>
      <c r="D3526">
        <f t="shared" ca="1" si="163"/>
        <v>1424.9844007450738</v>
      </c>
    </row>
    <row r="3527" spans="2:4" x14ac:dyDescent="0.25">
      <c r="B3527">
        <f t="shared" ca="1" si="164"/>
        <v>47496.107596391965</v>
      </c>
      <c r="C3527">
        <f t="shared" ca="1" si="162"/>
        <v>0</v>
      </c>
      <c r="D3527">
        <f t="shared" ca="1" si="163"/>
        <v>7496.1075963919648</v>
      </c>
    </row>
    <row r="3528" spans="2:4" x14ac:dyDescent="0.25">
      <c r="B3528">
        <f t="shared" ca="1" si="164"/>
        <v>48072.431002328784</v>
      </c>
      <c r="C3528">
        <f t="shared" ca="1" si="162"/>
        <v>0</v>
      </c>
      <c r="D3528">
        <f t="shared" ca="1" si="163"/>
        <v>8072.4310023287835</v>
      </c>
    </row>
    <row r="3529" spans="2:4" x14ac:dyDescent="0.25">
      <c r="B3529">
        <f t="shared" ca="1" si="164"/>
        <v>63155.926238456421</v>
      </c>
      <c r="C3529">
        <f t="shared" ca="1" si="162"/>
        <v>0</v>
      </c>
      <c r="D3529">
        <f t="shared" ca="1" si="163"/>
        <v>23155.926238456421</v>
      </c>
    </row>
    <row r="3530" spans="2:4" x14ac:dyDescent="0.25">
      <c r="B3530">
        <f t="shared" ca="1" si="164"/>
        <v>46169.377560995708</v>
      </c>
      <c r="C3530">
        <f t="shared" ca="1" si="162"/>
        <v>0</v>
      </c>
      <c r="D3530">
        <f t="shared" ca="1" si="163"/>
        <v>6169.3775609957083</v>
      </c>
    </row>
    <row r="3531" spans="2:4" x14ac:dyDescent="0.25">
      <c r="B3531">
        <f t="shared" ca="1" si="164"/>
        <v>48054.173937169173</v>
      </c>
      <c r="C3531">
        <f t="shared" ca="1" si="162"/>
        <v>0</v>
      </c>
      <c r="D3531">
        <f t="shared" ca="1" si="163"/>
        <v>8054.1739371691729</v>
      </c>
    </row>
    <row r="3532" spans="2:4" x14ac:dyDescent="0.25">
      <c r="B3532">
        <f t="shared" ca="1" si="164"/>
        <v>45031.859548395274</v>
      </c>
      <c r="C3532">
        <f t="shared" ref="C3532:C3595" ca="1" si="165">IF(MAX($B$2-B3532)&lt;0,0,$B$2-B3532)</f>
        <v>0</v>
      </c>
      <c r="D3532">
        <f t="shared" ref="D3532:D3595" ca="1" si="166">IF(MAX(B3532-$B$2)&lt;0,0,B3532-$B$2)</f>
        <v>5031.859548395274</v>
      </c>
    </row>
    <row r="3533" spans="2:4" x14ac:dyDescent="0.25">
      <c r="B3533">
        <f t="shared" ref="B3533:B3596" ca="1" si="167">$B$1*EXP((($B$4-($B$3^2)/2)*$B$5+$B$3*SQRT($B$5)*NORMSINV(RAND())))</f>
        <v>41146.832014041378</v>
      </c>
      <c r="C3533">
        <f t="shared" ca="1" si="165"/>
        <v>0</v>
      </c>
      <c r="D3533">
        <f t="shared" ca="1" si="166"/>
        <v>1146.832014041378</v>
      </c>
    </row>
    <row r="3534" spans="2:4" x14ac:dyDescent="0.25">
      <c r="B3534">
        <f t="shared" ca="1" si="167"/>
        <v>43368.714011681805</v>
      </c>
      <c r="C3534">
        <f t="shared" ca="1" si="165"/>
        <v>0</v>
      </c>
      <c r="D3534">
        <f t="shared" ca="1" si="166"/>
        <v>3368.7140116818045</v>
      </c>
    </row>
    <row r="3535" spans="2:4" x14ac:dyDescent="0.25">
      <c r="B3535">
        <f t="shared" ca="1" si="167"/>
        <v>39671.851460150574</v>
      </c>
      <c r="C3535">
        <f t="shared" ca="1" si="165"/>
        <v>328.14853984942602</v>
      </c>
      <c r="D3535">
        <f t="shared" ca="1" si="166"/>
        <v>0</v>
      </c>
    </row>
    <row r="3536" spans="2:4" x14ac:dyDescent="0.25">
      <c r="B3536">
        <f t="shared" ca="1" si="167"/>
        <v>41531.809430491245</v>
      </c>
      <c r="C3536">
        <f t="shared" ca="1" si="165"/>
        <v>0</v>
      </c>
      <c r="D3536">
        <f t="shared" ca="1" si="166"/>
        <v>1531.8094304912447</v>
      </c>
    </row>
    <row r="3537" spans="2:4" x14ac:dyDescent="0.25">
      <c r="B3537">
        <f t="shared" ca="1" si="167"/>
        <v>39234.604284081019</v>
      </c>
      <c r="C3537">
        <f t="shared" ca="1" si="165"/>
        <v>765.3957159189813</v>
      </c>
      <c r="D3537">
        <f t="shared" ca="1" si="166"/>
        <v>0</v>
      </c>
    </row>
    <row r="3538" spans="2:4" x14ac:dyDescent="0.25">
      <c r="B3538">
        <f t="shared" ca="1" si="167"/>
        <v>41367.496673999063</v>
      </c>
      <c r="C3538">
        <f t="shared" ca="1" si="165"/>
        <v>0</v>
      </c>
      <c r="D3538">
        <f t="shared" ca="1" si="166"/>
        <v>1367.4966739990632</v>
      </c>
    </row>
    <row r="3539" spans="2:4" x14ac:dyDescent="0.25">
      <c r="B3539">
        <f t="shared" ca="1" si="167"/>
        <v>45285.100190741068</v>
      </c>
      <c r="C3539">
        <f t="shared" ca="1" si="165"/>
        <v>0</v>
      </c>
      <c r="D3539">
        <f t="shared" ca="1" si="166"/>
        <v>5285.1001907410682</v>
      </c>
    </row>
    <row r="3540" spans="2:4" x14ac:dyDescent="0.25">
      <c r="B3540">
        <f t="shared" ca="1" si="167"/>
        <v>50621.710418247036</v>
      </c>
      <c r="C3540">
        <f t="shared" ca="1" si="165"/>
        <v>0</v>
      </c>
      <c r="D3540">
        <f t="shared" ca="1" si="166"/>
        <v>10621.710418247036</v>
      </c>
    </row>
    <row r="3541" spans="2:4" x14ac:dyDescent="0.25">
      <c r="B3541">
        <f t="shared" ca="1" si="167"/>
        <v>46170.213187185698</v>
      </c>
      <c r="C3541">
        <f t="shared" ca="1" si="165"/>
        <v>0</v>
      </c>
      <c r="D3541">
        <f t="shared" ca="1" si="166"/>
        <v>6170.2131871856982</v>
      </c>
    </row>
    <row r="3542" spans="2:4" x14ac:dyDescent="0.25">
      <c r="B3542">
        <f t="shared" ca="1" si="167"/>
        <v>51020.715673884348</v>
      </c>
      <c r="C3542">
        <f t="shared" ca="1" si="165"/>
        <v>0</v>
      </c>
      <c r="D3542">
        <f t="shared" ca="1" si="166"/>
        <v>11020.715673884348</v>
      </c>
    </row>
    <row r="3543" spans="2:4" x14ac:dyDescent="0.25">
      <c r="B3543">
        <f t="shared" ca="1" si="167"/>
        <v>48601.40644943394</v>
      </c>
      <c r="C3543">
        <f t="shared" ca="1" si="165"/>
        <v>0</v>
      </c>
      <c r="D3543">
        <f t="shared" ca="1" si="166"/>
        <v>8601.40644943394</v>
      </c>
    </row>
    <row r="3544" spans="2:4" x14ac:dyDescent="0.25">
      <c r="B3544">
        <f t="shared" ca="1" si="167"/>
        <v>43519.774917410839</v>
      </c>
      <c r="C3544">
        <f t="shared" ca="1" si="165"/>
        <v>0</v>
      </c>
      <c r="D3544">
        <f t="shared" ca="1" si="166"/>
        <v>3519.7749174108394</v>
      </c>
    </row>
    <row r="3545" spans="2:4" x14ac:dyDescent="0.25">
      <c r="B3545">
        <f t="shared" ca="1" si="167"/>
        <v>44375.266393593913</v>
      </c>
      <c r="C3545">
        <f t="shared" ca="1" si="165"/>
        <v>0</v>
      </c>
      <c r="D3545">
        <f t="shared" ca="1" si="166"/>
        <v>4375.2663935939127</v>
      </c>
    </row>
    <row r="3546" spans="2:4" x14ac:dyDescent="0.25">
      <c r="B3546">
        <f t="shared" ca="1" si="167"/>
        <v>44572.741850460552</v>
      </c>
      <c r="C3546">
        <f t="shared" ca="1" si="165"/>
        <v>0</v>
      </c>
      <c r="D3546">
        <f t="shared" ca="1" si="166"/>
        <v>4572.7418504605521</v>
      </c>
    </row>
    <row r="3547" spans="2:4" x14ac:dyDescent="0.25">
      <c r="B3547">
        <f t="shared" ca="1" si="167"/>
        <v>37923.426900446924</v>
      </c>
      <c r="C3547">
        <f t="shared" ca="1" si="165"/>
        <v>2076.5730995530757</v>
      </c>
      <c r="D3547">
        <f t="shared" ca="1" si="166"/>
        <v>0</v>
      </c>
    </row>
    <row r="3548" spans="2:4" x14ac:dyDescent="0.25">
      <c r="B3548">
        <f t="shared" ca="1" si="167"/>
        <v>42335.232368825797</v>
      </c>
      <c r="C3548">
        <f t="shared" ca="1" si="165"/>
        <v>0</v>
      </c>
      <c r="D3548">
        <f t="shared" ca="1" si="166"/>
        <v>2335.2323688257966</v>
      </c>
    </row>
    <row r="3549" spans="2:4" x14ac:dyDescent="0.25">
      <c r="B3549">
        <f t="shared" ca="1" si="167"/>
        <v>47991.930165614685</v>
      </c>
      <c r="C3549">
        <f t="shared" ca="1" si="165"/>
        <v>0</v>
      </c>
      <c r="D3549">
        <f t="shared" ca="1" si="166"/>
        <v>7991.9301656146854</v>
      </c>
    </row>
    <row r="3550" spans="2:4" x14ac:dyDescent="0.25">
      <c r="B3550">
        <f t="shared" ca="1" si="167"/>
        <v>42041.316556495563</v>
      </c>
      <c r="C3550">
        <f t="shared" ca="1" si="165"/>
        <v>0</v>
      </c>
      <c r="D3550">
        <f t="shared" ca="1" si="166"/>
        <v>2041.3165564955634</v>
      </c>
    </row>
    <row r="3551" spans="2:4" x14ac:dyDescent="0.25">
      <c r="B3551">
        <f t="shared" ca="1" si="167"/>
        <v>46631.421494396571</v>
      </c>
      <c r="C3551">
        <f t="shared" ca="1" si="165"/>
        <v>0</v>
      </c>
      <c r="D3551">
        <f t="shared" ca="1" si="166"/>
        <v>6631.4214943965708</v>
      </c>
    </row>
    <row r="3552" spans="2:4" x14ac:dyDescent="0.25">
      <c r="B3552">
        <f t="shared" ca="1" si="167"/>
        <v>45239.625842519978</v>
      </c>
      <c r="C3552">
        <f t="shared" ca="1" si="165"/>
        <v>0</v>
      </c>
      <c r="D3552">
        <f t="shared" ca="1" si="166"/>
        <v>5239.6258425199776</v>
      </c>
    </row>
    <row r="3553" spans="2:4" x14ac:dyDescent="0.25">
      <c r="B3553">
        <f t="shared" ca="1" si="167"/>
        <v>41951.840678362787</v>
      </c>
      <c r="C3553">
        <f t="shared" ca="1" si="165"/>
        <v>0</v>
      </c>
      <c r="D3553">
        <f t="shared" ca="1" si="166"/>
        <v>1951.840678362787</v>
      </c>
    </row>
    <row r="3554" spans="2:4" x14ac:dyDescent="0.25">
      <c r="B3554">
        <f t="shared" ca="1" si="167"/>
        <v>51602.564569167036</v>
      </c>
      <c r="C3554">
        <f t="shared" ca="1" si="165"/>
        <v>0</v>
      </c>
      <c r="D3554">
        <f t="shared" ca="1" si="166"/>
        <v>11602.564569167036</v>
      </c>
    </row>
    <row r="3555" spans="2:4" x14ac:dyDescent="0.25">
      <c r="B3555">
        <f t="shared" ca="1" si="167"/>
        <v>49480.604474510888</v>
      </c>
      <c r="C3555">
        <f t="shared" ca="1" si="165"/>
        <v>0</v>
      </c>
      <c r="D3555">
        <f t="shared" ca="1" si="166"/>
        <v>9480.6044745108884</v>
      </c>
    </row>
    <row r="3556" spans="2:4" x14ac:dyDescent="0.25">
      <c r="B3556">
        <f t="shared" ca="1" si="167"/>
        <v>38876.377109035093</v>
      </c>
      <c r="C3556">
        <f t="shared" ca="1" si="165"/>
        <v>1123.6228909649071</v>
      </c>
      <c r="D3556">
        <f t="shared" ca="1" si="166"/>
        <v>0</v>
      </c>
    </row>
    <row r="3557" spans="2:4" x14ac:dyDescent="0.25">
      <c r="B3557">
        <f t="shared" ca="1" si="167"/>
        <v>45942.466025865659</v>
      </c>
      <c r="C3557">
        <f t="shared" ca="1" si="165"/>
        <v>0</v>
      </c>
      <c r="D3557">
        <f t="shared" ca="1" si="166"/>
        <v>5942.4660258656586</v>
      </c>
    </row>
    <row r="3558" spans="2:4" x14ac:dyDescent="0.25">
      <c r="B3558">
        <f t="shared" ca="1" si="167"/>
        <v>40146.0368057097</v>
      </c>
      <c r="C3558">
        <f t="shared" ca="1" si="165"/>
        <v>0</v>
      </c>
      <c r="D3558">
        <f t="shared" ca="1" si="166"/>
        <v>146.03680570970027</v>
      </c>
    </row>
    <row r="3559" spans="2:4" x14ac:dyDescent="0.25">
      <c r="B3559">
        <f t="shared" ca="1" si="167"/>
        <v>47889.599015641877</v>
      </c>
      <c r="C3559">
        <f t="shared" ca="1" si="165"/>
        <v>0</v>
      </c>
      <c r="D3559">
        <f t="shared" ca="1" si="166"/>
        <v>7889.5990156418775</v>
      </c>
    </row>
    <row r="3560" spans="2:4" x14ac:dyDescent="0.25">
      <c r="B3560">
        <f t="shared" ca="1" si="167"/>
        <v>41279.639647660857</v>
      </c>
      <c r="C3560">
        <f t="shared" ca="1" si="165"/>
        <v>0</v>
      </c>
      <c r="D3560">
        <f t="shared" ca="1" si="166"/>
        <v>1279.639647660857</v>
      </c>
    </row>
    <row r="3561" spans="2:4" x14ac:dyDescent="0.25">
      <c r="B3561">
        <f t="shared" ca="1" si="167"/>
        <v>48376.50697743542</v>
      </c>
      <c r="C3561">
        <f t="shared" ca="1" si="165"/>
        <v>0</v>
      </c>
      <c r="D3561">
        <f t="shared" ca="1" si="166"/>
        <v>8376.5069774354197</v>
      </c>
    </row>
    <row r="3562" spans="2:4" x14ac:dyDescent="0.25">
      <c r="B3562">
        <f t="shared" ca="1" si="167"/>
        <v>46140.260327100455</v>
      </c>
      <c r="C3562">
        <f t="shared" ca="1" si="165"/>
        <v>0</v>
      </c>
      <c r="D3562">
        <f t="shared" ca="1" si="166"/>
        <v>6140.2603271004555</v>
      </c>
    </row>
    <row r="3563" spans="2:4" x14ac:dyDescent="0.25">
      <c r="B3563">
        <f t="shared" ca="1" si="167"/>
        <v>42495.516172862604</v>
      </c>
      <c r="C3563">
        <f t="shared" ca="1" si="165"/>
        <v>0</v>
      </c>
      <c r="D3563">
        <f t="shared" ca="1" si="166"/>
        <v>2495.5161728626044</v>
      </c>
    </row>
    <row r="3564" spans="2:4" x14ac:dyDescent="0.25">
      <c r="B3564">
        <f t="shared" ca="1" si="167"/>
        <v>52468.530553265497</v>
      </c>
      <c r="C3564">
        <f t="shared" ca="1" si="165"/>
        <v>0</v>
      </c>
      <c r="D3564">
        <f t="shared" ca="1" si="166"/>
        <v>12468.530553265497</v>
      </c>
    </row>
    <row r="3565" spans="2:4" x14ac:dyDescent="0.25">
      <c r="B3565">
        <f t="shared" ca="1" si="167"/>
        <v>38549.324101099599</v>
      </c>
      <c r="C3565">
        <f t="shared" ca="1" si="165"/>
        <v>1450.6758989004011</v>
      </c>
      <c r="D3565">
        <f t="shared" ca="1" si="166"/>
        <v>0</v>
      </c>
    </row>
    <row r="3566" spans="2:4" x14ac:dyDescent="0.25">
      <c r="B3566">
        <f t="shared" ca="1" si="167"/>
        <v>34997.811838446243</v>
      </c>
      <c r="C3566">
        <f t="shared" ca="1" si="165"/>
        <v>5002.1881615537568</v>
      </c>
      <c r="D3566">
        <f t="shared" ca="1" si="166"/>
        <v>0</v>
      </c>
    </row>
    <row r="3567" spans="2:4" x14ac:dyDescent="0.25">
      <c r="B3567">
        <f t="shared" ca="1" si="167"/>
        <v>35221.583613005823</v>
      </c>
      <c r="C3567">
        <f t="shared" ca="1" si="165"/>
        <v>4778.4163869941767</v>
      </c>
      <c r="D3567">
        <f t="shared" ca="1" si="166"/>
        <v>0</v>
      </c>
    </row>
    <row r="3568" spans="2:4" x14ac:dyDescent="0.25">
      <c r="B3568">
        <f t="shared" ca="1" si="167"/>
        <v>47754.622837022842</v>
      </c>
      <c r="C3568">
        <f t="shared" ca="1" si="165"/>
        <v>0</v>
      </c>
      <c r="D3568">
        <f t="shared" ca="1" si="166"/>
        <v>7754.6228370228418</v>
      </c>
    </row>
    <row r="3569" spans="2:4" x14ac:dyDescent="0.25">
      <c r="B3569">
        <f t="shared" ca="1" si="167"/>
        <v>49893.918054695445</v>
      </c>
      <c r="C3569">
        <f t="shared" ca="1" si="165"/>
        <v>0</v>
      </c>
      <c r="D3569">
        <f t="shared" ca="1" si="166"/>
        <v>9893.9180546954449</v>
      </c>
    </row>
    <row r="3570" spans="2:4" x14ac:dyDescent="0.25">
      <c r="B3570">
        <f t="shared" ca="1" si="167"/>
        <v>40457.801945504136</v>
      </c>
      <c r="C3570">
        <f t="shared" ca="1" si="165"/>
        <v>0</v>
      </c>
      <c r="D3570">
        <f t="shared" ca="1" si="166"/>
        <v>457.8019455041358</v>
      </c>
    </row>
    <row r="3571" spans="2:4" x14ac:dyDescent="0.25">
      <c r="B3571">
        <f t="shared" ca="1" si="167"/>
        <v>53161.216484128418</v>
      </c>
      <c r="C3571">
        <f t="shared" ca="1" si="165"/>
        <v>0</v>
      </c>
      <c r="D3571">
        <f t="shared" ca="1" si="166"/>
        <v>13161.216484128418</v>
      </c>
    </row>
    <row r="3572" spans="2:4" x14ac:dyDescent="0.25">
      <c r="B3572">
        <f t="shared" ca="1" si="167"/>
        <v>48994.621191861981</v>
      </c>
      <c r="C3572">
        <f t="shared" ca="1" si="165"/>
        <v>0</v>
      </c>
      <c r="D3572">
        <f t="shared" ca="1" si="166"/>
        <v>8994.6211918619811</v>
      </c>
    </row>
    <row r="3573" spans="2:4" x14ac:dyDescent="0.25">
      <c r="B3573">
        <f t="shared" ca="1" si="167"/>
        <v>47778.424233379163</v>
      </c>
      <c r="C3573">
        <f t="shared" ca="1" si="165"/>
        <v>0</v>
      </c>
      <c r="D3573">
        <f t="shared" ca="1" si="166"/>
        <v>7778.4242333791626</v>
      </c>
    </row>
    <row r="3574" spans="2:4" x14ac:dyDescent="0.25">
      <c r="B3574">
        <f t="shared" ca="1" si="167"/>
        <v>49049.315600870126</v>
      </c>
      <c r="C3574">
        <f t="shared" ca="1" si="165"/>
        <v>0</v>
      </c>
      <c r="D3574">
        <f t="shared" ca="1" si="166"/>
        <v>9049.3156008701262</v>
      </c>
    </row>
    <row r="3575" spans="2:4" x14ac:dyDescent="0.25">
      <c r="B3575">
        <f t="shared" ca="1" si="167"/>
        <v>42963.002252662925</v>
      </c>
      <c r="C3575">
        <f t="shared" ca="1" si="165"/>
        <v>0</v>
      </c>
      <c r="D3575">
        <f t="shared" ca="1" si="166"/>
        <v>2963.0022526629255</v>
      </c>
    </row>
    <row r="3576" spans="2:4" x14ac:dyDescent="0.25">
      <c r="B3576">
        <f t="shared" ca="1" si="167"/>
        <v>48109.766814369003</v>
      </c>
      <c r="C3576">
        <f t="shared" ca="1" si="165"/>
        <v>0</v>
      </c>
      <c r="D3576">
        <f t="shared" ca="1" si="166"/>
        <v>8109.7668143690025</v>
      </c>
    </row>
    <row r="3577" spans="2:4" x14ac:dyDescent="0.25">
      <c r="B3577">
        <f t="shared" ca="1" si="167"/>
        <v>49415.418271448005</v>
      </c>
      <c r="C3577">
        <f t="shared" ca="1" si="165"/>
        <v>0</v>
      </c>
      <c r="D3577">
        <f t="shared" ca="1" si="166"/>
        <v>9415.4182714480048</v>
      </c>
    </row>
    <row r="3578" spans="2:4" x14ac:dyDescent="0.25">
      <c r="B3578">
        <f t="shared" ca="1" si="167"/>
        <v>43172.164193500772</v>
      </c>
      <c r="C3578">
        <f t="shared" ca="1" si="165"/>
        <v>0</v>
      </c>
      <c r="D3578">
        <f t="shared" ca="1" si="166"/>
        <v>3172.1641935007719</v>
      </c>
    </row>
    <row r="3579" spans="2:4" x14ac:dyDescent="0.25">
      <c r="B3579">
        <f t="shared" ca="1" si="167"/>
        <v>39246.956173518651</v>
      </c>
      <c r="C3579">
        <f t="shared" ca="1" si="165"/>
        <v>753.04382648134924</v>
      </c>
      <c r="D3579">
        <f t="shared" ca="1" si="166"/>
        <v>0</v>
      </c>
    </row>
    <row r="3580" spans="2:4" x14ac:dyDescent="0.25">
      <c r="B3580">
        <f t="shared" ca="1" si="167"/>
        <v>38838.694467129237</v>
      </c>
      <c r="C3580">
        <f t="shared" ca="1" si="165"/>
        <v>1161.3055328707633</v>
      </c>
      <c r="D3580">
        <f t="shared" ca="1" si="166"/>
        <v>0</v>
      </c>
    </row>
    <row r="3581" spans="2:4" x14ac:dyDescent="0.25">
      <c r="B3581">
        <f t="shared" ca="1" si="167"/>
        <v>39328.790936135672</v>
      </c>
      <c r="C3581">
        <f t="shared" ca="1" si="165"/>
        <v>671.20906386432762</v>
      </c>
      <c r="D3581">
        <f t="shared" ca="1" si="166"/>
        <v>0</v>
      </c>
    </row>
    <row r="3582" spans="2:4" x14ac:dyDescent="0.25">
      <c r="B3582">
        <f t="shared" ca="1" si="167"/>
        <v>39854.406863286793</v>
      </c>
      <c r="C3582">
        <f t="shared" ca="1" si="165"/>
        <v>145.59313671320706</v>
      </c>
      <c r="D3582">
        <f t="shared" ca="1" si="166"/>
        <v>0</v>
      </c>
    </row>
    <row r="3583" spans="2:4" x14ac:dyDescent="0.25">
      <c r="B3583">
        <f t="shared" ca="1" si="167"/>
        <v>51329.550927627075</v>
      </c>
      <c r="C3583">
        <f t="shared" ca="1" si="165"/>
        <v>0</v>
      </c>
      <c r="D3583">
        <f t="shared" ca="1" si="166"/>
        <v>11329.550927627075</v>
      </c>
    </row>
    <row r="3584" spans="2:4" x14ac:dyDescent="0.25">
      <c r="B3584">
        <f t="shared" ca="1" si="167"/>
        <v>41177.880202566012</v>
      </c>
      <c r="C3584">
        <f t="shared" ca="1" si="165"/>
        <v>0</v>
      </c>
      <c r="D3584">
        <f t="shared" ca="1" si="166"/>
        <v>1177.8802025660116</v>
      </c>
    </row>
    <row r="3585" spans="2:4" x14ac:dyDescent="0.25">
      <c r="B3585">
        <f t="shared" ca="1" si="167"/>
        <v>39842.451458463773</v>
      </c>
      <c r="C3585">
        <f t="shared" ca="1" si="165"/>
        <v>157.54854153622728</v>
      </c>
      <c r="D3585">
        <f t="shared" ca="1" si="166"/>
        <v>0</v>
      </c>
    </row>
    <row r="3586" spans="2:4" x14ac:dyDescent="0.25">
      <c r="B3586">
        <f t="shared" ca="1" si="167"/>
        <v>43090.003063168697</v>
      </c>
      <c r="C3586">
        <f t="shared" ca="1" si="165"/>
        <v>0</v>
      </c>
      <c r="D3586">
        <f t="shared" ca="1" si="166"/>
        <v>3090.0030631686968</v>
      </c>
    </row>
    <row r="3587" spans="2:4" x14ac:dyDescent="0.25">
      <c r="B3587">
        <f t="shared" ca="1" si="167"/>
        <v>45426.055578424326</v>
      </c>
      <c r="C3587">
        <f t="shared" ca="1" si="165"/>
        <v>0</v>
      </c>
      <c r="D3587">
        <f t="shared" ca="1" si="166"/>
        <v>5426.0555784243261</v>
      </c>
    </row>
    <row r="3588" spans="2:4" x14ac:dyDescent="0.25">
      <c r="B3588">
        <f t="shared" ca="1" si="167"/>
        <v>43506.656805627943</v>
      </c>
      <c r="C3588">
        <f t="shared" ca="1" si="165"/>
        <v>0</v>
      </c>
      <c r="D3588">
        <f t="shared" ca="1" si="166"/>
        <v>3506.656805627943</v>
      </c>
    </row>
    <row r="3589" spans="2:4" x14ac:dyDescent="0.25">
      <c r="B3589">
        <f t="shared" ca="1" si="167"/>
        <v>44412.714632301409</v>
      </c>
      <c r="C3589">
        <f t="shared" ca="1" si="165"/>
        <v>0</v>
      </c>
      <c r="D3589">
        <f t="shared" ca="1" si="166"/>
        <v>4412.7146323014094</v>
      </c>
    </row>
    <row r="3590" spans="2:4" x14ac:dyDescent="0.25">
      <c r="B3590">
        <f t="shared" ca="1" si="167"/>
        <v>40330.884672974709</v>
      </c>
      <c r="C3590">
        <f t="shared" ca="1" si="165"/>
        <v>0</v>
      </c>
      <c r="D3590">
        <f t="shared" ca="1" si="166"/>
        <v>330.88467297470925</v>
      </c>
    </row>
    <row r="3591" spans="2:4" x14ac:dyDescent="0.25">
      <c r="B3591">
        <f t="shared" ca="1" si="167"/>
        <v>41994.343600730535</v>
      </c>
      <c r="C3591">
        <f t="shared" ca="1" si="165"/>
        <v>0</v>
      </c>
      <c r="D3591">
        <f t="shared" ca="1" si="166"/>
        <v>1994.3436007305354</v>
      </c>
    </row>
    <row r="3592" spans="2:4" x14ac:dyDescent="0.25">
      <c r="B3592">
        <f t="shared" ca="1" si="167"/>
        <v>44625.453954829391</v>
      </c>
      <c r="C3592">
        <f t="shared" ca="1" si="165"/>
        <v>0</v>
      </c>
      <c r="D3592">
        <f t="shared" ca="1" si="166"/>
        <v>4625.4539548293906</v>
      </c>
    </row>
    <row r="3593" spans="2:4" x14ac:dyDescent="0.25">
      <c r="B3593">
        <f t="shared" ca="1" si="167"/>
        <v>49542.419327149728</v>
      </c>
      <c r="C3593">
        <f t="shared" ca="1" si="165"/>
        <v>0</v>
      </c>
      <c r="D3593">
        <f t="shared" ca="1" si="166"/>
        <v>9542.4193271497279</v>
      </c>
    </row>
    <row r="3594" spans="2:4" x14ac:dyDescent="0.25">
      <c r="B3594">
        <f t="shared" ca="1" si="167"/>
        <v>46995.890640308746</v>
      </c>
      <c r="C3594">
        <f t="shared" ca="1" si="165"/>
        <v>0</v>
      </c>
      <c r="D3594">
        <f t="shared" ca="1" si="166"/>
        <v>6995.8906403087458</v>
      </c>
    </row>
    <row r="3595" spans="2:4" x14ac:dyDescent="0.25">
      <c r="B3595">
        <f t="shared" ca="1" si="167"/>
        <v>48134.441679366661</v>
      </c>
      <c r="C3595">
        <f t="shared" ca="1" si="165"/>
        <v>0</v>
      </c>
      <c r="D3595">
        <f t="shared" ca="1" si="166"/>
        <v>8134.4416793666605</v>
      </c>
    </row>
    <row r="3596" spans="2:4" x14ac:dyDescent="0.25">
      <c r="B3596">
        <f t="shared" ca="1" si="167"/>
        <v>38435.782117441981</v>
      </c>
      <c r="C3596">
        <f t="shared" ref="C3596:C3659" ca="1" si="168">IF(MAX($B$2-B3596)&lt;0,0,$B$2-B3596)</f>
        <v>1564.2178825580195</v>
      </c>
      <c r="D3596">
        <f t="shared" ref="D3596:D3659" ca="1" si="169">IF(MAX(B3596-$B$2)&lt;0,0,B3596-$B$2)</f>
        <v>0</v>
      </c>
    </row>
    <row r="3597" spans="2:4" x14ac:dyDescent="0.25">
      <c r="B3597">
        <f t="shared" ref="B3597:B3660" ca="1" si="170">$B$1*EXP((($B$4-($B$3^2)/2)*$B$5+$B$3*SQRT($B$5)*NORMSINV(RAND())))</f>
        <v>44975.03025643342</v>
      </c>
      <c r="C3597">
        <f t="shared" ca="1" si="168"/>
        <v>0</v>
      </c>
      <c r="D3597">
        <f t="shared" ca="1" si="169"/>
        <v>4975.0302564334197</v>
      </c>
    </row>
    <row r="3598" spans="2:4" x14ac:dyDescent="0.25">
      <c r="B3598">
        <f t="shared" ca="1" si="170"/>
        <v>48322.918608245032</v>
      </c>
      <c r="C3598">
        <f t="shared" ca="1" si="168"/>
        <v>0</v>
      </c>
      <c r="D3598">
        <f t="shared" ca="1" si="169"/>
        <v>8322.9186082450324</v>
      </c>
    </row>
    <row r="3599" spans="2:4" x14ac:dyDescent="0.25">
      <c r="B3599">
        <f t="shared" ca="1" si="170"/>
        <v>48790.293687209618</v>
      </c>
      <c r="C3599">
        <f t="shared" ca="1" si="168"/>
        <v>0</v>
      </c>
      <c r="D3599">
        <f t="shared" ca="1" si="169"/>
        <v>8790.2936872096179</v>
      </c>
    </row>
    <row r="3600" spans="2:4" x14ac:dyDescent="0.25">
      <c r="B3600">
        <f t="shared" ca="1" si="170"/>
        <v>43452.77466183489</v>
      </c>
      <c r="C3600">
        <f t="shared" ca="1" si="168"/>
        <v>0</v>
      </c>
      <c r="D3600">
        <f t="shared" ca="1" si="169"/>
        <v>3452.7746618348901</v>
      </c>
    </row>
    <row r="3601" spans="2:4" x14ac:dyDescent="0.25">
      <c r="B3601">
        <f t="shared" ca="1" si="170"/>
        <v>46808.118402486703</v>
      </c>
      <c r="C3601">
        <f t="shared" ca="1" si="168"/>
        <v>0</v>
      </c>
      <c r="D3601">
        <f t="shared" ca="1" si="169"/>
        <v>6808.1184024867034</v>
      </c>
    </row>
    <row r="3602" spans="2:4" x14ac:dyDescent="0.25">
      <c r="B3602">
        <f t="shared" ca="1" si="170"/>
        <v>48415.952745924136</v>
      </c>
      <c r="C3602">
        <f t="shared" ca="1" si="168"/>
        <v>0</v>
      </c>
      <c r="D3602">
        <f t="shared" ca="1" si="169"/>
        <v>8415.9527459241363</v>
      </c>
    </row>
    <row r="3603" spans="2:4" x14ac:dyDescent="0.25">
      <c r="B3603">
        <f t="shared" ca="1" si="170"/>
        <v>48978.64276290316</v>
      </c>
      <c r="C3603">
        <f t="shared" ca="1" si="168"/>
        <v>0</v>
      </c>
      <c r="D3603">
        <f t="shared" ca="1" si="169"/>
        <v>8978.6427629031605</v>
      </c>
    </row>
    <row r="3604" spans="2:4" x14ac:dyDescent="0.25">
      <c r="B3604">
        <f t="shared" ca="1" si="170"/>
        <v>45788.042653637851</v>
      </c>
      <c r="C3604">
        <f t="shared" ca="1" si="168"/>
        <v>0</v>
      </c>
      <c r="D3604">
        <f t="shared" ca="1" si="169"/>
        <v>5788.0426536378509</v>
      </c>
    </row>
    <row r="3605" spans="2:4" x14ac:dyDescent="0.25">
      <c r="B3605">
        <f t="shared" ca="1" si="170"/>
        <v>42385.982169844945</v>
      </c>
      <c r="C3605">
        <f t="shared" ca="1" si="168"/>
        <v>0</v>
      </c>
      <c r="D3605">
        <f t="shared" ca="1" si="169"/>
        <v>2385.982169844945</v>
      </c>
    </row>
    <row r="3606" spans="2:4" x14ac:dyDescent="0.25">
      <c r="B3606">
        <f t="shared" ca="1" si="170"/>
        <v>49135.455450505411</v>
      </c>
      <c r="C3606">
        <f t="shared" ca="1" si="168"/>
        <v>0</v>
      </c>
      <c r="D3606">
        <f t="shared" ca="1" si="169"/>
        <v>9135.4554505054111</v>
      </c>
    </row>
    <row r="3607" spans="2:4" x14ac:dyDescent="0.25">
      <c r="B3607">
        <f t="shared" ca="1" si="170"/>
        <v>42967.662278135933</v>
      </c>
      <c r="C3607">
        <f t="shared" ca="1" si="168"/>
        <v>0</v>
      </c>
      <c r="D3607">
        <f t="shared" ca="1" si="169"/>
        <v>2967.6622781359329</v>
      </c>
    </row>
    <row r="3608" spans="2:4" x14ac:dyDescent="0.25">
      <c r="B3608">
        <f t="shared" ca="1" si="170"/>
        <v>43311.719858734024</v>
      </c>
      <c r="C3608">
        <f t="shared" ca="1" si="168"/>
        <v>0</v>
      </c>
      <c r="D3608">
        <f t="shared" ca="1" si="169"/>
        <v>3311.7198587340245</v>
      </c>
    </row>
    <row r="3609" spans="2:4" x14ac:dyDescent="0.25">
      <c r="B3609">
        <f t="shared" ca="1" si="170"/>
        <v>42882.660986845978</v>
      </c>
      <c r="C3609">
        <f t="shared" ca="1" si="168"/>
        <v>0</v>
      </c>
      <c r="D3609">
        <f t="shared" ca="1" si="169"/>
        <v>2882.6609868459782</v>
      </c>
    </row>
    <row r="3610" spans="2:4" x14ac:dyDescent="0.25">
      <c r="B3610">
        <f t="shared" ca="1" si="170"/>
        <v>52785.015658093776</v>
      </c>
      <c r="C3610">
        <f t="shared" ca="1" si="168"/>
        <v>0</v>
      </c>
      <c r="D3610">
        <f t="shared" ca="1" si="169"/>
        <v>12785.015658093776</v>
      </c>
    </row>
    <row r="3611" spans="2:4" x14ac:dyDescent="0.25">
      <c r="B3611">
        <f t="shared" ca="1" si="170"/>
        <v>45748.266201340826</v>
      </c>
      <c r="C3611">
        <f t="shared" ca="1" si="168"/>
        <v>0</v>
      </c>
      <c r="D3611">
        <f t="shared" ca="1" si="169"/>
        <v>5748.2662013408262</v>
      </c>
    </row>
    <row r="3612" spans="2:4" x14ac:dyDescent="0.25">
      <c r="B3612">
        <f t="shared" ca="1" si="170"/>
        <v>41864.313204376456</v>
      </c>
      <c r="C3612">
        <f t="shared" ca="1" si="168"/>
        <v>0</v>
      </c>
      <c r="D3612">
        <f t="shared" ca="1" si="169"/>
        <v>1864.3132043764563</v>
      </c>
    </row>
    <row r="3613" spans="2:4" x14ac:dyDescent="0.25">
      <c r="B3613">
        <f t="shared" ca="1" si="170"/>
        <v>39486.070459849652</v>
      </c>
      <c r="C3613">
        <f t="shared" ca="1" si="168"/>
        <v>513.92954015034775</v>
      </c>
      <c r="D3613">
        <f t="shared" ca="1" si="169"/>
        <v>0</v>
      </c>
    </row>
    <row r="3614" spans="2:4" x14ac:dyDescent="0.25">
      <c r="B3614">
        <f t="shared" ca="1" si="170"/>
        <v>44274.345485191909</v>
      </c>
      <c r="C3614">
        <f t="shared" ca="1" si="168"/>
        <v>0</v>
      </c>
      <c r="D3614">
        <f t="shared" ca="1" si="169"/>
        <v>4274.3454851919087</v>
      </c>
    </row>
    <row r="3615" spans="2:4" x14ac:dyDescent="0.25">
      <c r="B3615">
        <f t="shared" ca="1" si="170"/>
        <v>55685.835815605016</v>
      </c>
      <c r="C3615">
        <f t="shared" ca="1" si="168"/>
        <v>0</v>
      </c>
      <c r="D3615">
        <f t="shared" ca="1" si="169"/>
        <v>15685.835815605016</v>
      </c>
    </row>
    <row r="3616" spans="2:4" x14ac:dyDescent="0.25">
      <c r="B3616">
        <f t="shared" ca="1" si="170"/>
        <v>46902.73128166236</v>
      </c>
      <c r="C3616">
        <f t="shared" ca="1" si="168"/>
        <v>0</v>
      </c>
      <c r="D3616">
        <f t="shared" ca="1" si="169"/>
        <v>6902.7312816623598</v>
      </c>
    </row>
    <row r="3617" spans="2:4" x14ac:dyDescent="0.25">
      <c r="B3617">
        <f t="shared" ca="1" si="170"/>
        <v>47351.200875036608</v>
      </c>
      <c r="C3617">
        <f t="shared" ca="1" si="168"/>
        <v>0</v>
      </c>
      <c r="D3617">
        <f t="shared" ca="1" si="169"/>
        <v>7351.2008750366076</v>
      </c>
    </row>
    <row r="3618" spans="2:4" x14ac:dyDescent="0.25">
      <c r="B3618">
        <f t="shared" ca="1" si="170"/>
        <v>45615.669598577049</v>
      </c>
      <c r="C3618">
        <f t="shared" ca="1" si="168"/>
        <v>0</v>
      </c>
      <c r="D3618">
        <f t="shared" ca="1" si="169"/>
        <v>5615.6695985770493</v>
      </c>
    </row>
    <row r="3619" spans="2:4" x14ac:dyDescent="0.25">
      <c r="B3619">
        <f t="shared" ca="1" si="170"/>
        <v>34482.824777805421</v>
      </c>
      <c r="C3619">
        <f t="shared" ca="1" si="168"/>
        <v>5517.175222194579</v>
      </c>
      <c r="D3619">
        <f t="shared" ca="1" si="169"/>
        <v>0</v>
      </c>
    </row>
    <row r="3620" spans="2:4" x14ac:dyDescent="0.25">
      <c r="B3620">
        <f t="shared" ca="1" si="170"/>
        <v>47487.414953112188</v>
      </c>
      <c r="C3620">
        <f t="shared" ca="1" si="168"/>
        <v>0</v>
      </c>
      <c r="D3620">
        <f t="shared" ca="1" si="169"/>
        <v>7487.4149531121875</v>
      </c>
    </row>
    <row r="3621" spans="2:4" x14ac:dyDescent="0.25">
      <c r="B3621">
        <f t="shared" ca="1" si="170"/>
        <v>50279.75178052696</v>
      </c>
      <c r="C3621">
        <f t="shared" ca="1" si="168"/>
        <v>0</v>
      </c>
      <c r="D3621">
        <f t="shared" ca="1" si="169"/>
        <v>10279.75178052696</v>
      </c>
    </row>
    <row r="3622" spans="2:4" x14ac:dyDescent="0.25">
      <c r="B3622">
        <f t="shared" ca="1" si="170"/>
        <v>43653.254584213078</v>
      </c>
      <c r="C3622">
        <f t="shared" ca="1" si="168"/>
        <v>0</v>
      </c>
      <c r="D3622">
        <f t="shared" ca="1" si="169"/>
        <v>3653.2545842130785</v>
      </c>
    </row>
    <row r="3623" spans="2:4" x14ac:dyDescent="0.25">
      <c r="B3623">
        <f t="shared" ca="1" si="170"/>
        <v>39262.803992272748</v>
      </c>
      <c r="C3623">
        <f t="shared" ca="1" si="168"/>
        <v>737.19600772725244</v>
      </c>
      <c r="D3623">
        <f t="shared" ca="1" si="169"/>
        <v>0</v>
      </c>
    </row>
    <row r="3624" spans="2:4" x14ac:dyDescent="0.25">
      <c r="B3624">
        <f t="shared" ca="1" si="170"/>
        <v>49163.694175613957</v>
      </c>
      <c r="C3624">
        <f t="shared" ca="1" si="168"/>
        <v>0</v>
      </c>
      <c r="D3624">
        <f t="shared" ca="1" si="169"/>
        <v>9163.6941756139568</v>
      </c>
    </row>
    <row r="3625" spans="2:4" x14ac:dyDescent="0.25">
      <c r="B3625">
        <f t="shared" ca="1" si="170"/>
        <v>43234.839570321979</v>
      </c>
      <c r="C3625">
        <f t="shared" ca="1" si="168"/>
        <v>0</v>
      </c>
      <c r="D3625">
        <f t="shared" ca="1" si="169"/>
        <v>3234.8395703219794</v>
      </c>
    </row>
    <row r="3626" spans="2:4" x14ac:dyDescent="0.25">
      <c r="B3626">
        <f t="shared" ca="1" si="170"/>
        <v>38627.644620406718</v>
      </c>
      <c r="C3626">
        <f t="shared" ca="1" si="168"/>
        <v>1372.3553795932821</v>
      </c>
      <c r="D3626">
        <f t="shared" ca="1" si="169"/>
        <v>0</v>
      </c>
    </row>
    <row r="3627" spans="2:4" x14ac:dyDescent="0.25">
      <c r="B3627">
        <f t="shared" ca="1" si="170"/>
        <v>42058.976703216031</v>
      </c>
      <c r="C3627">
        <f t="shared" ca="1" si="168"/>
        <v>0</v>
      </c>
      <c r="D3627">
        <f t="shared" ca="1" si="169"/>
        <v>2058.9767032160307</v>
      </c>
    </row>
    <row r="3628" spans="2:4" x14ac:dyDescent="0.25">
      <c r="B3628">
        <f t="shared" ca="1" si="170"/>
        <v>44317.176702555866</v>
      </c>
      <c r="C3628">
        <f t="shared" ca="1" si="168"/>
        <v>0</v>
      </c>
      <c r="D3628">
        <f t="shared" ca="1" si="169"/>
        <v>4317.1767025558656</v>
      </c>
    </row>
    <row r="3629" spans="2:4" x14ac:dyDescent="0.25">
      <c r="B3629">
        <f t="shared" ca="1" si="170"/>
        <v>46699.274346779268</v>
      </c>
      <c r="C3629">
        <f t="shared" ca="1" si="168"/>
        <v>0</v>
      </c>
      <c r="D3629">
        <f t="shared" ca="1" si="169"/>
        <v>6699.2743467792679</v>
      </c>
    </row>
    <row r="3630" spans="2:4" x14ac:dyDescent="0.25">
      <c r="B3630">
        <f t="shared" ca="1" si="170"/>
        <v>48185.407365027349</v>
      </c>
      <c r="C3630">
        <f t="shared" ca="1" si="168"/>
        <v>0</v>
      </c>
      <c r="D3630">
        <f t="shared" ca="1" si="169"/>
        <v>8185.4073650273494</v>
      </c>
    </row>
    <row r="3631" spans="2:4" x14ac:dyDescent="0.25">
      <c r="B3631">
        <f t="shared" ca="1" si="170"/>
        <v>38437.812923271231</v>
      </c>
      <c r="C3631">
        <f t="shared" ca="1" si="168"/>
        <v>1562.1870767287692</v>
      </c>
      <c r="D3631">
        <f t="shared" ca="1" si="169"/>
        <v>0</v>
      </c>
    </row>
    <row r="3632" spans="2:4" x14ac:dyDescent="0.25">
      <c r="B3632">
        <f t="shared" ca="1" si="170"/>
        <v>43839.941409776351</v>
      </c>
      <c r="C3632">
        <f t="shared" ca="1" si="168"/>
        <v>0</v>
      </c>
      <c r="D3632">
        <f t="shared" ca="1" si="169"/>
        <v>3839.9414097763511</v>
      </c>
    </row>
    <row r="3633" spans="2:4" x14ac:dyDescent="0.25">
      <c r="B3633">
        <f t="shared" ca="1" si="170"/>
        <v>43595.206913715556</v>
      </c>
      <c r="C3633">
        <f t="shared" ca="1" si="168"/>
        <v>0</v>
      </c>
      <c r="D3633">
        <f t="shared" ca="1" si="169"/>
        <v>3595.2069137155559</v>
      </c>
    </row>
    <row r="3634" spans="2:4" x14ac:dyDescent="0.25">
      <c r="B3634">
        <f t="shared" ca="1" si="170"/>
        <v>44101.556643991775</v>
      </c>
      <c r="C3634">
        <f t="shared" ca="1" si="168"/>
        <v>0</v>
      </c>
      <c r="D3634">
        <f t="shared" ca="1" si="169"/>
        <v>4101.5566439917748</v>
      </c>
    </row>
    <row r="3635" spans="2:4" x14ac:dyDescent="0.25">
      <c r="B3635">
        <f t="shared" ca="1" si="170"/>
        <v>45668.661492394567</v>
      </c>
      <c r="C3635">
        <f t="shared" ca="1" si="168"/>
        <v>0</v>
      </c>
      <c r="D3635">
        <f t="shared" ca="1" si="169"/>
        <v>5668.6614923945672</v>
      </c>
    </row>
    <row r="3636" spans="2:4" x14ac:dyDescent="0.25">
      <c r="B3636">
        <f t="shared" ca="1" si="170"/>
        <v>47496.277929156022</v>
      </c>
      <c r="C3636">
        <f t="shared" ca="1" si="168"/>
        <v>0</v>
      </c>
      <c r="D3636">
        <f t="shared" ca="1" si="169"/>
        <v>7496.2779291560219</v>
      </c>
    </row>
    <row r="3637" spans="2:4" x14ac:dyDescent="0.25">
      <c r="B3637">
        <f t="shared" ca="1" si="170"/>
        <v>45882.35451580002</v>
      </c>
      <c r="C3637">
        <f t="shared" ca="1" si="168"/>
        <v>0</v>
      </c>
      <c r="D3637">
        <f t="shared" ca="1" si="169"/>
        <v>5882.3545158000197</v>
      </c>
    </row>
    <row r="3638" spans="2:4" x14ac:dyDescent="0.25">
      <c r="B3638">
        <f t="shared" ca="1" si="170"/>
        <v>45957.804456135789</v>
      </c>
      <c r="C3638">
        <f t="shared" ca="1" si="168"/>
        <v>0</v>
      </c>
      <c r="D3638">
        <f t="shared" ca="1" si="169"/>
        <v>5957.8044561357892</v>
      </c>
    </row>
    <row r="3639" spans="2:4" x14ac:dyDescent="0.25">
      <c r="B3639">
        <f t="shared" ca="1" si="170"/>
        <v>43646.248370760899</v>
      </c>
      <c r="C3639">
        <f t="shared" ca="1" si="168"/>
        <v>0</v>
      </c>
      <c r="D3639">
        <f t="shared" ca="1" si="169"/>
        <v>3646.248370760899</v>
      </c>
    </row>
    <row r="3640" spans="2:4" x14ac:dyDescent="0.25">
      <c r="B3640">
        <f t="shared" ca="1" si="170"/>
        <v>42954.257456312727</v>
      </c>
      <c r="C3640">
        <f t="shared" ca="1" si="168"/>
        <v>0</v>
      </c>
      <c r="D3640">
        <f t="shared" ca="1" si="169"/>
        <v>2954.2574563127273</v>
      </c>
    </row>
    <row r="3641" spans="2:4" x14ac:dyDescent="0.25">
      <c r="B3641">
        <f t="shared" ca="1" si="170"/>
        <v>41528.409229307836</v>
      </c>
      <c r="C3641">
        <f t="shared" ca="1" si="168"/>
        <v>0</v>
      </c>
      <c r="D3641">
        <f t="shared" ca="1" si="169"/>
        <v>1528.4092293078356</v>
      </c>
    </row>
    <row r="3642" spans="2:4" x14ac:dyDescent="0.25">
      <c r="B3642">
        <f t="shared" ca="1" si="170"/>
        <v>40725.932854400293</v>
      </c>
      <c r="C3642">
        <f t="shared" ca="1" si="168"/>
        <v>0</v>
      </c>
      <c r="D3642">
        <f t="shared" ca="1" si="169"/>
        <v>725.93285440029285</v>
      </c>
    </row>
    <row r="3643" spans="2:4" x14ac:dyDescent="0.25">
      <c r="B3643">
        <f t="shared" ca="1" si="170"/>
        <v>50138.935582010003</v>
      </c>
      <c r="C3643">
        <f t="shared" ca="1" si="168"/>
        <v>0</v>
      </c>
      <c r="D3643">
        <f t="shared" ca="1" si="169"/>
        <v>10138.935582010003</v>
      </c>
    </row>
    <row r="3644" spans="2:4" x14ac:dyDescent="0.25">
      <c r="B3644">
        <f t="shared" ca="1" si="170"/>
        <v>47462.664838077646</v>
      </c>
      <c r="C3644">
        <f t="shared" ca="1" si="168"/>
        <v>0</v>
      </c>
      <c r="D3644">
        <f t="shared" ca="1" si="169"/>
        <v>7462.664838077646</v>
      </c>
    </row>
    <row r="3645" spans="2:4" x14ac:dyDescent="0.25">
      <c r="B3645">
        <f t="shared" ca="1" si="170"/>
        <v>40598.521973101022</v>
      </c>
      <c r="C3645">
        <f t="shared" ca="1" si="168"/>
        <v>0</v>
      </c>
      <c r="D3645">
        <f t="shared" ca="1" si="169"/>
        <v>598.52197310102201</v>
      </c>
    </row>
    <row r="3646" spans="2:4" x14ac:dyDescent="0.25">
      <c r="B3646">
        <f t="shared" ca="1" si="170"/>
        <v>42455.470058546452</v>
      </c>
      <c r="C3646">
        <f t="shared" ca="1" si="168"/>
        <v>0</v>
      </c>
      <c r="D3646">
        <f t="shared" ca="1" si="169"/>
        <v>2455.4700585464525</v>
      </c>
    </row>
    <row r="3647" spans="2:4" x14ac:dyDescent="0.25">
      <c r="B3647">
        <f t="shared" ca="1" si="170"/>
        <v>52487.842803369087</v>
      </c>
      <c r="C3647">
        <f t="shared" ca="1" si="168"/>
        <v>0</v>
      </c>
      <c r="D3647">
        <f t="shared" ca="1" si="169"/>
        <v>12487.842803369087</v>
      </c>
    </row>
    <row r="3648" spans="2:4" x14ac:dyDescent="0.25">
      <c r="B3648">
        <f t="shared" ca="1" si="170"/>
        <v>45551.263956779534</v>
      </c>
      <c r="C3648">
        <f t="shared" ca="1" si="168"/>
        <v>0</v>
      </c>
      <c r="D3648">
        <f t="shared" ca="1" si="169"/>
        <v>5551.2639567795341</v>
      </c>
    </row>
    <row r="3649" spans="2:4" x14ac:dyDescent="0.25">
      <c r="B3649">
        <f t="shared" ca="1" si="170"/>
        <v>43624.767057686448</v>
      </c>
      <c r="C3649">
        <f t="shared" ca="1" si="168"/>
        <v>0</v>
      </c>
      <c r="D3649">
        <f t="shared" ca="1" si="169"/>
        <v>3624.7670576864475</v>
      </c>
    </row>
    <row r="3650" spans="2:4" x14ac:dyDescent="0.25">
      <c r="B3650">
        <f t="shared" ca="1" si="170"/>
        <v>49437.681015476141</v>
      </c>
      <c r="C3650">
        <f t="shared" ca="1" si="168"/>
        <v>0</v>
      </c>
      <c r="D3650">
        <f t="shared" ca="1" si="169"/>
        <v>9437.6810154761406</v>
      </c>
    </row>
    <row r="3651" spans="2:4" x14ac:dyDescent="0.25">
      <c r="B3651">
        <f t="shared" ca="1" si="170"/>
        <v>48252.77923707915</v>
      </c>
      <c r="C3651">
        <f t="shared" ca="1" si="168"/>
        <v>0</v>
      </c>
      <c r="D3651">
        <f t="shared" ca="1" si="169"/>
        <v>8252.7792370791503</v>
      </c>
    </row>
    <row r="3652" spans="2:4" x14ac:dyDescent="0.25">
      <c r="B3652">
        <f t="shared" ca="1" si="170"/>
        <v>43969.226371231314</v>
      </c>
      <c r="C3652">
        <f t="shared" ca="1" si="168"/>
        <v>0</v>
      </c>
      <c r="D3652">
        <f t="shared" ca="1" si="169"/>
        <v>3969.2263712313143</v>
      </c>
    </row>
    <row r="3653" spans="2:4" x14ac:dyDescent="0.25">
      <c r="B3653">
        <f t="shared" ca="1" si="170"/>
        <v>42160.267444595367</v>
      </c>
      <c r="C3653">
        <f t="shared" ca="1" si="168"/>
        <v>0</v>
      </c>
      <c r="D3653">
        <f t="shared" ca="1" si="169"/>
        <v>2160.2674445953671</v>
      </c>
    </row>
    <row r="3654" spans="2:4" x14ac:dyDescent="0.25">
      <c r="B3654">
        <f t="shared" ca="1" si="170"/>
        <v>47686.358553427017</v>
      </c>
      <c r="C3654">
        <f t="shared" ca="1" si="168"/>
        <v>0</v>
      </c>
      <c r="D3654">
        <f t="shared" ca="1" si="169"/>
        <v>7686.3585534270169</v>
      </c>
    </row>
    <row r="3655" spans="2:4" x14ac:dyDescent="0.25">
      <c r="B3655">
        <f t="shared" ca="1" si="170"/>
        <v>42344.700224915287</v>
      </c>
      <c r="C3655">
        <f t="shared" ca="1" si="168"/>
        <v>0</v>
      </c>
      <c r="D3655">
        <f t="shared" ca="1" si="169"/>
        <v>2344.7002249152865</v>
      </c>
    </row>
    <row r="3656" spans="2:4" x14ac:dyDescent="0.25">
      <c r="B3656">
        <f t="shared" ca="1" si="170"/>
        <v>40471.342838168704</v>
      </c>
      <c r="C3656">
        <f t="shared" ca="1" si="168"/>
        <v>0</v>
      </c>
      <c r="D3656">
        <f t="shared" ca="1" si="169"/>
        <v>471.34283816870447</v>
      </c>
    </row>
    <row r="3657" spans="2:4" x14ac:dyDescent="0.25">
      <c r="B3657">
        <f t="shared" ca="1" si="170"/>
        <v>46099.356802232185</v>
      </c>
      <c r="C3657">
        <f t="shared" ca="1" si="168"/>
        <v>0</v>
      </c>
      <c r="D3657">
        <f t="shared" ca="1" si="169"/>
        <v>6099.3568022321851</v>
      </c>
    </row>
    <row r="3658" spans="2:4" x14ac:dyDescent="0.25">
      <c r="B3658">
        <f t="shared" ca="1" si="170"/>
        <v>39845.435905407685</v>
      </c>
      <c r="C3658">
        <f t="shared" ca="1" si="168"/>
        <v>154.56409459231509</v>
      </c>
      <c r="D3658">
        <f t="shared" ca="1" si="169"/>
        <v>0</v>
      </c>
    </row>
    <row r="3659" spans="2:4" x14ac:dyDescent="0.25">
      <c r="B3659">
        <f t="shared" ca="1" si="170"/>
        <v>44672.987156844727</v>
      </c>
      <c r="C3659">
        <f t="shared" ca="1" si="168"/>
        <v>0</v>
      </c>
      <c r="D3659">
        <f t="shared" ca="1" si="169"/>
        <v>4672.987156844727</v>
      </c>
    </row>
    <row r="3660" spans="2:4" x14ac:dyDescent="0.25">
      <c r="B3660">
        <f t="shared" ca="1" si="170"/>
        <v>38256.747629157733</v>
      </c>
      <c r="C3660">
        <f t="shared" ref="C3660:C3723" ca="1" si="171">IF(MAX($B$2-B3660)&lt;0,0,$B$2-B3660)</f>
        <v>1743.2523708422668</v>
      </c>
      <c r="D3660">
        <f t="shared" ref="D3660:D3723" ca="1" si="172">IF(MAX(B3660-$B$2)&lt;0,0,B3660-$B$2)</f>
        <v>0</v>
      </c>
    </row>
    <row r="3661" spans="2:4" x14ac:dyDescent="0.25">
      <c r="B3661">
        <f t="shared" ref="B3661:B3724" ca="1" si="173">$B$1*EXP((($B$4-($B$3^2)/2)*$B$5+$B$3*SQRT($B$5)*NORMSINV(RAND())))</f>
        <v>50325.617665186786</v>
      </c>
      <c r="C3661">
        <f t="shared" ca="1" si="171"/>
        <v>0</v>
      </c>
      <c r="D3661">
        <f t="shared" ca="1" si="172"/>
        <v>10325.617665186786</v>
      </c>
    </row>
    <row r="3662" spans="2:4" x14ac:dyDescent="0.25">
      <c r="B3662">
        <f t="shared" ca="1" si="173"/>
        <v>49611.715121935464</v>
      </c>
      <c r="C3662">
        <f t="shared" ca="1" si="171"/>
        <v>0</v>
      </c>
      <c r="D3662">
        <f t="shared" ca="1" si="172"/>
        <v>9611.7151219354637</v>
      </c>
    </row>
    <row r="3663" spans="2:4" x14ac:dyDescent="0.25">
      <c r="B3663">
        <f t="shared" ca="1" si="173"/>
        <v>42457.222112073323</v>
      </c>
      <c r="C3663">
        <f t="shared" ca="1" si="171"/>
        <v>0</v>
      </c>
      <c r="D3663">
        <f t="shared" ca="1" si="172"/>
        <v>2457.2221120733229</v>
      </c>
    </row>
    <row r="3664" spans="2:4" x14ac:dyDescent="0.25">
      <c r="B3664">
        <f t="shared" ca="1" si="173"/>
        <v>46465.103982633846</v>
      </c>
      <c r="C3664">
        <f t="shared" ca="1" si="171"/>
        <v>0</v>
      </c>
      <c r="D3664">
        <f t="shared" ca="1" si="172"/>
        <v>6465.1039826338456</v>
      </c>
    </row>
    <row r="3665" spans="2:4" x14ac:dyDescent="0.25">
      <c r="B3665">
        <f t="shared" ca="1" si="173"/>
        <v>39633.229499745918</v>
      </c>
      <c r="C3665">
        <f t="shared" ca="1" si="171"/>
        <v>366.77050025408244</v>
      </c>
      <c r="D3665">
        <f t="shared" ca="1" si="172"/>
        <v>0</v>
      </c>
    </row>
    <row r="3666" spans="2:4" x14ac:dyDescent="0.25">
      <c r="B3666">
        <f t="shared" ca="1" si="173"/>
        <v>43456.974170625304</v>
      </c>
      <c r="C3666">
        <f t="shared" ca="1" si="171"/>
        <v>0</v>
      </c>
      <c r="D3666">
        <f t="shared" ca="1" si="172"/>
        <v>3456.9741706253044</v>
      </c>
    </row>
    <row r="3667" spans="2:4" x14ac:dyDescent="0.25">
      <c r="B3667">
        <f t="shared" ca="1" si="173"/>
        <v>53236.056110973113</v>
      </c>
      <c r="C3667">
        <f t="shared" ca="1" si="171"/>
        <v>0</v>
      </c>
      <c r="D3667">
        <f t="shared" ca="1" si="172"/>
        <v>13236.056110973113</v>
      </c>
    </row>
    <row r="3668" spans="2:4" x14ac:dyDescent="0.25">
      <c r="B3668">
        <f t="shared" ca="1" si="173"/>
        <v>39250.096267383757</v>
      </c>
      <c r="C3668">
        <f t="shared" ca="1" si="171"/>
        <v>749.90373261624336</v>
      </c>
      <c r="D3668">
        <f t="shared" ca="1" si="172"/>
        <v>0</v>
      </c>
    </row>
    <row r="3669" spans="2:4" x14ac:dyDescent="0.25">
      <c r="B3669">
        <f t="shared" ca="1" si="173"/>
        <v>42433.538919685547</v>
      </c>
      <c r="C3669">
        <f t="shared" ca="1" si="171"/>
        <v>0</v>
      </c>
      <c r="D3669">
        <f t="shared" ca="1" si="172"/>
        <v>2433.5389196855467</v>
      </c>
    </row>
    <row r="3670" spans="2:4" x14ac:dyDescent="0.25">
      <c r="B3670">
        <f t="shared" ca="1" si="173"/>
        <v>49646.472868273187</v>
      </c>
      <c r="C3670">
        <f t="shared" ca="1" si="171"/>
        <v>0</v>
      </c>
      <c r="D3670">
        <f t="shared" ca="1" si="172"/>
        <v>9646.4728682731875</v>
      </c>
    </row>
    <row r="3671" spans="2:4" x14ac:dyDescent="0.25">
      <c r="B3671">
        <f t="shared" ca="1" si="173"/>
        <v>45587.938085252885</v>
      </c>
      <c r="C3671">
        <f t="shared" ca="1" si="171"/>
        <v>0</v>
      </c>
      <c r="D3671">
        <f t="shared" ca="1" si="172"/>
        <v>5587.9380852528848</v>
      </c>
    </row>
    <row r="3672" spans="2:4" x14ac:dyDescent="0.25">
      <c r="B3672">
        <f t="shared" ca="1" si="173"/>
        <v>46222.274883102968</v>
      </c>
      <c r="C3672">
        <f t="shared" ca="1" si="171"/>
        <v>0</v>
      </c>
      <c r="D3672">
        <f t="shared" ca="1" si="172"/>
        <v>6222.2748831029676</v>
      </c>
    </row>
    <row r="3673" spans="2:4" x14ac:dyDescent="0.25">
      <c r="B3673">
        <f t="shared" ca="1" si="173"/>
        <v>52325.795382840493</v>
      </c>
      <c r="C3673">
        <f t="shared" ca="1" si="171"/>
        <v>0</v>
      </c>
      <c r="D3673">
        <f t="shared" ca="1" si="172"/>
        <v>12325.795382840493</v>
      </c>
    </row>
    <row r="3674" spans="2:4" x14ac:dyDescent="0.25">
      <c r="B3674">
        <f t="shared" ca="1" si="173"/>
        <v>43620.363570129397</v>
      </c>
      <c r="C3674">
        <f t="shared" ca="1" si="171"/>
        <v>0</v>
      </c>
      <c r="D3674">
        <f t="shared" ca="1" si="172"/>
        <v>3620.363570129397</v>
      </c>
    </row>
    <row r="3675" spans="2:4" x14ac:dyDescent="0.25">
      <c r="B3675">
        <f t="shared" ca="1" si="173"/>
        <v>53104.450526889908</v>
      </c>
      <c r="C3675">
        <f t="shared" ca="1" si="171"/>
        <v>0</v>
      </c>
      <c r="D3675">
        <f t="shared" ca="1" si="172"/>
        <v>13104.450526889908</v>
      </c>
    </row>
    <row r="3676" spans="2:4" x14ac:dyDescent="0.25">
      <c r="B3676">
        <f t="shared" ca="1" si="173"/>
        <v>41295.013900826387</v>
      </c>
      <c r="C3676">
        <f t="shared" ca="1" si="171"/>
        <v>0</v>
      </c>
      <c r="D3676">
        <f t="shared" ca="1" si="172"/>
        <v>1295.0139008263868</v>
      </c>
    </row>
    <row r="3677" spans="2:4" x14ac:dyDescent="0.25">
      <c r="B3677">
        <f t="shared" ca="1" si="173"/>
        <v>50176.641427099072</v>
      </c>
      <c r="C3677">
        <f t="shared" ca="1" si="171"/>
        <v>0</v>
      </c>
      <c r="D3677">
        <f t="shared" ca="1" si="172"/>
        <v>10176.641427099072</v>
      </c>
    </row>
    <row r="3678" spans="2:4" x14ac:dyDescent="0.25">
      <c r="B3678">
        <f t="shared" ca="1" si="173"/>
        <v>38193.389458451784</v>
      </c>
      <c r="C3678">
        <f t="shared" ca="1" si="171"/>
        <v>1806.6105415482161</v>
      </c>
      <c r="D3678">
        <f t="shared" ca="1" si="172"/>
        <v>0</v>
      </c>
    </row>
    <row r="3679" spans="2:4" x14ac:dyDescent="0.25">
      <c r="B3679">
        <f t="shared" ca="1" si="173"/>
        <v>48056.153028337954</v>
      </c>
      <c r="C3679">
        <f t="shared" ca="1" si="171"/>
        <v>0</v>
      </c>
      <c r="D3679">
        <f t="shared" ca="1" si="172"/>
        <v>8056.1530283379543</v>
      </c>
    </row>
    <row r="3680" spans="2:4" x14ac:dyDescent="0.25">
      <c r="B3680">
        <f t="shared" ca="1" si="173"/>
        <v>40903.998454365501</v>
      </c>
      <c r="C3680">
        <f t="shared" ca="1" si="171"/>
        <v>0</v>
      </c>
      <c r="D3680">
        <f t="shared" ca="1" si="172"/>
        <v>903.99845436550095</v>
      </c>
    </row>
    <row r="3681" spans="2:4" x14ac:dyDescent="0.25">
      <c r="B3681">
        <f t="shared" ca="1" si="173"/>
        <v>38415.756903908252</v>
      </c>
      <c r="C3681">
        <f t="shared" ca="1" si="171"/>
        <v>1584.2430960917482</v>
      </c>
      <c r="D3681">
        <f t="shared" ca="1" si="172"/>
        <v>0</v>
      </c>
    </row>
    <row r="3682" spans="2:4" x14ac:dyDescent="0.25">
      <c r="B3682">
        <f t="shared" ca="1" si="173"/>
        <v>40324.983824038602</v>
      </c>
      <c r="C3682">
        <f t="shared" ca="1" si="171"/>
        <v>0</v>
      </c>
      <c r="D3682">
        <f t="shared" ca="1" si="172"/>
        <v>324.9838240386016</v>
      </c>
    </row>
    <row r="3683" spans="2:4" x14ac:dyDescent="0.25">
      <c r="B3683">
        <f t="shared" ca="1" si="173"/>
        <v>41470.061219019859</v>
      </c>
      <c r="C3683">
        <f t="shared" ca="1" si="171"/>
        <v>0</v>
      </c>
      <c r="D3683">
        <f t="shared" ca="1" si="172"/>
        <v>1470.061219019859</v>
      </c>
    </row>
    <row r="3684" spans="2:4" x14ac:dyDescent="0.25">
      <c r="B3684">
        <f t="shared" ca="1" si="173"/>
        <v>52873.933223988024</v>
      </c>
      <c r="C3684">
        <f t="shared" ca="1" si="171"/>
        <v>0</v>
      </c>
      <c r="D3684">
        <f t="shared" ca="1" si="172"/>
        <v>12873.933223988024</v>
      </c>
    </row>
    <row r="3685" spans="2:4" x14ac:dyDescent="0.25">
      <c r="B3685">
        <f t="shared" ca="1" si="173"/>
        <v>49730.003935002198</v>
      </c>
      <c r="C3685">
        <f t="shared" ca="1" si="171"/>
        <v>0</v>
      </c>
      <c r="D3685">
        <f t="shared" ca="1" si="172"/>
        <v>9730.003935002198</v>
      </c>
    </row>
    <row r="3686" spans="2:4" x14ac:dyDescent="0.25">
      <c r="B3686">
        <f t="shared" ca="1" si="173"/>
        <v>44655.099183721002</v>
      </c>
      <c r="C3686">
        <f t="shared" ca="1" si="171"/>
        <v>0</v>
      </c>
      <c r="D3686">
        <f t="shared" ca="1" si="172"/>
        <v>4655.0991837210022</v>
      </c>
    </row>
    <row r="3687" spans="2:4" x14ac:dyDescent="0.25">
      <c r="B3687">
        <f t="shared" ca="1" si="173"/>
        <v>55383.127115458032</v>
      </c>
      <c r="C3687">
        <f t="shared" ca="1" si="171"/>
        <v>0</v>
      </c>
      <c r="D3687">
        <f t="shared" ca="1" si="172"/>
        <v>15383.127115458032</v>
      </c>
    </row>
    <row r="3688" spans="2:4" x14ac:dyDescent="0.25">
      <c r="B3688">
        <f t="shared" ca="1" si="173"/>
        <v>37317.563753120892</v>
      </c>
      <c r="C3688">
        <f t="shared" ca="1" si="171"/>
        <v>2682.4362468791078</v>
      </c>
      <c r="D3688">
        <f t="shared" ca="1" si="172"/>
        <v>0</v>
      </c>
    </row>
    <row r="3689" spans="2:4" x14ac:dyDescent="0.25">
      <c r="B3689">
        <f t="shared" ca="1" si="173"/>
        <v>45260.093871118894</v>
      </c>
      <c r="C3689">
        <f t="shared" ca="1" si="171"/>
        <v>0</v>
      </c>
      <c r="D3689">
        <f t="shared" ca="1" si="172"/>
        <v>5260.0938711188937</v>
      </c>
    </row>
    <row r="3690" spans="2:4" x14ac:dyDescent="0.25">
      <c r="B3690">
        <f t="shared" ca="1" si="173"/>
        <v>45533.384131577943</v>
      </c>
      <c r="C3690">
        <f t="shared" ca="1" si="171"/>
        <v>0</v>
      </c>
      <c r="D3690">
        <f t="shared" ca="1" si="172"/>
        <v>5533.3841315779428</v>
      </c>
    </row>
    <row r="3691" spans="2:4" x14ac:dyDescent="0.25">
      <c r="B3691">
        <f t="shared" ca="1" si="173"/>
        <v>42279.276000671351</v>
      </c>
      <c r="C3691">
        <f t="shared" ca="1" si="171"/>
        <v>0</v>
      </c>
      <c r="D3691">
        <f t="shared" ca="1" si="172"/>
        <v>2279.2760006713506</v>
      </c>
    </row>
    <row r="3692" spans="2:4" x14ac:dyDescent="0.25">
      <c r="B3692">
        <f t="shared" ca="1" si="173"/>
        <v>42132.123820929941</v>
      </c>
      <c r="C3692">
        <f t="shared" ca="1" si="171"/>
        <v>0</v>
      </c>
      <c r="D3692">
        <f t="shared" ca="1" si="172"/>
        <v>2132.1238209299408</v>
      </c>
    </row>
    <row r="3693" spans="2:4" x14ac:dyDescent="0.25">
      <c r="B3693">
        <f t="shared" ca="1" si="173"/>
        <v>45750.006135213058</v>
      </c>
      <c r="C3693">
        <f t="shared" ca="1" si="171"/>
        <v>0</v>
      </c>
      <c r="D3693">
        <f t="shared" ca="1" si="172"/>
        <v>5750.0061352130579</v>
      </c>
    </row>
    <row r="3694" spans="2:4" x14ac:dyDescent="0.25">
      <c r="B3694">
        <f t="shared" ca="1" si="173"/>
        <v>37255.357742957873</v>
      </c>
      <c r="C3694">
        <f t="shared" ca="1" si="171"/>
        <v>2744.6422570421273</v>
      </c>
      <c r="D3694">
        <f t="shared" ca="1" si="172"/>
        <v>0</v>
      </c>
    </row>
    <row r="3695" spans="2:4" x14ac:dyDescent="0.25">
      <c r="B3695">
        <f t="shared" ca="1" si="173"/>
        <v>48845.815971576318</v>
      </c>
      <c r="C3695">
        <f t="shared" ca="1" si="171"/>
        <v>0</v>
      </c>
      <c r="D3695">
        <f t="shared" ca="1" si="172"/>
        <v>8845.8159715763177</v>
      </c>
    </row>
    <row r="3696" spans="2:4" x14ac:dyDescent="0.25">
      <c r="B3696">
        <f t="shared" ca="1" si="173"/>
        <v>39927.918260860039</v>
      </c>
      <c r="C3696">
        <f t="shared" ca="1" si="171"/>
        <v>72.081739139961428</v>
      </c>
      <c r="D3696">
        <f t="shared" ca="1" si="172"/>
        <v>0</v>
      </c>
    </row>
    <row r="3697" spans="2:4" x14ac:dyDescent="0.25">
      <c r="B3697">
        <f t="shared" ca="1" si="173"/>
        <v>42107.268211343857</v>
      </c>
      <c r="C3697">
        <f t="shared" ca="1" si="171"/>
        <v>0</v>
      </c>
      <c r="D3697">
        <f t="shared" ca="1" si="172"/>
        <v>2107.2682113438568</v>
      </c>
    </row>
    <row r="3698" spans="2:4" x14ac:dyDescent="0.25">
      <c r="B3698">
        <f t="shared" ca="1" si="173"/>
        <v>49158.211629546509</v>
      </c>
      <c r="C3698">
        <f t="shared" ca="1" si="171"/>
        <v>0</v>
      </c>
      <c r="D3698">
        <f t="shared" ca="1" si="172"/>
        <v>9158.2116295465094</v>
      </c>
    </row>
    <row r="3699" spans="2:4" x14ac:dyDescent="0.25">
      <c r="B3699">
        <f t="shared" ca="1" si="173"/>
        <v>44316.811092660195</v>
      </c>
      <c r="C3699">
        <f t="shared" ca="1" si="171"/>
        <v>0</v>
      </c>
      <c r="D3699">
        <f t="shared" ca="1" si="172"/>
        <v>4316.8110926601948</v>
      </c>
    </row>
    <row r="3700" spans="2:4" x14ac:dyDescent="0.25">
      <c r="B3700">
        <f t="shared" ca="1" si="173"/>
        <v>44668.35048689838</v>
      </c>
      <c r="C3700">
        <f t="shared" ca="1" si="171"/>
        <v>0</v>
      </c>
      <c r="D3700">
        <f t="shared" ca="1" si="172"/>
        <v>4668.35048689838</v>
      </c>
    </row>
    <row r="3701" spans="2:4" x14ac:dyDescent="0.25">
      <c r="B3701">
        <f t="shared" ca="1" si="173"/>
        <v>46402.095928358387</v>
      </c>
      <c r="C3701">
        <f t="shared" ca="1" si="171"/>
        <v>0</v>
      </c>
      <c r="D3701">
        <f t="shared" ca="1" si="172"/>
        <v>6402.095928358387</v>
      </c>
    </row>
    <row r="3702" spans="2:4" x14ac:dyDescent="0.25">
      <c r="B3702">
        <f t="shared" ca="1" si="173"/>
        <v>51888.876370219528</v>
      </c>
      <c r="C3702">
        <f t="shared" ca="1" si="171"/>
        <v>0</v>
      </c>
      <c r="D3702">
        <f t="shared" ca="1" si="172"/>
        <v>11888.876370219528</v>
      </c>
    </row>
    <row r="3703" spans="2:4" x14ac:dyDescent="0.25">
      <c r="B3703">
        <f t="shared" ca="1" si="173"/>
        <v>43341.660163053675</v>
      </c>
      <c r="C3703">
        <f t="shared" ca="1" si="171"/>
        <v>0</v>
      </c>
      <c r="D3703">
        <f t="shared" ca="1" si="172"/>
        <v>3341.6601630536752</v>
      </c>
    </row>
    <row r="3704" spans="2:4" x14ac:dyDescent="0.25">
      <c r="B3704">
        <f t="shared" ca="1" si="173"/>
        <v>38625.993148797024</v>
      </c>
      <c r="C3704">
        <f t="shared" ca="1" si="171"/>
        <v>1374.0068512029757</v>
      </c>
      <c r="D3704">
        <f t="shared" ca="1" si="172"/>
        <v>0</v>
      </c>
    </row>
    <row r="3705" spans="2:4" x14ac:dyDescent="0.25">
      <c r="B3705">
        <f t="shared" ca="1" si="173"/>
        <v>43475.082248969811</v>
      </c>
      <c r="C3705">
        <f t="shared" ca="1" si="171"/>
        <v>0</v>
      </c>
      <c r="D3705">
        <f t="shared" ca="1" si="172"/>
        <v>3475.0822489698112</v>
      </c>
    </row>
    <row r="3706" spans="2:4" x14ac:dyDescent="0.25">
      <c r="B3706">
        <f t="shared" ca="1" si="173"/>
        <v>42397.301003788773</v>
      </c>
      <c r="C3706">
        <f t="shared" ca="1" si="171"/>
        <v>0</v>
      </c>
      <c r="D3706">
        <f t="shared" ca="1" si="172"/>
        <v>2397.3010037887725</v>
      </c>
    </row>
    <row r="3707" spans="2:4" x14ac:dyDescent="0.25">
      <c r="B3707">
        <f t="shared" ca="1" si="173"/>
        <v>41840.392045556036</v>
      </c>
      <c r="C3707">
        <f t="shared" ca="1" si="171"/>
        <v>0</v>
      </c>
      <c r="D3707">
        <f t="shared" ca="1" si="172"/>
        <v>1840.3920455560365</v>
      </c>
    </row>
    <row r="3708" spans="2:4" x14ac:dyDescent="0.25">
      <c r="B3708">
        <f t="shared" ca="1" si="173"/>
        <v>47500.04390457811</v>
      </c>
      <c r="C3708">
        <f t="shared" ca="1" si="171"/>
        <v>0</v>
      </c>
      <c r="D3708">
        <f t="shared" ca="1" si="172"/>
        <v>7500.0439045781095</v>
      </c>
    </row>
    <row r="3709" spans="2:4" x14ac:dyDescent="0.25">
      <c r="B3709">
        <f t="shared" ca="1" si="173"/>
        <v>44030.694996580969</v>
      </c>
      <c r="C3709">
        <f t="shared" ca="1" si="171"/>
        <v>0</v>
      </c>
      <c r="D3709">
        <f t="shared" ca="1" si="172"/>
        <v>4030.694996580969</v>
      </c>
    </row>
    <row r="3710" spans="2:4" x14ac:dyDescent="0.25">
      <c r="B3710">
        <f t="shared" ca="1" si="173"/>
        <v>42688.498746682606</v>
      </c>
      <c r="C3710">
        <f t="shared" ca="1" si="171"/>
        <v>0</v>
      </c>
      <c r="D3710">
        <f t="shared" ca="1" si="172"/>
        <v>2688.498746682606</v>
      </c>
    </row>
    <row r="3711" spans="2:4" x14ac:dyDescent="0.25">
      <c r="B3711">
        <f t="shared" ca="1" si="173"/>
        <v>36713.798424302346</v>
      </c>
      <c r="C3711">
        <f t="shared" ca="1" si="171"/>
        <v>3286.2015756976543</v>
      </c>
      <c r="D3711">
        <f t="shared" ca="1" si="172"/>
        <v>0</v>
      </c>
    </row>
    <row r="3712" spans="2:4" x14ac:dyDescent="0.25">
      <c r="B3712">
        <f t="shared" ca="1" si="173"/>
        <v>50727.530436927678</v>
      </c>
      <c r="C3712">
        <f t="shared" ca="1" si="171"/>
        <v>0</v>
      </c>
      <c r="D3712">
        <f t="shared" ca="1" si="172"/>
        <v>10727.530436927678</v>
      </c>
    </row>
    <row r="3713" spans="2:4" x14ac:dyDescent="0.25">
      <c r="B3713">
        <f t="shared" ca="1" si="173"/>
        <v>43965.580510182721</v>
      </c>
      <c r="C3713">
        <f t="shared" ca="1" si="171"/>
        <v>0</v>
      </c>
      <c r="D3713">
        <f t="shared" ca="1" si="172"/>
        <v>3965.5805101827209</v>
      </c>
    </row>
    <row r="3714" spans="2:4" x14ac:dyDescent="0.25">
      <c r="B3714">
        <f t="shared" ca="1" si="173"/>
        <v>44271.499695710692</v>
      </c>
      <c r="C3714">
        <f t="shared" ca="1" si="171"/>
        <v>0</v>
      </c>
      <c r="D3714">
        <f t="shared" ca="1" si="172"/>
        <v>4271.4996957106923</v>
      </c>
    </row>
    <row r="3715" spans="2:4" x14ac:dyDescent="0.25">
      <c r="B3715">
        <f t="shared" ca="1" si="173"/>
        <v>48102.340534727526</v>
      </c>
      <c r="C3715">
        <f t="shared" ca="1" si="171"/>
        <v>0</v>
      </c>
      <c r="D3715">
        <f t="shared" ca="1" si="172"/>
        <v>8102.3405347275257</v>
      </c>
    </row>
    <row r="3716" spans="2:4" x14ac:dyDescent="0.25">
      <c r="B3716">
        <f t="shared" ca="1" si="173"/>
        <v>51033.139571940723</v>
      </c>
      <c r="C3716">
        <f t="shared" ca="1" si="171"/>
        <v>0</v>
      </c>
      <c r="D3716">
        <f t="shared" ca="1" si="172"/>
        <v>11033.139571940723</v>
      </c>
    </row>
    <row r="3717" spans="2:4" x14ac:dyDescent="0.25">
      <c r="B3717">
        <f t="shared" ca="1" si="173"/>
        <v>51669.999184337845</v>
      </c>
      <c r="C3717">
        <f t="shared" ca="1" si="171"/>
        <v>0</v>
      </c>
      <c r="D3717">
        <f t="shared" ca="1" si="172"/>
        <v>11669.999184337845</v>
      </c>
    </row>
    <row r="3718" spans="2:4" x14ac:dyDescent="0.25">
      <c r="B3718">
        <f t="shared" ca="1" si="173"/>
        <v>37442.210656860574</v>
      </c>
      <c r="C3718">
        <f t="shared" ca="1" si="171"/>
        <v>2557.7893431394259</v>
      </c>
      <c r="D3718">
        <f t="shared" ca="1" si="172"/>
        <v>0</v>
      </c>
    </row>
    <row r="3719" spans="2:4" x14ac:dyDescent="0.25">
      <c r="B3719">
        <f t="shared" ca="1" si="173"/>
        <v>45287.481333394295</v>
      </c>
      <c r="C3719">
        <f t="shared" ca="1" si="171"/>
        <v>0</v>
      </c>
      <c r="D3719">
        <f t="shared" ca="1" si="172"/>
        <v>5287.4813333942948</v>
      </c>
    </row>
    <row r="3720" spans="2:4" x14ac:dyDescent="0.25">
      <c r="B3720">
        <f t="shared" ca="1" si="173"/>
        <v>50685.933820209873</v>
      </c>
      <c r="C3720">
        <f t="shared" ca="1" si="171"/>
        <v>0</v>
      </c>
      <c r="D3720">
        <f t="shared" ca="1" si="172"/>
        <v>10685.933820209873</v>
      </c>
    </row>
    <row r="3721" spans="2:4" x14ac:dyDescent="0.25">
      <c r="B3721">
        <f t="shared" ca="1" si="173"/>
        <v>43020.482628688151</v>
      </c>
      <c r="C3721">
        <f t="shared" ca="1" si="171"/>
        <v>0</v>
      </c>
      <c r="D3721">
        <f t="shared" ca="1" si="172"/>
        <v>3020.4826286881507</v>
      </c>
    </row>
    <row r="3722" spans="2:4" x14ac:dyDescent="0.25">
      <c r="B3722">
        <f t="shared" ca="1" si="173"/>
        <v>47597.530235018814</v>
      </c>
      <c r="C3722">
        <f t="shared" ca="1" si="171"/>
        <v>0</v>
      </c>
      <c r="D3722">
        <f t="shared" ca="1" si="172"/>
        <v>7597.530235018814</v>
      </c>
    </row>
    <row r="3723" spans="2:4" x14ac:dyDescent="0.25">
      <c r="B3723">
        <f t="shared" ca="1" si="173"/>
        <v>45695.551078704528</v>
      </c>
      <c r="C3723">
        <f t="shared" ca="1" si="171"/>
        <v>0</v>
      </c>
      <c r="D3723">
        <f t="shared" ca="1" si="172"/>
        <v>5695.5510787045278</v>
      </c>
    </row>
    <row r="3724" spans="2:4" x14ac:dyDescent="0.25">
      <c r="B3724">
        <f t="shared" ca="1" si="173"/>
        <v>50945.751361207876</v>
      </c>
      <c r="C3724">
        <f t="shared" ref="C3724:C3787" ca="1" si="174">IF(MAX($B$2-B3724)&lt;0,0,$B$2-B3724)</f>
        <v>0</v>
      </c>
      <c r="D3724">
        <f t="shared" ref="D3724:D3787" ca="1" si="175">IF(MAX(B3724-$B$2)&lt;0,0,B3724-$B$2)</f>
        <v>10945.751361207876</v>
      </c>
    </row>
    <row r="3725" spans="2:4" x14ac:dyDescent="0.25">
      <c r="B3725">
        <f t="shared" ref="B3725:B3788" ca="1" si="176">$B$1*EXP((($B$4-($B$3^2)/2)*$B$5+$B$3*SQRT($B$5)*NORMSINV(RAND())))</f>
        <v>51831.610516979097</v>
      </c>
      <c r="C3725">
        <f t="shared" ca="1" si="174"/>
        <v>0</v>
      </c>
      <c r="D3725">
        <f t="shared" ca="1" si="175"/>
        <v>11831.610516979097</v>
      </c>
    </row>
    <row r="3726" spans="2:4" x14ac:dyDescent="0.25">
      <c r="B3726">
        <f t="shared" ca="1" si="176"/>
        <v>55016.428045079869</v>
      </c>
      <c r="C3726">
        <f t="shared" ca="1" si="174"/>
        <v>0</v>
      </c>
      <c r="D3726">
        <f t="shared" ca="1" si="175"/>
        <v>15016.428045079869</v>
      </c>
    </row>
    <row r="3727" spans="2:4" x14ac:dyDescent="0.25">
      <c r="B3727">
        <f t="shared" ca="1" si="176"/>
        <v>40522.785667392905</v>
      </c>
      <c r="C3727">
        <f t="shared" ca="1" si="174"/>
        <v>0</v>
      </c>
      <c r="D3727">
        <f t="shared" ca="1" si="175"/>
        <v>522.78566739290545</v>
      </c>
    </row>
    <row r="3728" spans="2:4" x14ac:dyDescent="0.25">
      <c r="B3728">
        <f t="shared" ca="1" si="176"/>
        <v>43862.60838165212</v>
      </c>
      <c r="C3728">
        <f t="shared" ca="1" si="174"/>
        <v>0</v>
      </c>
      <c r="D3728">
        <f t="shared" ca="1" si="175"/>
        <v>3862.6083816521204</v>
      </c>
    </row>
    <row r="3729" spans="2:4" x14ac:dyDescent="0.25">
      <c r="B3729">
        <f t="shared" ca="1" si="176"/>
        <v>53846.103767427172</v>
      </c>
      <c r="C3729">
        <f t="shared" ca="1" si="174"/>
        <v>0</v>
      </c>
      <c r="D3729">
        <f t="shared" ca="1" si="175"/>
        <v>13846.103767427172</v>
      </c>
    </row>
    <row r="3730" spans="2:4" x14ac:dyDescent="0.25">
      <c r="B3730">
        <f t="shared" ca="1" si="176"/>
        <v>39838.811543696371</v>
      </c>
      <c r="C3730">
        <f t="shared" ca="1" si="174"/>
        <v>161.18845630362921</v>
      </c>
      <c r="D3730">
        <f t="shared" ca="1" si="175"/>
        <v>0</v>
      </c>
    </row>
    <row r="3731" spans="2:4" x14ac:dyDescent="0.25">
      <c r="B3731">
        <f t="shared" ca="1" si="176"/>
        <v>45210.755456176441</v>
      </c>
      <c r="C3731">
        <f t="shared" ca="1" si="174"/>
        <v>0</v>
      </c>
      <c r="D3731">
        <f t="shared" ca="1" si="175"/>
        <v>5210.7554561764409</v>
      </c>
    </row>
    <row r="3732" spans="2:4" x14ac:dyDescent="0.25">
      <c r="B3732">
        <f t="shared" ca="1" si="176"/>
        <v>50301.089629399365</v>
      </c>
      <c r="C3732">
        <f t="shared" ca="1" si="174"/>
        <v>0</v>
      </c>
      <c r="D3732">
        <f t="shared" ca="1" si="175"/>
        <v>10301.089629399365</v>
      </c>
    </row>
    <row r="3733" spans="2:4" x14ac:dyDescent="0.25">
      <c r="B3733">
        <f t="shared" ca="1" si="176"/>
        <v>44923.192405829723</v>
      </c>
      <c r="C3733">
        <f t="shared" ca="1" si="174"/>
        <v>0</v>
      </c>
      <c r="D3733">
        <f t="shared" ca="1" si="175"/>
        <v>4923.1924058297227</v>
      </c>
    </row>
    <row r="3734" spans="2:4" x14ac:dyDescent="0.25">
      <c r="B3734">
        <f t="shared" ca="1" si="176"/>
        <v>46446.872661013273</v>
      </c>
      <c r="C3734">
        <f t="shared" ca="1" si="174"/>
        <v>0</v>
      </c>
      <c r="D3734">
        <f t="shared" ca="1" si="175"/>
        <v>6446.8726610132726</v>
      </c>
    </row>
    <row r="3735" spans="2:4" x14ac:dyDescent="0.25">
      <c r="B3735">
        <f t="shared" ca="1" si="176"/>
        <v>45329.059789354273</v>
      </c>
      <c r="C3735">
        <f t="shared" ca="1" si="174"/>
        <v>0</v>
      </c>
      <c r="D3735">
        <f t="shared" ca="1" si="175"/>
        <v>5329.0597893542727</v>
      </c>
    </row>
    <row r="3736" spans="2:4" x14ac:dyDescent="0.25">
      <c r="B3736">
        <f t="shared" ca="1" si="176"/>
        <v>41651.557254617888</v>
      </c>
      <c r="C3736">
        <f t="shared" ca="1" si="174"/>
        <v>0</v>
      </c>
      <c r="D3736">
        <f t="shared" ca="1" si="175"/>
        <v>1651.5572546178882</v>
      </c>
    </row>
    <row r="3737" spans="2:4" x14ac:dyDescent="0.25">
      <c r="B3737">
        <f t="shared" ca="1" si="176"/>
        <v>47928.09492875648</v>
      </c>
      <c r="C3737">
        <f t="shared" ca="1" si="174"/>
        <v>0</v>
      </c>
      <c r="D3737">
        <f t="shared" ca="1" si="175"/>
        <v>7928.0949287564799</v>
      </c>
    </row>
    <row r="3738" spans="2:4" x14ac:dyDescent="0.25">
      <c r="B3738">
        <f t="shared" ca="1" si="176"/>
        <v>42109.257623020734</v>
      </c>
      <c r="C3738">
        <f t="shared" ca="1" si="174"/>
        <v>0</v>
      </c>
      <c r="D3738">
        <f t="shared" ca="1" si="175"/>
        <v>2109.2576230207342</v>
      </c>
    </row>
    <row r="3739" spans="2:4" x14ac:dyDescent="0.25">
      <c r="B3739">
        <f t="shared" ca="1" si="176"/>
        <v>49338.264802624879</v>
      </c>
      <c r="C3739">
        <f t="shared" ca="1" si="174"/>
        <v>0</v>
      </c>
      <c r="D3739">
        <f t="shared" ca="1" si="175"/>
        <v>9338.2648026248789</v>
      </c>
    </row>
    <row r="3740" spans="2:4" x14ac:dyDescent="0.25">
      <c r="B3740">
        <f t="shared" ca="1" si="176"/>
        <v>43522.001687773824</v>
      </c>
      <c r="C3740">
        <f t="shared" ca="1" si="174"/>
        <v>0</v>
      </c>
      <c r="D3740">
        <f t="shared" ca="1" si="175"/>
        <v>3522.0016877738235</v>
      </c>
    </row>
    <row r="3741" spans="2:4" x14ac:dyDescent="0.25">
      <c r="B3741">
        <f t="shared" ca="1" si="176"/>
        <v>55769.013970639993</v>
      </c>
      <c r="C3741">
        <f t="shared" ca="1" si="174"/>
        <v>0</v>
      </c>
      <c r="D3741">
        <f t="shared" ca="1" si="175"/>
        <v>15769.013970639993</v>
      </c>
    </row>
    <row r="3742" spans="2:4" x14ac:dyDescent="0.25">
      <c r="B3742">
        <f t="shared" ca="1" si="176"/>
        <v>38991.83442367598</v>
      </c>
      <c r="C3742">
        <f t="shared" ca="1" si="174"/>
        <v>1008.1655763240196</v>
      </c>
      <c r="D3742">
        <f t="shared" ca="1" si="175"/>
        <v>0</v>
      </c>
    </row>
    <row r="3743" spans="2:4" x14ac:dyDescent="0.25">
      <c r="B3743">
        <f t="shared" ca="1" si="176"/>
        <v>44080.206955947579</v>
      </c>
      <c r="C3743">
        <f t="shared" ca="1" si="174"/>
        <v>0</v>
      </c>
      <c r="D3743">
        <f t="shared" ca="1" si="175"/>
        <v>4080.2069559475785</v>
      </c>
    </row>
    <row r="3744" spans="2:4" x14ac:dyDescent="0.25">
      <c r="B3744">
        <f t="shared" ca="1" si="176"/>
        <v>40055.392614164273</v>
      </c>
      <c r="C3744">
        <f t="shared" ca="1" si="174"/>
        <v>0</v>
      </c>
      <c r="D3744">
        <f t="shared" ca="1" si="175"/>
        <v>55.392614164273255</v>
      </c>
    </row>
    <row r="3745" spans="2:4" x14ac:dyDescent="0.25">
      <c r="B3745">
        <f t="shared" ca="1" si="176"/>
        <v>44808.833710874795</v>
      </c>
      <c r="C3745">
        <f t="shared" ca="1" si="174"/>
        <v>0</v>
      </c>
      <c r="D3745">
        <f t="shared" ca="1" si="175"/>
        <v>4808.8337108747946</v>
      </c>
    </row>
    <row r="3746" spans="2:4" x14ac:dyDescent="0.25">
      <c r="B3746">
        <f t="shared" ca="1" si="176"/>
        <v>48626.706551945499</v>
      </c>
      <c r="C3746">
        <f t="shared" ca="1" si="174"/>
        <v>0</v>
      </c>
      <c r="D3746">
        <f t="shared" ca="1" si="175"/>
        <v>8626.7065519454991</v>
      </c>
    </row>
    <row r="3747" spans="2:4" x14ac:dyDescent="0.25">
      <c r="B3747">
        <f t="shared" ca="1" si="176"/>
        <v>43190.009551142226</v>
      </c>
      <c r="C3747">
        <f t="shared" ca="1" si="174"/>
        <v>0</v>
      </c>
      <c r="D3747">
        <f t="shared" ca="1" si="175"/>
        <v>3190.009551142226</v>
      </c>
    </row>
    <row r="3748" spans="2:4" x14ac:dyDescent="0.25">
      <c r="B3748">
        <f t="shared" ca="1" si="176"/>
        <v>51077.245544426085</v>
      </c>
      <c r="C3748">
        <f t="shared" ca="1" si="174"/>
        <v>0</v>
      </c>
      <c r="D3748">
        <f t="shared" ca="1" si="175"/>
        <v>11077.245544426085</v>
      </c>
    </row>
    <row r="3749" spans="2:4" x14ac:dyDescent="0.25">
      <c r="B3749">
        <f t="shared" ca="1" si="176"/>
        <v>40458.887712345677</v>
      </c>
      <c r="C3749">
        <f t="shared" ca="1" si="174"/>
        <v>0</v>
      </c>
      <c r="D3749">
        <f t="shared" ca="1" si="175"/>
        <v>458.88771234567685</v>
      </c>
    </row>
    <row r="3750" spans="2:4" x14ac:dyDescent="0.25">
      <c r="B3750">
        <f t="shared" ca="1" si="176"/>
        <v>36963.261946917308</v>
      </c>
      <c r="C3750">
        <f t="shared" ca="1" si="174"/>
        <v>3036.7380530826922</v>
      </c>
      <c r="D3750">
        <f t="shared" ca="1" si="175"/>
        <v>0</v>
      </c>
    </row>
    <row r="3751" spans="2:4" x14ac:dyDescent="0.25">
      <c r="B3751">
        <f t="shared" ca="1" si="176"/>
        <v>41000.926692443878</v>
      </c>
      <c r="C3751">
        <f t="shared" ca="1" si="174"/>
        <v>0</v>
      </c>
      <c r="D3751">
        <f t="shared" ca="1" si="175"/>
        <v>1000.926692443878</v>
      </c>
    </row>
    <row r="3752" spans="2:4" x14ac:dyDescent="0.25">
      <c r="B3752">
        <f t="shared" ca="1" si="176"/>
        <v>47702.316385956758</v>
      </c>
      <c r="C3752">
        <f t="shared" ca="1" si="174"/>
        <v>0</v>
      </c>
      <c r="D3752">
        <f t="shared" ca="1" si="175"/>
        <v>7702.3163859567576</v>
      </c>
    </row>
    <row r="3753" spans="2:4" x14ac:dyDescent="0.25">
      <c r="B3753">
        <f t="shared" ca="1" si="176"/>
        <v>43556.60500384125</v>
      </c>
      <c r="C3753">
        <f t="shared" ca="1" si="174"/>
        <v>0</v>
      </c>
      <c r="D3753">
        <f t="shared" ca="1" si="175"/>
        <v>3556.6050038412504</v>
      </c>
    </row>
    <row r="3754" spans="2:4" x14ac:dyDescent="0.25">
      <c r="B3754">
        <f t="shared" ca="1" si="176"/>
        <v>45909.606981645054</v>
      </c>
      <c r="C3754">
        <f t="shared" ca="1" si="174"/>
        <v>0</v>
      </c>
      <c r="D3754">
        <f t="shared" ca="1" si="175"/>
        <v>5909.6069816450545</v>
      </c>
    </row>
    <row r="3755" spans="2:4" x14ac:dyDescent="0.25">
      <c r="B3755">
        <f t="shared" ca="1" si="176"/>
        <v>46517.50289421036</v>
      </c>
      <c r="C3755">
        <f t="shared" ca="1" si="174"/>
        <v>0</v>
      </c>
      <c r="D3755">
        <f t="shared" ca="1" si="175"/>
        <v>6517.50289421036</v>
      </c>
    </row>
    <row r="3756" spans="2:4" x14ac:dyDescent="0.25">
      <c r="B3756">
        <f t="shared" ca="1" si="176"/>
        <v>49427.60904487886</v>
      </c>
      <c r="C3756">
        <f t="shared" ca="1" si="174"/>
        <v>0</v>
      </c>
      <c r="D3756">
        <f t="shared" ca="1" si="175"/>
        <v>9427.60904487886</v>
      </c>
    </row>
    <row r="3757" spans="2:4" x14ac:dyDescent="0.25">
      <c r="B3757">
        <f t="shared" ca="1" si="176"/>
        <v>40038.726725212386</v>
      </c>
      <c r="C3757">
        <f t="shared" ca="1" si="174"/>
        <v>0</v>
      </c>
      <c r="D3757">
        <f t="shared" ca="1" si="175"/>
        <v>38.726725212385645</v>
      </c>
    </row>
    <row r="3758" spans="2:4" x14ac:dyDescent="0.25">
      <c r="B3758">
        <f t="shared" ca="1" si="176"/>
        <v>57501.157085946543</v>
      </c>
      <c r="C3758">
        <f t="shared" ca="1" si="174"/>
        <v>0</v>
      </c>
      <c r="D3758">
        <f t="shared" ca="1" si="175"/>
        <v>17501.157085946543</v>
      </c>
    </row>
    <row r="3759" spans="2:4" x14ac:dyDescent="0.25">
      <c r="B3759">
        <f t="shared" ca="1" si="176"/>
        <v>45242.318176960463</v>
      </c>
      <c r="C3759">
        <f t="shared" ca="1" si="174"/>
        <v>0</v>
      </c>
      <c r="D3759">
        <f t="shared" ca="1" si="175"/>
        <v>5242.3181769604635</v>
      </c>
    </row>
    <row r="3760" spans="2:4" x14ac:dyDescent="0.25">
      <c r="B3760">
        <f t="shared" ca="1" si="176"/>
        <v>48348.906504229759</v>
      </c>
      <c r="C3760">
        <f t="shared" ca="1" si="174"/>
        <v>0</v>
      </c>
      <c r="D3760">
        <f t="shared" ca="1" si="175"/>
        <v>8348.9065042297589</v>
      </c>
    </row>
    <row r="3761" spans="2:4" x14ac:dyDescent="0.25">
      <c r="B3761">
        <f t="shared" ca="1" si="176"/>
        <v>45996.139508293527</v>
      </c>
      <c r="C3761">
        <f t="shared" ca="1" si="174"/>
        <v>0</v>
      </c>
      <c r="D3761">
        <f t="shared" ca="1" si="175"/>
        <v>5996.1395082935269</v>
      </c>
    </row>
    <row r="3762" spans="2:4" x14ac:dyDescent="0.25">
      <c r="B3762">
        <f t="shared" ca="1" si="176"/>
        <v>44949.895901508142</v>
      </c>
      <c r="C3762">
        <f t="shared" ca="1" si="174"/>
        <v>0</v>
      </c>
      <c r="D3762">
        <f t="shared" ca="1" si="175"/>
        <v>4949.8959015081418</v>
      </c>
    </row>
    <row r="3763" spans="2:4" x14ac:dyDescent="0.25">
      <c r="B3763">
        <f t="shared" ca="1" si="176"/>
        <v>44387.947244648698</v>
      </c>
      <c r="C3763">
        <f t="shared" ca="1" si="174"/>
        <v>0</v>
      </c>
      <c r="D3763">
        <f t="shared" ca="1" si="175"/>
        <v>4387.947244648698</v>
      </c>
    </row>
    <row r="3764" spans="2:4" x14ac:dyDescent="0.25">
      <c r="B3764">
        <f t="shared" ca="1" si="176"/>
        <v>48154.890041952473</v>
      </c>
      <c r="C3764">
        <f t="shared" ca="1" si="174"/>
        <v>0</v>
      </c>
      <c r="D3764">
        <f t="shared" ca="1" si="175"/>
        <v>8154.8900419524725</v>
      </c>
    </row>
    <row r="3765" spans="2:4" x14ac:dyDescent="0.25">
      <c r="B3765">
        <f t="shared" ca="1" si="176"/>
        <v>50219.149421909038</v>
      </c>
      <c r="C3765">
        <f t="shared" ca="1" si="174"/>
        <v>0</v>
      </c>
      <c r="D3765">
        <f t="shared" ca="1" si="175"/>
        <v>10219.149421909038</v>
      </c>
    </row>
    <row r="3766" spans="2:4" x14ac:dyDescent="0.25">
      <c r="B3766">
        <f t="shared" ca="1" si="176"/>
        <v>43377.828817606744</v>
      </c>
      <c r="C3766">
        <f t="shared" ca="1" si="174"/>
        <v>0</v>
      </c>
      <c r="D3766">
        <f t="shared" ca="1" si="175"/>
        <v>3377.8288176067435</v>
      </c>
    </row>
    <row r="3767" spans="2:4" x14ac:dyDescent="0.25">
      <c r="B3767">
        <f t="shared" ca="1" si="176"/>
        <v>45006.384253633849</v>
      </c>
      <c r="C3767">
        <f t="shared" ca="1" si="174"/>
        <v>0</v>
      </c>
      <c r="D3767">
        <f t="shared" ca="1" si="175"/>
        <v>5006.3842536338489</v>
      </c>
    </row>
    <row r="3768" spans="2:4" x14ac:dyDescent="0.25">
      <c r="B3768">
        <f t="shared" ca="1" si="176"/>
        <v>46356.735093708463</v>
      </c>
      <c r="C3768">
        <f t="shared" ca="1" si="174"/>
        <v>0</v>
      </c>
      <c r="D3768">
        <f t="shared" ca="1" si="175"/>
        <v>6356.735093708463</v>
      </c>
    </row>
    <row r="3769" spans="2:4" x14ac:dyDescent="0.25">
      <c r="B3769">
        <f t="shared" ca="1" si="176"/>
        <v>41068.917110315728</v>
      </c>
      <c r="C3769">
        <f t="shared" ca="1" si="174"/>
        <v>0</v>
      </c>
      <c r="D3769">
        <f t="shared" ca="1" si="175"/>
        <v>1068.9171103157278</v>
      </c>
    </row>
    <row r="3770" spans="2:4" x14ac:dyDescent="0.25">
      <c r="B3770">
        <f t="shared" ca="1" si="176"/>
        <v>53160.07953621474</v>
      </c>
      <c r="C3770">
        <f t="shared" ca="1" si="174"/>
        <v>0</v>
      </c>
      <c r="D3770">
        <f t="shared" ca="1" si="175"/>
        <v>13160.07953621474</v>
      </c>
    </row>
    <row r="3771" spans="2:4" x14ac:dyDescent="0.25">
      <c r="B3771">
        <f t="shared" ca="1" si="176"/>
        <v>42936.421967810384</v>
      </c>
      <c r="C3771">
        <f t="shared" ca="1" si="174"/>
        <v>0</v>
      </c>
      <c r="D3771">
        <f t="shared" ca="1" si="175"/>
        <v>2936.4219678103836</v>
      </c>
    </row>
    <row r="3772" spans="2:4" x14ac:dyDescent="0.25">
      <c r="B3772">
        <f t="shared" ca="1" si="176"/>
        <v>51822.521680401092</v>
      </c>
      <c r="C3772">
        <f t="shared" ca="1" si="174"/>
        <v>0</v>
      </c>
      <c r="D3772">
        <f t="shared" ca="1" si="175"/>
        <v>11822.521680401092</v>
      </c>
    </row>
    <row r="3773" spans="2:4" x14ac:dyDescent="0.25">
      <c r="B3773">
        <f t="shared" ca="1" si="176"/>
        <v>40595.922554286422</v>
      </c>
      <c r="C3773">
        <f t="shared" ca="1" si="174"/>
        <v>0</v>
      </c>
      <c r="D3773">
        <f t="shared" ca="1" si="175"/>
        <v>595.92255428642238</v>
      </c>
    </row>
    <row r="3774" spans="2:4" x14ac:dyDescent="0.25">
      <c r="B3774">
        <f t="shared" ca="1" si="176"/>
        <v>50333.721007944208</v>
      </c>
      <c r="C3774">
        <f t="shared" ca="1" si="174"/>
        <v>0</v>
      </c>
      <c r="D3774">
        <f t="shared" ca="1" si="175"/>
        <v>10333.721007944208</v>
      </c>
    </row>
    <row r="3775" spans="2:4" x14ac:dyDescent="0.25">
      <c r="B3775">
        <f t="shared" ca="1" si="176"/>
        <v>44081.734985213203</v>
      </c>
      <c r="C3775">
        <f t="shared" ca="1" si="174"/>
        <v>0</v>
      </c>
      <c r="D3775">
        <f t="shared" ca="1" si="175"/>
        <v>4081.7349852132029</v>
      </c>
    </row>
    <row r="3776" spans="2:4" x14ac:dyDescent="0.25">
      <c r="B3776">
        <f t="shared" ca="1" si="176"/>
        <v>44794.698506728128</v>
      </c>
      <c r="C3776">
        <f t="shared" ca="1" si="174"/>
        <v>0</v>
      </c>
      <c r="D3776">
        <f t="shared" ca="1" si="175"/>
        <v>4794.6985067281275</v>
      </c>
    </row>
    <row r="3777" spans="2:4" x14ac:dyDescent="0.25">
      <c r="B3777">
        <f t="shared" ca="1" si="176"/>
        <v>48641.817076294945</v>
      </c>
      <c r="C3777">
        <f t="shared" ca="1" si="174"/>
        <v>0</v>
      </c>
      <c r="D3777">
        <f t="shared" ca="1" si="175"/>
        <v>8641.8170762949449</v>
      </c>
    </row>
    <row r="3778" spans="2:4" x14ac:dyDescent="0.25">
      <c r="B3778">
        <f t="shared" ca="1" si="176"/>
        <v>38932.599619702887</v>
      </c>
      <c r="C3778">
        <f t="shared" ca="1" si="174"/>
        <v>1067.4003802971129</v>
      </c>
      <c r="D3778">
        <f t="shared" ca="1" si="175"/>
        <v>0</v>
      </c>
    </row>
    <row r="3779" spans="2:4" x14ac:dyDescent="0.25">
      <c r="B3779">
        <f t="shared" ca="1" si="176"/>
        <v>44958.51627223142</v>
      </c>
      <c r="C3779">
        <f t="shared" ca="1" si="174"/>
        <v>0</v>
      </c>
      <c r="D3779">
        <f t="shared" ca="1" si="175"/>
        <v>4958.5162722314199</v>
      </c>
    </row>
    <row r="3780" spans="2:4" x14ac:dyDescent="0.25">
      <c r="B3780">
        <f t="shared" ca="1" si="176"/>
        <v>50661.835114389047</v>
      </c>
      <c r="C3780">
        <f t="shared" ca="1" si="174"/>
        <v>0</v>
      </c>
      <c r="D3780">
        <f t="shared" ca="1" si="175"/>
        <v>10661.835114389047</v>
      </c>
    </row>
    <row r="3781" spans="2:4" x14ac:dyDescent="0.25">
      <c r="B3781">
        <f t="shared" ca="1" si="176"/>
        <v>45524.144502384683</v>
      </c>
      <c r="C3781">
        <f t="shared" ca="1" si="174"/>
        <v>0</v>
      </c>
      <c r="D3781">
        <f t="shared" ca="1" si="175"/>
        <v>5524.1445023846827</v>
      </c>
    </row>
    <row r="3782" spans="2:4" x14ac:dyDescent="0.25">
      <c r="B3782">
        <f t="shared" ca="1" si="176"/>
        <v>47781.74023095749</v>
      </c>
      <c r="C3782">
        <f t="shared" ca="1" si="174"/>
        <v>0</v>
      </c>
      <c r="D3782">
        <f t="shared" ca="1" si="175"/>
        <v>7781.74023095749</v>
      </c>
    </row>
    <row r="3783" spans="2:4" x14ac:dyDescent="0.25">
      <c r="B3783">
        <f t="shared" ca="1" si="176"/>
        <v>44410.840356598004</v>
      </c>
      <c r="C3783">
        <f t="shared" ca="1" si="174"/>
        <v>0</v>
      </c>
      <c r="D3783">
        <f t="shared" ca="1" si="175"/>
        <v>4410.8403565980043</v>
      </c>
    </row>
    <row r="3784" spans="2:4" x14ac:dyDescent="0.25">
      <c r="B3784">
        <f t="shared" ca="1" si="176"/>
        <v>53695.084369042532</v>
      </c>
      <c r="C3784">
        <f t="shared" ca="1" si="174"/>
        <v>0</v>
      </c>
      <c r="D3784">
        <f t="shared" ca="1" si="175"/>
        <v>13695.084369042532</v>
      </c>
    </row>
    <row r="3785" spans="2:4" x14ac:dyDescent="0.25">
      <c r="B3785">
        <f t="shared" ca="1" si="176"/>
        <v>47751.182793266817</v>
      </c>
      <c r="C3785">
        <f t="shared" ca="1" si="174"/>
        <v>0</v>
      </c>
      <c r="D3785">
        <f t="shared" ca="1" si="175"/>
        <v>7751.1827932668166</v>
      </c>
    </row>
    <row r="3786" spans="2:4" x14ac:dyDescent="0.25">
      <c r="B3786">
        <f t="shared" ca="1" si="176"/>
        <v>40453.410122462119</v>
      </c>
      <c r="C3786">
        <f t="shared" ca="1" si="174"/>
        <v>0</v>
      </c>
      <c r="D3786">
        <f t="shared" ca="1" si="175"/>
        <v>453.41012246211903</v>
      </c>
    </row>
    <row r="3787" spans="2:4" x14ac:dyDescent="0.25">
      <c r="B3787">
        <f t="shared" ca="1" si="176"/>
        <v>52964.688385604422</v>
      </c>
      <c r="C3787">
        <f t="shared" ca="1" si="174"/>
        <v>0</v>
      </c>
      <c r="D3787">
        <f t="shared" ca="1" si="175"/>
        <v>12964.688385604422</v>
      </c>
    </row>
    <row r="3788" spans="2:4" x14ac:dyDescent="0.25">
      <c r="B3788">
        <f t="shared" ca="1" si="176"/>
        <v>34987.958380796445</v>
      </c>
      <c r="C3788">
        <f t="shared" ref="C3788:C3851" ca="1" si="177">IF(MAX($B$2-B3788)&lt;0,0,$B$2-B3788)</f>
        <v>5012.0416192035555</v>
      </c>
      <c r="D3788">
        <f t="shared" ref="D3788:D3851" ca="1" si="178">IF(MAX(B3788-$B$2)&lt;0,0,B3788-$B$2)</f>
        <v>0</v>
      </c>
    </row>
    <row r="3789" spans="2:4" x14ac:dyDescent="0.25">
      <c r="B3789">
        <f t="shared" ref="B3789:B3852" ca="1" si="179">$B$1*EXP((($B$4-($B$3^2)/2)*$B$5+$B$3*SQRT($B$5)*NORMSINV(RAND())))</f>
        <v>41040.947843694077</v>
      </c>
      <c r="C3789">
        <f t="shared" ca="1" si="177"/>
        <v>0</v>
      </c>
      <c r="D3789">
        <f t="shared" ca="1" si="178"/>
        <v>1040.9478436940772</v>
      </c>
    </row>
    <row r="3790" spans="2:4" x14ac:dyDescent="0.25">
      <c r="B3790">
        <f t="shared" ca="1" si="179"/>
        <v>51206.44212987426</v>
      </c>
      <c r="C3790">
        <f t="shared" ca="1" si="177"/>
        <v>0</v>
      </c>
      <c r="D3790">
        <f t="shared" ca="1" si="178"/>
        <v>11206.44212987426</v>
      </c>
    </row>
    <row r="3791" spans="2:4" x14ac:dyDescent="0.25">
      <c r="B3791">
        <f t="shared" ca="1" si="179"/>
        <v>40923.248180106886</v>
      </c>
      <c r="C3791">
        <f t="shared" ca="1" si="177"/>
        <v>0</v>
      </c>
      <c r="D3791">
        <f t="shared" ca="1" si="178"/>
        <v>923.24818010688614</v>
      </c>
    </row>
    <row r="3792" spans="2:4" x14ac:dyDescent="0.25">
      <c r="B3792">
        <f t="shared" ca="1" si="179"/>
        <v>45869.587792690581</v>
      </c>
      <c r="C3792">
        <f t="shared" ca="1" si="177"/>
        <v>0</v>
      </c>
      <c r="D3792">
        <f t="shared" ca="1" si="178"/>
        <v>5869.5877926905814</v>
      </c>
    </row>
    <row r="3793" spans="2:4" x14ac:dyDescent="0.25">
      <c r="B3793">
        <f t="shared" ca="1" si="179"/>
        <v>42950.223570565875</v>
      </c>
      <c r="C3793">
        <f t="shared" ca="1" si="177"/>
        <v>0</v>
      </c>
      <c r="D3793">
        <f t="shared" ca="1" si="178"/>
        <v>2950.223570565875</v>
      </c>
    </row>
    <row r="3794" spans="2:4" x14ac:dyDescent="0.25">
      <c r="B3794">
        <f t="shared" ca="1" si="179"/>
        <v>40624.431475078178</v>
      </c>
      <c r="C3794">
        <f t="shared" ca="1" si="177"/>
        <v>0</v>
      </c>
      <c r="D3794">
        <f t="shared" ca="1" si="178"/>
        <v>624.43147507817775</v>
      </c>
    </row>
    <row r="3795" spans="2:4" x14ac:dyDescent="0.25">
      <c r="B3795">
        <f t="shared" ca="1" si="179"/>
        <v>48111.563652461569</v>
      </c>
      <c r="C3795">
        <f t="shared" ca="1" si="177"/>
        <v>0</v>
      </c>
      <c r="D3795">
        <f t="shared" ca="1" si="178"/>
        <v>8111.5636524615693</v>
      </c>
    </row>
    <row r="3796" spans="2:4" x14ac:dyDescent="0.25">
      <c r="B3796">
        <f t="shared" ca="1" si="179"/>
        <v>38420.691892437164</v>
      </c>
      <c r="C3796">
        <f t="shared" ca="1" si="177"/>
        <v>1579.3081075628361</v>
      </c>
      <c r="D3796">
        <f t="shared" ca="1" si="178"/>
        <v>0</v>
      </c>
    </row>
    <row r="3797" spans="2:4" x14ac:dyDescent="0.25">
      <c r="B3797">
        <f t="shared" ca="1" si="179"/>
        <v>44915.604909348614</v>
      </c>
      <c r="C3797">
        <f t="shared" ca="1" si="177"/>
        <v>0</v>
      </c>
      <c r="D3797">
        <f t="shared" ca="1" si="178"/>
        <v>4915.6049093486145</v>
      </c>
    </row>
    <row r="3798" spans="2:4" x14ac:dyDescent="0.25">
      <c r="B3798">
        <f t="shared" ca="1" si="179"/>
        <v>42027.173566834201</v>
      </c>
      <c r="C3798">
        <f t="shared" ca="1" si="177"/>
        <v>0</v>
      </c>
      <c r="D3798">
        <f t="shared" ca="1" si="178"/>
        <v>2027.1735668342008</v>
      </c>
    </row>
    <row r="3799" spans="2:4" x14ac:dyDescent="0.25">
      <c r="B3799">
        <f t="shared" ca="1" si="179"/>
        <v>46724.137313954285</v>
      </c>
      <c r="C3799">
        <f t="shared" ca="1" si="177"/>
        <v>0</v>
      </c>
      <c r="D3799">
        <f t="shared" ca="1" si="178"/>
        <v>6724.1373139542848</v>
      </c>
    </row>
    <row r="3800" spans="2:4" x14ac:dyDescent="0.25">
      <c r="B3800">
        <f t="shared" ca="1" si="179"/>
        <v>49821.520068955069</v>
      </c>
      <c r="C3800">
        <f t="shared" ca="1" si="177"/>
        <v>0</v>
      </c>
      <c r="D3800">
        <f t="shared" ca="1" si="178"/>
        <v>9821.5200689550693</v>
      </c>
    </row>
    <row r="3801" spans="2:4" x14ac:dyDescent="0.25">
      <c r="B3801">
        <f t="shared" ca="1" si="179"/>
        <v>46415.059304423165</v>
      </c>
      <c r="C3801">
        <f t="shared" ca="1" si="177"/>
        <v>0</v>
      </c>
      <c r="D3801">
        <f t="shared" ca="1" si="178"/>
        <v>6415.0593044231646</v>
      </c>
    </row>
    <row r="3802" spans="2:4" x14ac:dyDescent="0.25">
      <c r="B3802">
        <f t="shared" ca="1" si="179"/>
        <v>43061.020658536567</v>
      </c>
      <c r="C3802">
        <f t="shared" ca="1" si="177"/>
        <v>0</v>
      </c>
      <c r="D3802">
        <f t="shared" ca="1" si="178"/>
        <v>3061.0206585365668</v>
      </c>
    </row>
    <row r="3803" spans="2:4" x14ac:dyDescent="0.25">
      <c r="B3803">
        <f t="shared" ca="1" si="179"/>
        <v>37722.466281003435</v>
      </c>
      <c r="C3803">
        <f t="shared" ca="1" si="177"/>
        <v>2277.5337189965649</v>
      </c>
      <c r="D3803">
        <f t="shared" ca="1" si="178"/>
        <v>0</v>
      </c>
    </row>
    <row r="3804" spans="2:4" x14ac:dyDescent="0.25">
      <c r="B3804">
        <f t="shared" ca="1" si="179"/>
        <v>47167.372969001677</v>
      </c>
      <c r="C3804">
        <f t="shared" ca="1" si="177"/>
        <v>0</v>
      </c>
      <c r="D3804">
        <f t="shared" ca="1" si="178"/>
        <v>7167.3729690016771</v>
      </c>
    </row>
    <row r="3805" spans="2:4" x14ac:dyDescent="0.25">
      <c r="B3805">
        <f t="shared" ca="1" si="179"/>
        <v>39838.63059003665</v>
      </c>
      <c r="C3805">
        <f t="shared" ca="1" si="177"/>
        <v>161.36940996335034</v>
      </c>
      <c r="D3805">
        <f t="shared" ca="1" si="178"/>
        <v>0</v>
      </c>
    </row>
    <row r="3806" spans="2:4" x14ac:dyDescent="0.25">
      <c r="B3806">
        <f t="shared" ca="1" si="179"/>
        <v>45196.718938786653</v>
      </c>
      <c r="C3806">
        <f t="shared" ca="1" si="177"/>
        <v>0</v>
      </c>
      <c r="D3806">
        <f t="shared" ca="1" si="178"/>
        <v>5196.7189387866529</v>
      </c>
    </row>
    <row r="3807" spans="2:4" x14ac:dyDescent="0.25">
      <c r="B3807">
        <f t="shared" ca="1" si="179"/>
        <v>45082.000732889588</v>
      </c>
      <c r="C3807">
        <f t="shared" ca="1" si="177"/>
        <v>0</v>
      </c>
      <c r="D3807">
        <f t="shared" ca="1" si="178"/>
        <v>5082.0007328895881</v>
      </c>
    </row>
    <row r="3808" spans="2:4" x14ac:dyDescent="0.25">
      <c r="B3808">
        <f t="shared" ca="1" si="179"/>
        <v>39885.566134249952</v>
      </c>
      <c r="C3808">
        <f t="shared" ca="1" si="177"/>
        <v>114.43386575004843</v>
      </c>
      <c r="D3808">
        <f t="shared" ca="1" si="178"/>
        <v>0</v>
      </c>
    </row>
    <row r="3809" spans="2:4" x14ac:dyDescent="0.25">
      <c r="B3809">
        <f t="shared" ca="1" si="179"/>
        <v>53938.624361707749</v>
      </c>
      <c r="C3809">
        <f t="shared" ca="1" si="177"/>
        <v>0</v>
      </c>
      <c r="D3809">
        <f t="shared" ca="1" si="178"/>
        <v>13938.624361707749</v>
      </c>
    </row>
    <row r="3810" spans="2:4" x14ac:dyDescent="0.25">
      <c r="B3810">
        <f t="shared" ca="1" si="179"/>
        <v>46624.759397221984</v>
      </c>
      <c r="C3810">
        <f t="shared" ca="1" si="177"/>
        <v>0</v>
      </c>
      <c r="D3810">
        <f t="shared" ca="1" si="178"/>
        <v>6624.7593972219838</v>
      </c>
    </row>
    <row r="3811" spans="2:4" x14ac:dyDescent="0.25">
      <c r="B3811">
        <f t="shared" ca="1" si="179"/>
        <v>41150.581717977853</v>
      </c>
      <c r="C3811">
        <f t="shared" ca="1" si="177"/>
        <v>0</v>
      </c>
      <c r="D3811">
        <f t="shared" ca="1" si="178"/>
        <v>1150.5817179778533</v>
      </c>
    </row>
    <row r="3812" spans="2:4" x14ac:dyDescent="0.25">
      <c r="B3812">
        <f t="shared" ca="1" si="179"/>
        <v>44058.14723551779</v>
      </c>
      <c r="C3812">
        <f t="shared" ca="1" si="177"/>
        <v>0</v>
      </c>
      <c r="D3812">
        <f t="shared" ca="1" si="178"/>
        <v>4058.1472355177903</v>
      </c>
    </row>
    <row r="3813" spans="2:4" x14ac:dyDescent="0.25">
      <c r="B3813">
        <f t="shared" ca="1" si="179"/>
        <v>43202.172181045382</v>
      </c>
      <c r="C3813">
        <f t="shared" ca="1" si="177"/>
        <v>0</v>
      </c>
      <c r="D3813">
        <f t="shared" ca="1" si="178"/>
        <v>3202.1721810453819</v>
      </c>
    </row>
    <row r="3814" spans="2:4" x14ac:dyDescent="0.25">
      <c r="B3814">
        <f t="shared" ca="1" si="179"/>
        <v>38570.310376694215</v>
      </c>
      <c r="C3814">
        <f t="shared" ca="1" si="177"/>
        <v>1429.6896233057851</v>
      </c>
      <c r="D3814">
        <f t="shared" ca="1" si="178"/>
        <v>0</v>
      </c>
    </row>
    <row r="3815" spans="2:4" x14ac:dyDescent="0.25">
      <c r="B3815">
        <f t="shared" ca="1" si="179"/>
        <v>48065.78810840701</v>
      </c>
      <c r="C3815">
        <f t="shared" ca="1" si="177"/>
        <v>0</v>
      </c>
      <c r="D3815">
        <f t="shared" ca="1" si="178"/>
        <v>8065.7881084070104</v>
      </c>
    </row>
    <row r="3816" spans="2:4" x14ac:dyDescent="0.25">
      <c r="B3816">
        <f t="shared" ca="1" si="179"/>
        <v>51051.405579721664</v>
      </c>
      <c r="C3816">
        <f t="shared" ca="1" si="177"/>
        <v>0</v>
      </c>
      <c r="D3816">
        <f t="shared" ca="1" si="178"/>
        <v>11051.405579721664</v>
      </c>
    </row>
    <row r="3817" spans="2:4" x14ac:dyDescent="0.25">
      <c r="B3817">
        <f t="shared" ca="1" si="179"/>
        <v>49102.273263320705</v>
      </c>
      <c r="C3817">
        <f t="shared" ca="1" si="177"/>
        <v>0</v>
      </c>
      <c r="D3817">
        <f t="shared" ca="1" si="178"/>
        <v>9102.2732633207052</v>
      </c>
    </row>
    <row r="3818" spans="2:4" x14ac:dyDescent="0.25">
      <c r="B3818">
        <f t="shared" ca="1" si="179"/>
        <v>48356.944415680082</v>
      </c>
      <c r="C3818">
        <f t="shared" ca="1" si="177"/>
        <v>0</v>
      </c>
      <c r="D3818">
        <f t="shared" ca="1" si="178"/>
        <v>8356.9444156800819</v>
      </c>
    </row>
    <row r="3819" spans="2:4" x14ac:dyDescent="0.25">
      <c r="B3819">
        <f t="shared" ca="1" si="179"/>
        <v>47538.975195406354</v>
      </c>
      <c r="C3819">
        <f t="shared" ca="1" si="177"/>
        <v>0</v>
      </c>
      <c r="D3819">
        <f t="shared" ca="1" si="178"/>
        <v>7538.975195406354</v>
      </c>
    </row>
    <row r="3820" spans="2:4" x14ac:dyDescent="0.25">
      <c r="B3820">
        <f t="shared" ca="1" si="179"/>
        <v>46764.741871558726</v>
      </c>
      <c r="C3820">
        <f t="shared" ca="1" si="177"/>
        <v>0</v>
      </c>
      <c r="D3820">
        <f t="shared" ca="1" si="178"/>
        <v>6764.7418715587264</v>
      </c>
    </row>
    <row r="3821" spans="2:4" x14ac:dyDescent="0.25">
      <c r="B3821">
        <f t="shared" ca="1" si="179"/>
        <v>46427.913825382166</v>
      </c>
      <c r="C3821">
        <f t="shared" ca="1" si="177"/>
        <v>0</v>
      </c>
      <c r="D3821">
        <f t="shared" ca="1" si="178"/>
        <v>6427.9138253821657</v>
      </c>
    </row>
    <row r="3822" spans="2:4" x14ac:dyDescent="0.25">
      <c r="B3822">
        <f t="shared" ca="1" si="179"/>
        <v>50890.016773553354</v>
      </c>
      <c r="C3822">
        <f t="shared" ca="1" si="177"/>
        <v>0</v>
      </c>
      <c r="D3822">
        <f t="shared" ca="1" si="178"/>
        <v>10890.016773553354</v>
      </c>
    </row>
    <row r="3823" spans="2:4" x14ac:dyDescent="0.25">
      <c r="B3823">
        <f t="shared" ca="1" si="179"/>
        <v>38991.853825451144</v>
      </c>
      <c r="C3823">
        <f t="shared" ca="1" si="177"/>
        <v>1008.1461745488559</v>
      </c>
      <c r="D3823">
        <f t="shared" ca="1" si="178"/>
        <v>0</v>
      </c>
    </row>
    <row r="3824" spans="2:4" x14ac:dyDescent="0.25">
      <c r="B3824">
        <f t="shared" ca="1" si="179"/>
        <v>39586.137223447658</v>
      </c>
      <c r="C3824">
        <f t="shared" ca="1" si="177"/>
        <v>413.86277655234153</v>
      </c>
      <c r="D3824">
        <f t="shared" ca="1" si="178"/>
        <v>0</v>
      </c>
    </row>
    <row r="3825" spans="2:4" x14ac:dyDescent="0.25">
      <c r="B3825">
        <f t="shared" ca="1" si="179"/>
        <v>45128.918676245958</v>
      </c>
      <c r="C3825">
        <f t="shared" ca="1" si="177"/>
        <v>0</v>
      </c>
      <c r="D3825">
        <f t="shared" ca="1" si="178"/>
        <v>5128.9186762459576</v>
      </c>
    </row>
    <row r="3826" spans="2:4" x14ac:dyDescent="0.25">
      <c r="B3826">
        <f t="shared" ca="1" si="179"/>
        <v>45091.143677937878</v>
      </c>
      <c r="C3826">
        <f t="shared" ca="1" si="177"/>
        <v>0</v>
      </c>
      <c r="D3826">
        <f t="shared" ca="1" si="178"/>
        <v>5091.1436779378782</v>
      </c>
    </row>
    <row r="3827" spans="2:4" x14ac:dyDescent="0.25">
      <c r="B3827">
        <f t="shared" ca="1" si="179"/>
        <v>48345.481347458524</v>
      </c>
      <c r="C3827">
        <f t="shared" ca="1" si="177"/>
        <v>0</v>
      </c>
      <c r="D3827">
        <f t="shared" ca="1" si="178"/>
        <v>8345.4813474585244</v>
      </c>
    </row>
    <row r="3828" spans="2:4" x14ac:dyDescent="0.25">
      <c r="B3828">
        <f t="shared" ca="1" si="179"/>
        <v>48788.379004270886</v>
      </c>
      <c r="C3828">
        <f t="shared" ca="1" si="177"/>
        <v>0</v>
      </c>
      <c r="D3828">
        <f t="shared" ca="1" si="178"/>
        <v>8788.3790042708861</v>
      </c>
    </row>
    <row r="3829" spans="2:4" x14ac:dyDescent="0.25">
      <c r="B3829">
        <f t="shared" ca="1" si="179"/>
        <v>39175.274167771095</v>
      </c>
      <c r="C3829">
        <f t="shared" ca="1" si="177"/>
        <v>824.72583222890535</v>
      </c>
      <c r="D3829">
        <f t="shared" ca="1" si="178"/>
        <v>0</v>
      </c>
    </row>
    <row r="3830" spans="2:4" x14ac:dyDescent="0.25">
      <c r="B3830">
        <f t="shared" ca="1" si="179"/>
        <v>41296.491283991578</v>
      </c>
      <c r="C3830">
        <f t="shared" ca="1" si="177"/>
        <v>0</v>
      </c>
      <c r="D3830">
        <f t="shared" ca="1" si="178"/>
        <v>1296.4912839915778</v>
      </c>
    </row>
    <row r="3831" spans="2:4" x14ac:dyDescent="0.25">
      <c r="B3831">
        <f t="shared" ca="1" si="179"/>
        <v>53768.961024339093</v>
      </c>
      <c r="C3831">
        <f t="shared" ca="1" si="177"/>
        <v>0</v>
      </c>
      <c r="D3831">
        <f t="shared" ca="1" si="178"/>
        <v>13768.961024339093</v>
      </c>
    </row>
    <row r="3832" spans="2:4" x14ac:dyDescent="0.25">
      <c r="B3832">
        <f t="shared" ca="1" si="179"/>
        <v>46714.698677297449</v>
      </c>
      <c r="C3832">
        <f t="shared" ca="1" si="177"/>
        <v>0</v>
      </c>
      <c r="D3832">
        <f t="shared" ca="1" si="178"/>
        <v>6714.6986772974487</v>
      </c>
    </row>
    <row r="3833" spans="2:4" x14ac:dyDescent="0.25">
      <c r="B3833">
        <f t="shared" ca="1" si="179"/>
        <v>39591.978228698492</v>
      </c>
      <c r="C3833">
        <f t="shared" ca="1" si="177"/>
        <v>408.02177130150812</v>
      </c>
      <c r="D3833">
        <f t="shared" ca="1" si="178"/>
        <v>0</v>
      </c>
    </row>
    <row r="3834" spans="2:4" x14ac:dyDescent="0.25">
      <c r="B3834">
        <f t="shared" ca="1" si="179"/>
        <v>42712.329035464063</v>
      </c>
      <c r="C3834">
        <f t="shared" ca="1" si="177"/>
        <v>0</v>
      </c>
      <c r="D3834">
        <f t="shared" ca="1" si="178"/>
        <v>2712.3290354640631</v>
      </c>
    </row>
    <row r="3835" spans="2:4" x14ac:dyDescent="0.25">
      <c r="B3835">
        <f t="shared" ca="1" si="179"/>
        <v>48035.652108867391</v>
      </c>
      <c r="C3835">
        <f t="shared" ca="1" si="177"/>
        <v>0</v>
      </c>
      <c r="D3835">
        <f t="shared" ca="1" si="178"/>
        <v>8035.6521088673908</v>
      </c>
    </row>
    <row r="3836" spans="2:4" x14ac:dyDescent="0.25">
      <c r="B3836">
        <f t="shared" ca="1" si="179"/>
        <v>46577.731389330977</v>
      </c>
      <c r="C3836">
        <f t="shared" ca="1" si="177"/>
        <v>0</v>
      </c>
      <c r="D3836">
        <f t="shared" ca="1" si="178"/>
        <v>6577.7313893309765</v>
      </c>
    </row>
    <row r="3837" spans="2:4" x14ac:dyDescent="0.25">
      <c r="B3837">
        <f t="shared" ca="1" si="179"/>
        <v>48933.256675709796</v>
      </c>
      <c r="C3837">
        <f t="shared" ca="1" si="177"/>
        <v>0</v>
      </c>
      <c r="D3837">
        <f t="shared" ca="1" si="178"/>
        <v>8933.2566757097957</v>
      </c>
    </row>
    <row r="3838" spans="2:4" x14ac:dyDescent="0.25">
      <c r="B3838">
        <f t="shared" ca="1" si="179"/>
        <v>55417.266578191215</v>
      </c>
      <c r="C3838">
        <f t="shared" ca="1" si="177"/>
        <v>0</v>
      </c>
      <c r="D3838">
        <f t="shared" ca="1" si="178"/>
        <v>15417.266578191215</v>
      </c>
    </row>
    <row r="3839" spans="2:4" x14ac:dyDescent="0.25">
      <c r="B3839">
        <f t="shared" ca="1" si="179"/>
        <v>44811.165387775029</v>
      </c>
      <c r="C3839">
        <f t="shared" ca="1" si="177"/>
        <v>0</v>
      </c>
      <c r="D3839">
        <f t="shared" ca="1" si="178"/>
        <v>4811.1653877750286</v>
      </c>
    </row>
    <row r="3840" spans="2:4" x14ac:dyDescent="0.25">
      <c r="B3840">
        <f t="shared" ca="1" si="179"/>
        <v>45236.916817397563</v>
      </c>
      <c r="C3840">
        <f t="shared" ca="1" si="177"/>
        <v>0</v>
      </c>
      <c r="D3840">
        <f t="shared" ca="1" si="178"/>
        <v>5236.9168173975631</v>
      </c>
    </row>
    <row r="3841" spans="2:4" x14ac:dyDescent="0.25">
      <c r="B3841">
        <f t="shared" ca="1" si="179"/>
        <v>46450.588618471018</v>
      </c>
      <c r="C3841">
        <f t="shared" ca="1" si="177"/>
        <v>0</v>
      </c>
      <c r="D3841">
        <f t="shared" ca="1" si="178"/>
        <v>6450.588618471018</v>
      </c>
    </row>
    <row r="3842" spans="2:4" x14ac:dyDescent="0.25">
      <c r="B3842">
        <f t="shared" ca="1" si="179"/>
        <v>39510.141543316975</v>
      </c>
      <c r="C3842">
        <f t="shared" ca="1" si="177"/>
        <v>489.858456683025</v>
      </c>
      <c r="D3842">
        <f t="shared" ca="1" si="178"/>
        <v>0</v>
      </c>
    </row>
    <row r="3843" spans="2:4" x14ac:dyDescent="0.25">
      <c r="B3843">
        <f t="shared" ca="1" si="179"/>
        <v>49861.772742057699</v>
      </c>
      <c r="C3843">
        <f t="shared" ca="1" si="177"/>
        <v>0</v>
      </c>
      <c r="D3843">
        <f t="shared" ca="1" si="178"/>
        <v>9861.7727420576994</v>
      </c>
    </row>
    <row r="3844" spans="2:4" x14ac:dyDescent="0.25">
      <c r="B3844">
        <f t="shared" ca="1" si="179"/>
        <v>50295.423224116297</v>
      </c>
      <c r="C3844">
        <f t="shared" ca="1" si="177"/>
        <v>0</v>
      </c>
      <c r="D3844">
        <f t="shared" ca="1" si="178"/>
        <v>10295.423224116297</v>
      </c>
    </row>
    <row r="3845" spans="2:4" x14ac:dyDescent="0.25">
      <c r="B3845">
        <f t="shared" ca="1" si="179"/>
        <v>50067.403959160889</v>
      </c>
      <c r="C3845">
        <f t="shared" ca="1" si="177"/>
        <v>0</v>
      </c>
      <c r="D3845">
        <f t="shared" ca="1" si="178"/>
        <v>10067.403959160889</v>
      </c>
    </row>
    <row r="3846" spans="2:4" x14ac:dyDescent="0.25">
      <c r="B3846">
        <f t="shared" ca="1" si="179"/>
        <v>44673.250668094683</v>
      </c>
      <c r="C3846">
        <f t="shared" ca="1" si="177"/>
        <v>0</v>
      </c>
      <c r="D3846">
        <f t="shared" ca="1" si="178"/>
        <v>4673.2506680946826</v>
      </c>
    </row>
    <row r="3847" spans="2:4" x14ac:dyDescent="0.25">
      <c r="B3847">
        <f t="shared" ca="1" si="179"/>
        <v>44734.477469029727</v>
      </c>
      <c r="C3847">
        <f t="shared" ca="1" si="177"/>
        <v>0</v>
      </c>
      <c r="D3847">
        <f t="shared" ca="1" si="178"/>
        <v>4734.4774690297272</v>
      </c>
    </row>
    <row r="3848" spans="2:4" x14ac:dyDescent="0.25">
      <c r="B3848">
        <f t="shared" ca="1" si="179"/>
        <v>41355.515209698002</v>
      </c>
      <c r="C3848">
        <f t="shared" ca="1" si="177"/>
        <v>0</v>
      </c>
      <c r="D3848">
        <f t="shared" ca="1" si="178"/>
        <v>1355.5152096980019</v>
      </c>
    </row>
    <row r="3849" spans="2:4" x14ac:dyDescent="0.25">
      <c r="B3849">
        <f t="shared" ca="1" si="179"/>
        <v>41602.138920032463</v>
      </c>
      <c r="C3849">
        <f t="shared" ca="1" si="177"/>
        <v>0</v>
      </c>
      <c r="D3849">
        <f t="shared" ca="1" si="178"/>
        <v>1602.1389200324629</v>
      </c>
    </row>
    <row r="3850" spans="2:4" x14ac:dyDescent="0.25">
      <c r="B3850">
        <f t="shared" ca="1" si="179"/>
        <v>38425.542794137342</v>
      </c>
      <c r="C3850">
        <f t="shared" ca="1" si="177"/>
        <v>1574.4572058626582</v>
      </c>
      <c r="D3850">
        <f t="shared" ca="1" si="178"/>
        <v>0</v>
      </c>
    </row>
    <row r="3851" spans="2:4" x14ac:dyDescent="0.25">
      <c r="B3851">
        <f t="shared" ca="1" si="179"/>
        <v>40678.818938241602</v>
      </c>
      <c r="C3851">
        <f t="shared" ca="1" si="177"/>
        <v>0</v>
      </c>
      <c r="D3851">
        <f t="shared" ca="1" si="178"/>
        <v>678.81893824160215</v>
      </c>
    </row>
    <row r="3852" spans="2:4" x14ac:dyDescent="0.25">
      <c r="B3852">
        <f t="shared" ca="1" si="179"/>
        <v>42616.819392971709</v>
      </c>
      <c r="C3852">
        <f t="shared" ref="C3852:C3915" ca="1" si="180">IF(MAX($B$2-B3852)&lt;0,0,$B$2-B3852)</f>
        <v>0</v>
      </c>
      <c r="D3852">
        <f t="shared" ref="D3852:D3915" ca="1" si="181">IF(MAX(B3852-$B$2)&lt;0,0,B3852-$B$2)</f>
        <v>2616.819392971709</v>
      </c>
    </row>
    <row r="3853" spans="2:4" x14ac:dyDescent="0.25">
      <c r="B3853">
        <f t="shared" ref="B3853:B3916" ca="1" si="182">$B$1*EXP((($B$4-($B$3^2)/2)*$B$5+$B$3*SQRT($B$5)*NORMSINV(RAND())))</f>
        <v>39656.917842906012</v>
      </c>
      <c r="C3853">
        <f t="shared" ca="1" si="180"/>
        <v>343.08215709398792</v>
      </c>
      <c r="D3853">
        <f t="shared" ca="1" si="181"/>
        <v>0</v>
      </c>
    </row>
    <row r="3854" spans="2:4" x14ac:dyDescent="0.25">
      <c r="B3854">
        <f t="shared" ca="1" si="182"/>
        <v>43443.86080364963</v>
      </c>
      <c r="C3854">
        <f t="shared" ca="1" si="180"/>
        <v>0</v>
      </c>
      <c r="D3854">
        <f t="shared" ca="1" si="181"/>
        <v>3443.8608036496298</v>
      </c>
    </row>
    <row r="3855" spans="2:4" x14ac:dyDescent="0.25">
      <c r="B3855">
        <f t="shared" ca="1" si="182"/>
        <v>45235.726808844011</v>
      </c>
      <c r="C3855">
        <f t="shared" ca="1" si="180"/>
        <v>0</v>
      </c>
      <c r="D3855">
        <f t="shared" ca="1" si="181"/>
        <v>5235.7268088440105</v>
      </c>
    </row>
    <row r="3856" spans="2:4" x14ac:dyDescent="0.25">
      <c r="B3856">
        <f t="shared" ca="1" si="182"/>
        <v>42208.274311555804</v>
      </c>
      <c r="C3856">
        <f t="shared" ca="1" si="180"/>
        <v>0</v>
      </c>
      <c r="D3856">
        <f t="shared" ca="1" si="181"/>
        <v>2208.2743115558042</v>
      </c>
    </row>
    <row r="3857" spans="2:4" x14ac:dyDescent="0.25">
      <c r="B3857">
        <f t="shared" ca="1" si="182"/>
        <v>42383.633632047109</v>
      </c>
      <c r="C3857">
        <f t="shared" ca="1" si="180"/>
        <v>0</v>
      </c>
      <c r="D3857">
        <f t="shared" ca="1" si="181"/>
        <v>2383.6336320471091</v>
      </c>
    </row>
    <row r="3858" spans="2:4" x14ac:dyDescent="0.25">
      <c r="B3858">
        <f t="shared" ca="1" si="182"/>
        <v>42064.699368090587</v>
      </c>
      <c r="C3858">
        <f t="shared" ca="1" si="180"/>
        <v>0</v>
      </c>
      <c r="D3858">
        <f t="shared" ca="1" si="181"/>
        <v>2064.6993680905871</v>
      </c>
    </row>
    <row r="3859" spans="2:4" x14ac:dyDescent="0.25">
      <c r="B3859">
        <f t="shared" ca="1" si="182"/>
        <v>44677.86704457055</v>
      </c>
      <c r="C3859">
        <f t="shared" ca="1" si="180"/>
        <v>0</v>
      </c>
      <c r="D3859">
        <f t="shared" ca="1" si="181"/>
        <v>4677.8670445705502</v>
      </c>
    </row>
    <row r="3860" spans="2:4" x14ac:dyDescent="0.25">
      <c r="B3860">
        <f t="shared" ca="1" si="182"/>
        <v>42228.075682075541</v>
      </c>
      <c r="C3860">
        <f t="shared" ca="1" si="180"/>
        <v>0</v>
      </c>
      <c r="D3860">
        <f t="shared" ca="1" si="181"/>
        <v>2228.0756820755414</v>
      </c>
    </row>
    <row r="3861" spans="2:4" x14ac:dyDescent="0.25">
      <c r="B3861">
        <f t="shared" ca="1" si="182"/>
        <v>45394.424648188127</v>
      </c>
      <c r="C3861">
        <f t="shared" ca="1" si="180"/>
        <v>0</v>
      </c>
      <c r="D3861">
        <f t="shared" ca="1" si="181"/>
        <v>5394.4246481881273</v>
      </c>
    </row>
    <row r="3862" spans="2:4" x14ac:dyDescent="0.25">
      <c r="B3862">
        <f t="shared" ca="1" si="182"/>
        <v>50342.40266276832</v>
      </c>
      <c r="C3862">
        <f t="shared" ca="1" si="180"/>
        <v>0</v>
      </c>
      <c r="D3862">
        <f t="shared" ca="1" si="181"/>
        <v>10342.40266276832</v>
      </c>
    </row>
    <row r="3863" spans="2:4" x14ac:dyDescent="0.25">
      <c r="B3863">
        <f t="shared" ca="1" si="182"/>
        <v>37009.336750925308</v>
      </c>
      <c r="C3863">
        <f t="shared" ca="1" si="180"/>
        <v>2990.6632490746924</v>
      </c>
      <c r="D3863">
        <f t="shared" ca="1" si="181"/>
        <v>0</v>
      </c>
    </row>
    <row r="3864" spans="2:4" x14ac:dyDescent="0.25">
      <c r="B3864">
        <f t="shared" ca="1" si="182"/>
        <v>45939.23545581552</v>
      </c>
      <c r="C3864">
        <f t="shared" ca="1" si="180"/>
        <v>0</v>
      </c>
      <c r="D3864">
        <f t="shared" ca="1" si="181"/>
        <v>5939.2354558155203</v>
      </c>
    </row>
    <row r="3865" spans="2:4" x14ac:dyDescent="0.25">
      <c r="B3865">
        <f t="shared" ca="1" si="182"/>
        <v>48303.353982348497</v>
      </c>
      <c r="C3865">
        <f t="shared" ca="1" si="180"/>
        <v>0</v>
      </c>
      <c r="D3865">
        <f t="shared" ca="1" si="181"/>
        <v>8303.3539823484971</v>
      </c>
    </row>
    <row r="3866" spans="2:4" x14ac:dyDescent="0.25">
      <c r="B3866">
        <f t="shared" ca="1" si="182"/>
        <v>42480.068823438611</v>
      </c>
      <c r="C3866">
        <f t="shared" ca="1" si="180"/>
        <v>0</v>
      </c>
      <c r="D3866">
        <f t="shared" ca="1" si="181"/>
        <v>2480.0688234386107</v>
      </c>
    </row>
    <row r="3867" spans="2:4" x14ac:dyDescent="0.25">
      <c r="B3867">
        <f t="shared" ca="1" si="182"/>
        <v>47879.623515467109</v>
      </c>
      <c r="C3867">
        <f t="shared" ca="1" si="180"/>
        <v>0</v>
      </c>
      <c r="D3867">
        <f t="shared" ca="1" si="181"/>
        <v>7879.6235154671085</v>
      </c>
    </row>
    <row r="3868" spans="2:4" x14ac:dyDescent="0.25">
      <c r="B3868">
        <f t="shared" ca="1" si="182"/>
        <v>36218.786681551603</v>
      </c>
      <c r="C3868">
        <f t="shared" ca="1" si="180"/>
        <v>3781.2133184483973</v>
      </c>
      <c r="D3868">
        <f t="shared" ca="1" si="181"/>
        <v>0</v>
      </c>
    </row>
    <row r="3869" spans="2:4" x14ac:dyDescent="0.25">
      <c r="B3869">
        <f t="shared" ca="1" si="182"/>
        <v>48865.5435569041</v>
      </c>
      <c r="C3869">
        <f t="shared" ca="1" si="180"/>
        <v>0</v>
      </c>
      <c r="D3869">
        <f t="shared" ca="1" si="181"/>
        <v>8865.5435569041001</v>
      </c>
    </row>
    <row r="3870" spans="2:4" x14ac:dyDescent="0.25">
      <c r="B3870">
        <f t="shared" ca="1" si="182"/>
        <v>47298.389567984334</v>
      </c>
      <c r="C3870">
        <f t="shared" ca="1" si="180"/>
        <v>0</v>
      </c>
      <c r="D3870">
        <f t="shared" ca="1" si="181"/>
        <v>7298.3895679843336</v>
      </c>
    </row>
    <row r="3871" spans="2:4" x14ac:dyDescent="0.25">
      <c r="B3871">
        <f t="shared" ca="1" si="182"/>
        <v>48127.031841424592</v>
      </c>
      <c r="C3871">
        <f t="shared" ca="1" si="180"/>
        <v>0</v>
      </c>
      <c r="D3871">
        <f t="shared" ca="1" si="181"/>
        <v>8127.0318414245921</v>
      </c>
    </row>
    <row r="3872" spans="2:4" x14ac:dyDescent="0.25">
      <c r="B3872">
        <f t="shared" ca="1" si="182"/>
        <v>47947.588199855287</v>
      </c>
      <c r="C3872">
        <f t="shared" ca="1" si="180"/>
        <v>0</v>
      </c>
      <c r="D3872">
        <f t="shared" ca="1" si="181"/>
        <v>7947.5881998552868</v>
      </c>
    </row>
    <row r="3873" spans="2:4" x14ac:dyDescent="0.25">
      <c r="B3873">
        <f t="shared" ca="1" si="182"/>
        <v>41598.615488928554</v>
      </c>
      <c r="C3873">
        <f t="shared" ca="1" si="180"/>
        <v>0</v>
      </c>
      <c r="D3873">
        <f t="shared" ca="1" si="181"/>
        <v>1598.6154889285535</v>
      </c>
    </row>
    <row r="3874" spans="2:4" x14ac:dyDescent="0.25">
      <c r="B3874">
        <f t="shared" ca="1" si="182"/>
        <v>41819.265227305921</v>
      </c>
      <c r="C3874">
        <f t="shared" ca="1" si="180"/>
        <v>0</v>
      </c>
      <c r="D3874">
        <f t="shared" ca="1" si="181"/>
        <v>1819.2652273059211</v>
      </c>
    </row>
    <row r="3875" spans="2:4" x14ac:dyDescent="0.25">
      <c r="B3875">
        <f t="shared" ca="1" si="182"/>
        <v>50475.030665353559</v>
      </c>
      <c r="C3875">
        <f t="shared" ca="1" si="180"/>
        <v>0</v>
      </c>
      <c r="D3875">
        <f t="shared" ca="1" si="181"/>
        <v>10475.030665353559</v>
      </c>
    </row>
    <row r="3876" spans="2:4" x14ac:dyDescent="0.25">
      <c r="B3876">
        <f t="shared" ca="1" si="182"/>
        <v>39572.233685016443</v>
      </c>
      <c r="C3876">
        <f t="shared" ca="1" si="180"/>
        <v>427.76631498355709</v>
      </c>
      <c r="D3876">
        <f t="shared" ca="1" si="181"/>
        <v>0</v>
      </c>
    </row>
    <row r="3877" spans="2:4" x14ac:dyDescent="0.25">
      <c r="B3877">
        <f t="shared" ca="1" si="182"/>
        <v>46754.498838029271</v>
      </c>
      <c r="C3877">
        <f t="shared" ca="1" si="180"/>
        <v>0</v>
      </c>
      <c r="D3877">
        <f t="shared" ca="1" si="181"/>
        <v>6754.4988380292707</v>
      </c>
    </row>
    <row r="3878" spans="2:4" x14ac:dyDescent="0.25">
      <c r="B3878">
        <f t="shared" ca="1" si="182"/>
        <v>47485.909592729287</v>
      </c>
      <c r="C3878">
        <f t="shared" ca="1" si="180"/>
        <v>0</v>
      </c>
      <c r="D3878">
        <f t="shared" ca="1" si="181"/>
        <v>7485.9095927292874</v>
      </c>
    </row>
    <row r="3879" spans="2:4" x14ac:dyDescent="0.25">
      <c r="B3879">
        <f t="shared" ca="1" si="182"/>
        <v>50398.649044095015</v>
      </c>
      <c r="C3879">
        <f t="shared" ca="1" si="180"/>
        <v>0</v>
      </c>
      <c r="D3879">
        <f t="shared" ca="1" si="181"/>
        <v>10398.649044095015</v>
      </c>
    </row>
    <row r="3880" spans="2:4" x14ac:dyDescent="0.25">
      <c r="B3880">
        <f t="shared" ca="1" si="182"/>
        <v>50443.583174403531</v>
      </c>
      <c r="C3880">
        <f t="shared" ca="1" si="180"/>
        <v>0</v>
      </c>
      <c r="D3880">
        <f t="shared" ca="1" si="181"/>
        <v>10443.583174403531</v>
      </c>
    </row>
    <row r="3881" spans="2:4" x14ac:dyDescent="0.25">
      <c r="B3881">
        <f t="shared" ca="1" si="182"/>
        <v>45864.547796199637</v>
      </c>
      <c r="C3881">
        <f t="shared" ca="1" si="180"/>
        <v>0</v>
      </c>
      <c r="D3881">
        <f t="shared" ca="1" si="181"/>
        <v>5864.5477961996367</v>
      </c>
    </row>
    <row r="3882" spans="2:4" x14ac:dyDescent="0.25">
      <c r="B3882">
        <f t="shared" ca="1" si="182"/>
        <v>40639.203035624712</v>
      </c>
      <c r="C3882">
        <f t="shared" ca="1" si="180"/>
        <v>0</v>
      </c>
      <c r="D3882">
        <f t="shared" ca="1" si="181"/>
        <v>639.20303562471236</v>
      </c>
    </row>
    <row r="3883" spans="2:4" x14ac:dyDescent="0.25">
      <c r="B3883">
        <f t="shared" ca="1" si="182"/>
        <v>45837.020233840733</v>
      </c>
      <c r="C3883">
        <f t="shared" ca="1" si="180"/>
        <v>0</v>
      </c>
      <c r="D3883">
        <f t="shared" ca="1" si="181"/>
        <v>5837.0202338407325</v>
      </c>
    </row>
    <row r="3884" spans="2:4" x14ac:dyDescent="0.25">
      <c r="B3884">
        <f t="shared" ca="1" si="182"/>
        <v>35088.908293720771</v>
      </c>
      <c r="C3884">
        <f t="shared" ca="1" si="180"/>
        <v>4911.0917062792287</v>
      </c>
      <c r="D3884">
        <f t="shared" ca="1" si="181"/>
        <v>0</v>
      </c>
    </row>
    <row r="3885" spans="2:4" x14ac:dyDescent="0.25">
      <c r="B3885">
        <f t="shared" ca="1" si="182"/>
        <v>50809.273194593807</v>
      </c>
      <c r="C3885">
        <f t="shared" ca="1" si="180"/>
        <v>0</v>
      </c>
      <c r="D3885">
        <f t="shared" ca="1" si="181"/>
        <v>10809.273194593807</v>
      </c>
    </row>
    <row r="3886" spans="2:4" x14ac:dyDescent="0.25">
      <c r="B3886">
        <f t="shared" ca="1" si="182"/>
        <v>45223.455195977789</v>
      </c>
      <c r="C3886">
        <f t="shared" ca="1" si="180"/>
        <v>0</v>
      </c>
      <c r="D3886">
        <f t="shared" ca="1" si="181"/>
        <v>5223.4551959777891</v>
      </c>
    </row>
    <row r="3887" spans="2:4" x14ac:dyDescent="0.25">
      <c r="B3887">
        <f t="shared" ca="1" si="182"/>
        <v>43362.662186044574</v>
      </c>
      <c r="C3887">
        <f t="shared" ca="1" si="180"/>
        <v>0</v>
      </c>
      <c r="D3887">
        <f t="shared" ca="1" si="181"/>
        <v>3362.6621860445739</v>
      </c>
    </row>
    <row r="3888" spans="2:4" x14ac:dyDescent="0.25">
      <c r="B3888">
        <f t="shared" ca="1" si="182"/>
        <v>40981.169453280185</v>
      </c>
      <c r="C3888">
        <f t="shared" ca="1" si="180"/>
        <v>0</v>
      </c>
      <c r="D3888">
        <f t="shared" ca="1" si="181"/>
        <v>981.16945328018483</v>
      </c>
    </row>
    <row r="3889" spans="2:4" x14ac:dyDescent="0.25">
      <c r="B3889">
        <f t="shared" ca="1" si="182"/>
        <v>44408.819147286988</v>
      </c>
      <c r="C3889">
        <f t="shared" ca="1" si="180"/>
        <v>0</v>
      </c>
      <c r="D3889">
        <f t="shared" ca="1" si="181"/>
        <v>4408.8191472869876</v>
      </c>
    </row>
    <row r="3890" spans="2:4" x14ac:dyDescent="0.25">
      <c r="B3890">
        <f t="shared" ca="1" si="182"/>
        <v>42212.225238633822</v>
      </c>
      <c r="C3890">
        <f t="shared" ca="1" si="180"/>
        <v>0</v>
      </c>
      <c r="D3890">
        <f t="shared" ca="1" si="181"/>
        <v>2212.2252386338223</v>
      </c>
    </row>
    <row r="3891" spans="2:4" x14ac:dyDescent="0.25">
      <c r="B3891">
        <f t="shared" ca="1" si="182"/>
        <v>41457.161188791222</v>
      </c>
      <c r="C3891">
        <f t="shared" ca="1" si="180"/>
        <v>0</v>
      </c>
      <c r="D3891">
        <f t="shared" ca="1" si="181"/>
        <v>1457.1611887912222</v>
      </c>
    </row>
    <row r="3892" spans="2:4" x14ac:dyDescent="0.25">
      <c r="B3892">
        <f t="shared" ca="1" si="182"/>
        <v>45534.365290189955</v>
      </c>
      <c r="C3892">
        <f t="shared" ca="1" si="180"/>
        <v>0</v>
      </c>
      <c r="D3892">
        <f t="shared" ca="1" si="181"/>
        <v>5534.365290189955</v>
      </c>
    </row>
    <row r="3893" spans="2:4" x14ac:dyDescent="0.25">
      <c r="B3893">
        <f t="shared" ca="1" si="182"/>
        <v>38328.375619183687</v>
      </c>
      <c r="C3893">
        <f t="shared" ca="1" si="180"/>
        <v>1671.6243808163126</v>
      </c>
      <c r="D3893">
        <f t="shared" ca="1" si="181"/>
        <v>0</v>
      </c>
    </row>
    <row r="3894" spans="2:4" x14ac:dyDescent="0.25">
      <c r="B3894">
        <f t="shared" ca="1" si="182"/>
        <v>42933.051362643833</v>
      </c>
      <c r="C3894">
        <f t="shared" ca="1" si="180"/>
        <v>0</v>
      </c>
      <c r="D3894">
        <f t="shared" ca="1" si="181"/>
        <v>2933.0513626438333</v>
      </c>
    </row>
    <row r="3895" spans="2:4" x14ac:dyDescent="0.25">
      <c r="B3895">
        <f t="shared" ca="1" si="182"/>
        <v>44665.808045947808</v>
      </c>
      <c r="C3895">
        <f t="shared" ca="1" si="180"/>
        <v>0</v>
      </c>
      <c r="D3895">
        <f t="shared" ca="1" si="181"/>
        <v>4665.8080459478078</v>
      </c>
    </row>
    <row r="3896" spans="2:4" x14ac:dyDescent="0.25">
      <c r="B3896">
        <f t="shared" ca="1" si="182"/>
        <v>55240.310097086789</v>
      </c>
      <c r="C3896">
        <f t="shared" ca="1" si="180"/>
        <v>0</v>
      </c>
      <c r="D3896">
        <f t="shared" ca="1" si="181"/>
        <v>15240.310097086789</v>
      </c>
    </row>
    <row r="3897" spans="2:4" x14ac:dyDescent="0.25">
      <c r="B3897">
        <f t="shared" ca="1" si="182"/>
        <v>40015.896570407567</v>
      </c>
      <c r="C3897">
        <f t="shared" ca="1" si="180"/>
        <v>0</v>
      </c>
      <c r="D3897">
        <f t="shared" ca="1" si="181"/>
        <v>15.896570407567197</v>
      </c>
    </row>
    <row r="3898" spans="2:4" x14ac:dyDescent="0.25">
      <c r="B3898">
        <f t="shared" ca="1" si="182"/>
        <v>58481.764363948183</v>
      </c>
      <c r="C3898">
        <f t="shared" ca="1" si="180"/>
        <v>0</v>
      </c>
      <c r="D3898">
        <f t="shared" ca="1" si="181"/>
        <v>18481.764363948183</v>
      </c>
    </row>
    <row r="3899" spans="2:4" x14ac:dyDescent="0.25">
      <c r="B3899">
        <f t="shared" ca="1" si="182"/>
        <v>47457.358590593445</v>
      </c>
      <c r="C3899">
        <f t="shared" ca="1" si="180"/>
        <v>0</v>
      </c>
      <c r="D3899">
        <f t="shared" ca="1" si="181"/>
        <v>7457.3585905934451</v>
      </c>
    </row>
    <row r="3900" spans="2:4" x14ac:dyDescent="0.25">
      <c r="B3900">
        <f t="shared" ca="1" si="182"/>
        <v>44876.850192500751</v>
      </c>
      <c r="C3900">
        <f t="shared" ca="1" si="180"/>
        <v>0</v>
      </c>
      <c r="D3900">
        <f t="shared" ca="1" si="181"/>
        <v>4876.8501925007513</v>
      </c>
    </row>
    <row r="3901" spans="2:4" x14ac:dyDescent="0.25">
      <c r="B3901">
        <f t="shared" ca="1" si="182"/>
        <v>41053.542694526535</v>
      </c>
      <c r="C3901">
        <f t="shared" ca="1" si="180"/>
        <v>0</v>
      </c>
      <c r="D3901">
        <f t="shared" ca="1" si="181"/>
        <v>1053.5426945265353</v>
      </c>
    </row>
    <row r="3902" spans="2:4" x14ac:dyDescent="0.25">
      <c r="B3902">
        <f t="shared" ca="1" si="182"/>
        <v>40955.618461671111</v>
      </c>
      <c r="C3902">
        <f t="shared" ca="1" si="180"/>
        <v>0</v>
      </c>
      <c r="D3902">
        <f t="shared" ca="1" si="181"/>
        <v>955.61846167111071</v>
      </c>
    </row>
    <row r="3903" spans="2:4" x14ac:dyDescent="0.25">
      <c r="B3903">
        <f t="shared" ca="1" si="182"/>
        <v>50729.784948209672</v>
      </c>
      <c r="C3903">
        <f t="shared" ca="1" si="180"/>
        <v>0</v>
      </c>
      <c r="D3903">
        <f t="shared" ca="1" si="181"/>
        <v>10729.784948209672</v>
      </c>
    </row>
    <row r="3904" spans="2:4" x14ac:dyDescent="0.25">
      <c r="B3904">
        <f t="shared" ca="1" si="182"/>
        <v>52275.166007428314</v>
      </c>
      <c r="C3904">
        <f t="shared" ca="1" si="180"/>
        <v>0</v>
      </c>
      <c r="D3904">
        <f t="shared" ca="1" si="181"/>
        <v>12275.166007428314</v>
      </c>
    </row>
    <row r="3905" spans="2:4" x14ac:dyDescent="0.25">
      <c r="B3905">
        <f t="shared" ca="1" si="182"/>
        <v>41117.063766881838</v>
      </c>
      <c r="C3905">
        <f t="shared" ca="1" si="180"/>
        <v>0</v>
      </c>
      <c r="D3905">
        <f t="shared" ca="1" si="181"/>
        <v>1117.0637668818381</v>
      </c>
    </row>
    <row r="3906" spans="2:4" x14ac:dyDescent="0.25">
      <c r="B3906">
        <f t="shared" ca="1" si="182"/>
        <v>39534.669721527527</v>
      </c>
      <c r="C3906">
        <f t="shared" ca="1" si="180"/>
        <v>465.33027847247286</v>
      </c>
      <c r="D3906">
        <f t="shared" ca="1" si="181"/>
        <v>0</v>
      </c>
    </row>
    <row r="3907" spans="2:4" x14ac:dyDescent="0.25">
      <c r="B3907">
        <f t="shared" ca="1" si="182"/>
        <v>41156.828186376282</v>
      </c>
      <c r="C3907">
        <f t="shared" ca="1" si="180"/>
        <v>0</v>
      </c>
      <c r="D3907">
        <f t="shared" ca="1" si="181"/>
        <v>1156.8281863762822</v>
      </c>
    </row>
    <row r="3908" spans="2:4" x14ac:dyDescent="0.25">
      <c r="B3908">
        <f t="shared" ca="1" si="182"/>
        <v>51764.961736524179</v>
      </c>
      <c r="C3908">
        <f t="shared" ca="1" si="180"/>
        <v>0</v>
      </c>
      <c r="D3908">
        <f t="shared" ca="1" si="181"/>
        <v>11764.961736524179</v>
      </c>
    </row>
    <row r="3909" spans="2:4" x14ac:dyDescent="0.25">
      <c r="B3909">
        <f t="shared" ca="1" si="182"/>
        <v>48514.486446283561</v>
      </c>
      <c r="C3909">
        <f t="shared" ca="1" si="180"/>
        <v>0</v>
      </c>
      <c r="D3909">
        <f t="shared" ca="1" si="181"/>
        <v>8514.4864462835612</v>
      </c>
    </row>
    <row r="3910" spans="2:4" x14ac:dyDescent="0.25">
      <c r="B3910">
        <f t="shared" ca="1" si="182"/>
        <v>48332.207356070168</v>
      </c>
      <c r="C3910">
        <f t="shared" ca="1" si="180"/>
        <v>0</v>
      </c>
      <c r="D3910">
        <f t="shared" ca="1" si="181"/>
        <v>8332.2073560701683</v>
      </c>
    </row>
    <row r="3911" spans="2:4" x14ac:dyDescent="0.25">
      <c r="B3911">
        <f t="shared" ca="1" si="182"/>
        <v>48738.839699266893</v>
      </c>
      <c r="C3911">
        <f t="shared" ca="1" si="180"/>
        <v>0</v>
      </c>
      <c r="D3911">
        <f t="shared" ca="1" si="181"/>
        <v>8738.8396992668931</v>
      </c>
    </row>
    <row r="3912" spans="2:4" x14ac:dyDescent="0.25">
      <c r="B3912">
        <f t="shared" ca="1" si="182"/>
        <v>43045.191281798521</v>
      </c>
      <c r="C3912">
        <f t="shared" ca="1" si="180"/>
        <v>0</v>
      </c>
      <c r="D3912">
        <f t="shared" ca="1" si="181"/>
        <v>3045.1912817985212</v>
      </c>
    </row>
    <row r="3913" spans="2:4" x14ac:dyDescent="0.25">
      <c r="B3913">
        <f t="shared" ca="1" si="182"/>
        <v>52577.751484856642</v>
      </c>
      <c r="C3913">
        <f t="shared" ca="1" si="180"/>
        <v>0</v>
      </c>
      <c r="D3913">
        <f t="shared" ca="1" si="181"/>
        <v>12577.751484856642</v>
      </c>
    </row>
    <row r="3914" spans="2:4" x14ac:dyDescent="0.25">
      <c r="B3914">
        <f t="shared" ca="1" si="182"/>
        <v>43171.415669300281</v>
      </c>
      <c r="C3914">
        <f t="shared" ca="1" si="180"/>
        <v>0</v>
      </c>
      <c r="D3914">
        <f t="shared" ca="1" si="181"/>
        <v>3171.4156693002806</v>
      </c>
    </row>
    <row r="3915" spans="2:4" x14ac:dyDescent="0.25">
      <c r="B3915">
        <f t="shared" ca="1" si="182"/>
        <v>48462.796120728039</v>
      </c>
      <c r="C3915">
        <f t="shared" ca="1" si="180"/>
        <v>0</v>
      </c>
      <c r="D3915">
        <f t="shared" ca="1" si="181"/>
        <v>8462.7961207280387</v>
      </c>
    </row>
    <row r="3916" spans="2:4" x14ac:dyDescent="0.25">
      <c r="B3916">
        <f t="shared" ca="1" si="182"/>
        <v>42249.63904461902</v>
      </c>
      <c r="C3916">
        <f t="shared" ref="C3916:C3979" ca="1" si="183">IF(MAX($B$2-B3916)&lt;0,0,$B$2-B3916)</f>
        <v>0</v>
      </c>
      <c r="D3916">
        <f t="shared" ref="D3916:D3979" ca="1" si="184">IF(MAX(B3916-$B$2)&lt;0,0,B3916-$B$2)</f>
        <v>2249.6390446190198</v>
      </c>
    </row>
    <row r="3917" spans="2:4" x14ac:dyDescent="0.25">
      <c r="B3917">
        <f t="shared" ref="B3917:B3980" ca="1" si="185">$B$1*EXP((($B$4-($B$3^2)/2)*$B$5+$B$3*SQRT($B$5)*NORMSINV(RAND())))</f>
        <v>39377.912724641363</v>
      </c>
      <c r="C3917">
        <f t="shared" ca="1" si="183"/>
        <v>622.08727535863727</v>
      </c>
      <c r="D3917">
        <f t="shared" ca="1" si="184"/>
        <v>0</v>
      </c>
    </row>
    <row r="3918" spans="2:4" x14ac:dyDescent="0.25">
      <c r="B3918">
        <f t="shared" ca="1" si="185"/>
        <v>52361.650830938663</v>
      </c>
      <c r="C3918">
        <f t="shared" ca="1" si="183"/>
        <v>0</v>
      </c>
      <c r="D3918">
        <f t="shared" ca="1" si="184"/>
        <v>12361.650830938663</v>
      </c>
    </row>
    <row r="3919" spans="2:4" x14ac:dyDescent="0.25">
      <c r="B3919">
        <f t="shared" ca="1" si="185"/>
        <v>44590.480516106567</v>
      </c>
      <c r="C3919">
        <f t="shared" ca="1" si="183"/>
        <v>0</v>
      </c>
      <c r="D3919">
        <f t="shared" ca="1" si="184"/>
        <v>4590.4805161065669</v>
      </c>
    </row>
    <row r="3920" spans="2:4" x14ac:dyDescent="0.25">
      <c r="B3920">
        <f t="shared" ca="1" si="185"/>
        <v>45496.777127396679</v>
      </c>
      <c r="C3920">
        <f t="shared" ca="1" si="183"/>
        <v>0</v>
      </c>
      <c r="D3920">
        <f t="shared" ca="1" si="184"/>
        <v>5496.7771273966791</v>
      </c>
    </row>
    <row r="3921" spans="2:4" x14ac:dyDescent="0.25">
      <c r="B3921">
        <f t="shared" ca="1" si="185"/>
        <v>50130.427905842014</v>
      </c>
      <c r="C3921">
        <f t="shared" ca="1" si="183"/>
        <v>0</v>
      </c>
      <c r="D3921">
        <f t="shared" ca="1" si="184"/>
        <v>10130.427905842014</v>
      </c>
    </row>
    <row r="3922" spans="2:4" x14ac:dyDescent="0.25">
      <c r="B3922">
        <f t="shared" ca="1" si="185"/>
        <v>44394.087367923057</v>
      </c>
      <c r="C3922">
        <f t="shared" ca="1" si="183"/>
        <v>0</v>
      </c>
      <c r="D3922">
        <f t="shared" ca="1" si="184"/>
        <v>4394.0873679230572</v>
      </c>
    </row>
    <row r="3923" spans="2:4" x14ac:dyDescent="0.25">
      <c r="B3923">
        <f t="shared" ca="1" si="185"/>
        <v>40769.013949117565</v>
      </c>
      <c r="C3923">
        <f t="shared" ca="1" si="183"/>
        <v>0</v>
      </c>
      <c r="D3923">
        <f t="shared" ca="1" si="184"/>
        <v>769.01394911756506</v>
      </c>
    </row>
    <row r="3924" spans="2:4" x14ac:dyDescent="0.25">
      <c r="B3924">
        <f t="shared" ca="1" si="185"/>
        <v>43722.877977639087</v>
      </c>
      <c r="C3924">
        <f t="shared" ca="1" si="183"/>
        <v>0</v>
      </c>
      <c r="D3924">
        <f t="shared" ca="1" si="184"/>
        <v>3722.8779776390875</v>
      </c>
    </row>
    <row r="3925" spans="2:4" x14ac:dyDescent="0.25">
      <c r="B3925">
        <f t="shared" ca="1" si="185"/>
        <v>48721.926379877172</v>
      </c>
      <c r="C3925">
        <f t="shared" ca="1" si="183"/>
        <v>0</v>
      </c>
      <c r="D3925">
        <f t="shared" ca="1" si="184"/>
        <v>8721.9263798771717</v>
      </c>
    </row>
    <row r="3926" spans="2:4" x14ac:dyDescent="0.25">
      <c r="B3926">
        <f t="shared" ca="1" si="185"/>
        <v>43552.258101060324</v>
      </c>
      <c r="C3926">
        <f t="shared" ca="1" si="183"/>
        <v>0</v>
      </c>
      <c r="D3926">
        <f t="shared" ca="1" si="184"/>
        <v>3552.2581010603244</v>
      </c>
    </row>
    <row r="3927" spans="2:4" x14ac:dyDescent="0.25">
      <c r="B3927">
        <f t="shared" ca="1" si="185"/>
        <v>41946.997513871735</v>
      </c>
      <c r="C3927">
        <f t="shared" ca="1" si="183"/>
        <v>0</v>
      </c>
      <c r="D3927">
        <f t="shared" ca="1" si="184"/>
        <v>1946.9975138717346</v>
      </c>
    </row>
    <row r="3928" spans="2:4" x14ac:dyDescent="0.25">
      <c r="B3928">
        <f t="shared" ca="1" si="185"/>
        <v>49612.781733153504</v>
      </c>
      <c r="C3928">
        <f t="shared" ca="1" si="183"/>
        <v>0</v>
      </c>
      <c r="D3928">
        <f t="shared" ca="1" si="184"/>
        <v>9612.7817331535043</v>
      </c>
    </row>
    <row r="3929" spans="2:4" x14ac:dyDescent="0.25">
      <c r="B3929">
        <f t="shared" ca="1" si="185"/>
        <v>45739.635095969854</v>
      </c>
      <c r="C3929">
        <f t="shared" ca="1" si="183"/>
        <v>0</v>
      </c>
      <c r="D3929">
        <f t="shared" ca="1" si="184"/>
        <v>5739.6350959698539</v>
      </c>
    </row>
    <row r="3930" spans="2:4" x14ac:dyDescent="0.25">
      <c r="B3930">
        <f t="shared" ca="1" si="185"/>
        <v>44208.539223987878</v>
      </c>
      <c r="C3930">
        <f t="shared" ca="1" si="183"/>
        <v>0</v>
      </c>
      <c r="D3930">
        <f t="shared" ca="1" si="184"/>
        <v>4208.5392239878784</v>
      </c>
    </row>
    <row r="3931" spans="2:4" x14ac:dyDescent="0.25">
      <c r="B3931">
        <f t="shared" ca="1" si="185"/>
        <v>42468.897796935082</v>
      </c>
      <c r="C3931">
        <f t="shared" ca="1" si="183"/>
        <v>0</v>
      </c>
      <c r="D3931">
        <f t="shared" ca="1" si="184"/>
        <v>2468.8977969350817</v>
      </c>
    </row>
    <row r="3932" spans="2:4" x14ac:dyDescent="0.25">
      <c r="B3932">
        <f t="shared" ca="1" si="185"/>
        <v>47425.640502107475</v>
      </c>
      <c r="C3932">
        <f t="shared" ca="1" si="183"/>
        <v>0</v>
      </c>
      <c r="D3932">
        <f t="shared" ca="1" si="184"/>
        <v>7425.6405021074752</v>
      </c>
    </row>
    <row r="3933" spans="2:4" x14ac:dyDescent="0.25">
      <c r="B3933">
        <f t="shared" ca="1" si="185"/>
        <v>45424.499784921034</v>
      </c>
      <c r="C3933">
        <f t="shared" ca="1" si="183"/>
        <v>0</v>
      </c>
      <c r="D3933">
        <f t="shared" ca="1" si="184"/>
        <v>5424.499784921034</v>
      </c>
    </row>
    <row r="3934" spans="2:4" x14ac:dyDescent="0.25">
      <c r="B3934">
        <f t="shared" ca="1" si="185"/>
        <v>39628.497248027903</v>
      </c>
      <c r="C3934">
        <f t="shared" ca="1" si="183"/>
        <v>371.50275197209703</v>
      </c>
      <c r="D3934">
        <f t="shared" ca="1" si="184"/>
        <v>0</v>
      </c>
    </row>
    <row r="3935" spans="2:4" x14ac:dyDescent="0.25">
      <c r="B3935">
        <f t="shared" ca="1" si="185"/>
        <v>42581.600124116907</v>
      </c>
      <c r="C3935">
        <f t="shared" ca="1" si="183"/>
        <v>0</v>
      </c>
      <c r="D3935">
        <f t="shared" ca="1" si="184"/>
        <v>2581.600124116907</v>
      </c>
    </row>
    <row r="3936" spans="2:4" x14ac:dyDescent="0.25">
      <c r="B3936">
        <f t="shared" ca="1" si="185"/>
        <v>36249.316227887968</v>
      </c>
      <c r="C3936">
        <f t="shared" ca="1" si="183"/>
        <v>3750.6837721120319</v>
      </c>
      <c r="D3936">
        <f t="shared" ca="1" si="184"/>
        <v>0</v>
      </c>
    </row>
    <row r="3937" spans="2:4" x14ac:dyDescent="0.25">
      <c r="B3937">
        <f t="shared" ca="1" si="185"/>
        <v>38556.349157906523</v>
      </c>
      <c r="C3937">
        <f t="shared" ca="1" si="183"/>
        <v>1443.650842093477</v>
      </c>
      <c r="D3937">
        <f t="shared" ca="1" si="184"/>
        <v>0</v>
      </c>
    </row>
    <row r="3938" spans="2:4" x14ac:dyDescent="0.25">
      <c r="B3938">
        <f t="shared" ca="1" si="185"/>
        <v>53365.46087541656</v>
      </c>
      <c r="C3938">
        <f t="shared" ca="1" si="183"/>
        <v>0</v>
      </c>
      <c r="D3938">
        <f t="shared" ca="1" si="184"/>
        <v>13365.46087541656</v>
      </c>
    </row>
    <row r="3939" spans="2:4" x14ac:dyDescent="0.25">
      <c r="B3939">
        <f t="shared" ca="1" si="185"/>
        <v>42451.566748786296</v>
      </c>
      <c r="C3939">
        <f t="shared" ca="1" si="183"/>
        <v>0</v>
      </c>
      <c r="D3939">
        <f t="shared" ca="1" si="184"/>
        <v>2451.5667487862956</v>
      </c>
    </row>
    <row r="3940" spans="2:4" x14ac:dyDescent="0.25">
      <c r="B3940">
        <f t="shared" ca="1" si="185"/>
        <v>53527.836402426845</v>
      </c>
      <c r="C3940">
        <f t="shared" ca="1" si="183"/>
        <v>0</v>
      </c>
      <c r="D3940">
        <f t="shared" ca="1" si="184"/>
        <v>13527.836402426845</v>
      </c>
    </row>
    <row r="3941" spans="2:4" x14ac:dyDescent="0.25">
      <c r="B3941">
        <f t="shared" ca="1" si="185"/>
        <v>48870.57685293891</v>
      </c>
      <c r="C3941">
        <f t="shared" ca="1" si="183"/>
        <v>0</v>
      </c>
      <c r="D3941">
        <f t="shared" ca="1" si="184"/>
        <v>8870.5768529389097</v>
      </c>
    </row>
    <row r="3942" spans="2:4" x14ac:dyDescent="0.25">
      <c r="B3942">
        <f t="shared" ca="1" si="185"/>
        <v>45997.894640178914</v>
      </c>
      <c r="C3942">
        <f t="shared" ca="1" si="183"/>
        <v>0</v>
      </c>
      <c r="D3942">
        <f t="shared" ca="1" si="184"/>
        <v>5997.8946401789144</v>
      </c>
    </row>
    <row r="3943" spans="2:4" x14ac:dyDescent="0.25">
      <c r="B3943">
        <f t="shared" ca="1" si="185"/>
        <v>39302.37459370702</v>
      </c>
      <c r="C3943">
        <f t="shared" ca="1" si="183"/>
        <v>697.62540629298019</v>
      </c>
      <c r="D3943">
        <f t="shared" ca="1" si="184"/>
        <v>0</v>
      </c>
    </row>
    <row r="3944" spans="2:4" x14ac:dyDescent="0.25">
      <c r="B3944">
        <f t="shared" ca="1" si="185"/>
        <v>45574.444484982327</v>
      </c>
      <c r="C3944">
        <f t="shared" ca="1" si="183"/>
        <v>0</v>
      </c>
      <c r="D3944">
        <f t="shared" ca="1" si="184"/>
        <v>5574.4444849823267</v>
      </c>
    </row>
    <row r="3945" spans="2:4" x14ac:dyDescent="0.25">
      <c r="B3945">
        <f t="shared" ca="1" si="185"/>
        <v>44782.524110182225</v>
      </c>
      <c r="C3945">
        <f t="shared" ca="1" si="183"/>
        <v>0</v>
      </c>
      <c r="D3945">
        <f t="shared" ca="1" si="184"/>
        <v>4782.5241101822248</v>
      </c>
    </row>
    <row r="3946" spans="2:4" x14ac:dyDescent="0.25">
      <c r="B3946">
        <f t="shared" ca="1" si="185"/>
        <v>48631.259073822985</v>
      </c>
      <c r="C3946">
        <f t="shared" ca="1" si="183"/>
        <v>0</v>
      </c>
      <c r="D3946">
        <f t="shared" ca="1" si="184"/>
        <v>8631.2590738229846</v>
      </c>
    </row>
    <row r="3947" spans="2:4" x14ac:dyDescent="0.25">
      <c r="B3947">
        <f t="shared" ca="1" si="185"/>
        <v>46162.916334994508</v>
      </c>
      <c r="C3947">
        <f t="shared" ca="1" si="183"/>
        <v>0</v>
      </c>
      <c r="D3947">
        <f t="shared" ca="1" si="184"/>
        <v>6162.9163349945084</v>
      </c>
    </row>
    <row r="3948" spans="2:4" x14ac:dyDescent="0.25">
      <c r="B3948">
        <f t="shared" ca="1" si="185"/>
        <v>46834.771579203829</v>
      </c>
      <c r="C3948">
        <f t="shared" ca="1" si="183"/>
        <v>0</v>
      </c>
      <c r="D3948">
        <f t="shared" ca="1" si="184"/>
        <v>6834.7715792038289</v>
      </c>
    </row>
    <row r="3949" spans="2:4" x14ac:dyDescent="0.25">
      <c r="B3949">
        <f t="shared" ca="1" si="185"/>
        <v>44667.319724095396</v>
      </c>
      <c r="C3949">
        <f t="shared" ca="1" si="183"/>
        <v>0</v>
      </c>
      <c r="D3949">
        <f t="shared" ca="1" si="184"/>
        <v>4667.3197240953959</v>
      </c>
    </row>
    <row r="3950" spans="2:4" x14ac:dyDescent="0.25">
      <c r="B3950">
        <f t="shared" ca="1" si="185"/>
        <v>40256.716201329924</v>
      </c>
      <c r="C3950">
        <f t="shared" ca="1" si="183"/>
        <v>0</v>
      </c>
      <c r="D3950">
        <f t="shared" ca="1" si="184"/>
        <v>256.71620132992393</v>
      </c>
    </row>
    <row r="3951" spans="2:4" x14ac:dyDescent="0.25">
      <c r="B3951">
        <f t="shared" ca="1" si="185"/>
        <v>41432.808430994126</v>
      </c>
      <c r="C3951">
        <f t="shared" ca="1" si="183"/>
        <v>0</v>
      </c>
      <c r="D3951">
        <f t="shared" ca="1" si="184"/>
        <v>1432.808430994126</v>
      </c>
    </row>
    <row r="3952" spans="2:4" x14ac:dyDescent="0.25">
      <c r="B3952">
        <f t="shared" ca="1" si="185"/>
        <v>44686.623324390843</v>
      </c>
      <c r="C3952">
        <f t="shared" ca="1" si="183"/>
        <v>0</v>
      </c>
      <c r="D3952">
        <f t="shared" ca="1" si="184"/>
        <v>4686.6233243908428</v>
      </c>
    </row>
    <row r="3953" spans="2:4" x14ac:dyDescent="0.25">
      <c r="B3953">
        <f t="shared" ca="1" si="185"/>
        <v>44261.706121899333</v>
      </c>
      <c r="C3953">
        <f t="shared" ca="1" si="183"/>
        <v>0</v>
      </c>
      <c r="D3953">
        <f t="shared" ca="1" si="184"/>
        <v>4261.7061218993331</v>
      </c>
    </row>
    <row r="3954" spans="2:4" x14ac:dyDescent="0.25">
      <c r="B3954">
        <f t="shared" ca="1" si="185"/>
        <v>43210.133266791185</v>
      </c>
      <c r="C3954">
        <f t="shared" ca="1" si="183"/>
        <v>0</v>
      </c>
      <c r="D3954">
        <f t="shared" ca="1" si="184"/>
        <v>3210.1332667911847</v>
      </c>
    </row>
    <row r="3955" spans="2:4" x14ac:dyDescent="0.25">
      <c r="B3955">
        <f t="shared" ca="1" si="185"/>
        <v>46565.622922704715</v>
      </c>
      <c r="C3955">
        <f t="shared" ca="1" si="183"/>
        <v>0</v>
      </c>
      <c r="D3955">
        <f t="shared" ca="1" si="184"/>
        <v>6565.6229227047152</v>
      </c>
    </row>
    <row r="3956" spans="2:4" x14ac:dyDescent="0.25">
      <c r="B3956">
        <f t="shared" ca="1" si="185"/>
        <v>43377.499550877044</v>
      </c>
      <c r="C3956">
        <f t="shared" ca="1" si="183"/>
        <v>0</v>
      </c>
      <c r="D3956">
        <f t="shared" ca="1" si="184"/>
        <v>3377.4995508770444</v>
      </c>
    </row>
    <row r="3957" spans="2:4" x14ac:dyDescent="0.25">
      <c r="B3957">
        <f t="shared" ca="1" si="185"/>
        <v>53263.483217517234</v>
      </c>
      <c r="C3957">
        <f t="shared" ca="1" si="183"/>
        <v>0</v>
      </c>
      <c r="D3957">
        <f t="shared" ca="1" si="184"/>
        <v>13263.483217517234</v>
      </c>
    </row>
    <row r="3958" spans="2:4" x14ac:dyDescent="0.25">
      <c r="B3958">
        <f t="shared" ca="1" si="185"/>
        <v>49047.685408792619</v>
      </c>
      <c r="C3958">
        <f t="shared" ca="1" si="183"/>
        <v>0</v>
      </c>
      <c r="D3958">
        <f t="shared" ca="1" si="184"/>
        <v>9047.6854087926185</v>
      </c>
    </row>
    <row r="3959" spans="2:4" x14ac:dyDescent="0.25">
      <c r="B3959">
        <f t="shared" ca="1" si="185"/>
        <v>44436.049638410805</v>
      </c>
      <c r="C3959">
        <f t="shared" ca="1" si="183"/>
        <v>0</v>
      </c>
      <c r="D3959">
        <f t="shared" ca="1" si="184"/>
        <v>4436.0496384108046</v>
      </c>
    </row>
    <row r="3960" spans="2:4" x14ac:dyDescent="0.25">
      <c r="B3960">
        <f t="shared" ca="1" si="185"/>
        <v>51214.969896339077</v>
      </c>
      <c r="C3960">
        <f t="shared" ca="1" si="183"/>
        <v>0</v>
      </c>
      <c r="D3960">
        <f t="shared" ca="1" si="184"/>
        <v>11214.969896339077</v>
      </c>
    </row>
    <row r="3961" spans="2:4" x14ac:dyDescent="0.25">
      <c r="B3961">
        <f t="shared" ca="1" si="185"/>
        <v>41555.367403223681</v>
      </c>
      <c r="C3961">
        <f t="shared" ca="1" si="183"/>
        <v>0</v>
      </c>
      <c r="D3961">
        <f t="shared" ca="1" si="184"/>
        <v>1555.3674032236813</v>
      </c>
    </row>
    <row r="3962" spans="2:4" x14ac:dyDescent="0.25">
      <c r="B3962">
        <f t="shared" ca="1" si="185"/>
        <v>43157.969262048762</v>
      </c>
      <c r="C3962">
        <f t="shared" ca="1" si="183"/>
        <v>0</v>
      </c>
      <c r="D3962">
        <f t="shared" ca="1" si="184"/>
        <v>3157.9692620487622</v>
      </c>
    </row>
    <row r="3963" spans="2:4" x14ac:dyDescent="0.25">
      <c r="B3963">
        <f t="shared" ca="1" si="185"/>
        <v>54707.839727426297</v>
      </c>
      <c r="C3963">
        <f t="shared" ca="1" si="183"/>
        <v>0</v>
      </c>
      <c r="D3963">
        <f t="shared" ca="1" si="184"/>
        <v>14707.839727426297</v>
      </c>
    </row>
    <row r="3964" spans="2:4" x14ac:dyDescent="0.25">
      <c r="B3964">
        <f t="shared" ca="1" si="185"/>
        <v>47549.912230203307</v>
      </c>
      <c r="C3964">
        <f t="shared" ca="1" si="183"/>
        <v>0</v>
      </c>
      <c r="D3964">
        <f t="shared" ca="1" si="184"/>
        <v>7549.9122302033065</v>
      </c>
    </row>
    <row r="3965" spans="2:4" x14ac:dyDescent="0.25">
      <c r="B3965">
        <f t="shared" ca="1" si="185"/>
        <v>44851.400363118766</v>
      </c>
      <c r="C3965">
        <f t="shared" ca="1" si="183"/>
        <v>0</v>
      </c>
      <c r="D3965">
        <f t="shared" ca="1" si="184"/>
        <v>4851.4003631187661</v>
      </c>
    </row>
    <row r="3966" spans="2:4" x14ac:dyDescent="0.25">
      <c r="B3966">
        <f t="shared" ca="1" si="185"/>
        <v>55839.910399094282</v>
      </c>
      <c r="C3966">
        <f t="shared" ca="1" si="183"/>
        <v>0</v>
      </c>
      <c r="D3966">
        <f t="shared" ca="1" si="184"/>
        <v>15839.910399094282</v>
      </c>
    </row>
    <row r="3967" spans="2:4" x14ac:dyDescent="0.25">
      <c r="B3967">
        <f t="shared" ca="1" si="185"/>
        <v>42630.152674120523</v>
      </c>
      <c r="C3967">
        <f t="shared" ca="1" si="183"/>
        <v>0</v>
      </c>
      <c r="D3967">
        <f t="shared" ca="1" si="184"/>
        <v>2630.1526741205234</v>
      </c>
    </row>
    <row r="3968" spans="2:4" x14ac:dyDescent="0.25">
      <c r="B3968">
        <f t="shared" ca="1" si="185"/>
        <v>35185.603401000175</v>
      </c>
      <c r="C3968">
        <f t="shared" ca="1" si="183"/>
        <v>4814.3965989998251</v>
      </c>
      <c r="D3968">
        <f t="shared" ca="1" si="184"/>
        <v>0</v>
      </c>
    </row>
    <row r="3969" spans="2:4" x14ac:dyDescent="0.25">
      <c r="B3969">
        <f t="shared" ca="1" si="185"/>
        <v>49857.763405788552</v>
      </c>
      <c r="C3969">
        <f t="shared" ca="1" si="183"/>
        <v>0</v>
      </c>
      <c r="D3969">
        <f t="shared" ca="1" si="184"/>
        <v>9857.7634057885516</v>
      </c>
    </row>
    <row r="3970" spans="2:4" x14ac:dyDescent="0.25">
      <c r="B3970">
        <f t="shared" ca="1" si="185"/>
        <v>42402.492236633487</v>
      </c>
      <c r="C3970">
        <f t="shared" ca="1" si="183"/>
        <v>0</v>
      </c>
      <c r="D3970">
        <f t="shared" ca="1" si="184"/>
        <v>2402.4922366334868</v>
      </c>
    </row>
    <row r="3971" spans="2:4" x14ac:dyDescent="0.25">
      <c r="B3971">
        <f t="shared" ca="1" si="185"/>
        <v>54579.736841450387</v>
      </c>
      <c r="C3971">
        <f t="shared" ca="1" si="183"/>
        <v>0</v>
      </c>
      <c r="D3971">
        <f t="shared" ca="1" si="184"/>
        <v>14579.736841450387</v>
      </c>
    </row>
    <row r="3972" spans="2:4" x14ac:dyDescent="0.25">
      <c r="B3972">
        <f t="shared" ca="1" si="185"/>
        <v>41205.396962377767</v>
      </c>
      <c r="C3972">
        <f t="shared" ca="1" si="183"/>
        <v>0</v>
      </c>
      <c r="D3972">
        <f t="shared" ca="1" si="184"/>
        <v>1205.3969623777666</v>
      </c>
    </row>
    <row r="3973" spans="2:4" x14ac:dyDescent="0.25">
      <c r="B3973">
        <f t="shared" ca="1" si="185"/>
        <v>40031.168279706006</v>
      </c>
      <c r="C3973">
        <f t="shared" ca="1" si="183"/>
        <v>0</v>
      </c>
      <c r="D3973">
        <f t="shared" ca="1" si="184"/>
        <v>31.168279706005706</v>
      </c>
    </row>
    <row r="3974" spans="2:4" x14ac:dyDescent="0.25">
      <c r="B3974">
        <f t="shared" ca="1" si="185"/>
        <v>40886.322284139016</v>
      </c>
      <c r="C3974">
        <f t="shared" ca="1" si="183"/>
        <v>0</v>
      </c>
      <c r="D3974">
        <f t="shared" ca="1" si="184"/>
        <v>886.32228413901612</v>
      </c>
    </row>
    <row r="3975" spans="2:4" x14ac:dyDescent="0.25">
      <c r="B3975">
        <f t="shared" ca="1" si="185"/>
        <v>57466.197634784796</v>
      </c>
      <c r="C3975">
        <f t="shared" ca="1" si="183"/>
        <v>0</v>
      </c>
      <c r="D3975">
        <f t="shared" ca="1" si="184"/>
        <v>17466.197634784796</v>
      </c>
    </row>
    <row r="3976" spans="2:4" x14ac:dyDescent="0.25">
      <c r="B3976">
        <f t="shared" ca="1" si="185"/>
        <v>44490.107859941956</v>
      </c>
      <c r="C3976">
        <f t="shared" ca="1" si="183"/>
        <v>0</v>
      </c>
      <c r="D3976">
        <f t="shared" ca="1" si="184"/>
        <v>4490.1078599419561</v>
      </c>
    </row>
    <row r="3977" spans="2:4" x14ac:dyDescent="0.25">
      <c r="B3977">
        <f t="shared" ca="1" si="185"/>
        <v>45360.959000415001</v>
      </c>
      <c r="C3977">
        <f t="shared" ca="1" si="183"/>
        <v>0</v>
      </c>
      <c r="D3977">
        <f t="shared" ca="1" si="184"/>
        <v>5360.9590004150014</v>
      </c>
    </row>
    <row r="3978" spans="2:4" x14ac:dyDescent="0.25">
      <c r="B3978">
        <f t="shared" ca="1" si="185"/>
        <v>52930.633768885928</v>
      </c>
      <c r="C3978">
        <f t="shared" ca="1" si="183"/>
        <v>0</v>
      </c>
      <c r="D3978">
        <f t="shared" ca="1" si="184"/>
        <v>12930.633768885928</v>
      </c>
    </row>
    <row r="3979" spans="2:4" x14ac:dyDescent="0.25">
      <c r="B3979">
        <f t="shared" ca="1" si="185"/>
        <v>41078.223797524486</v>
      </c>
      <c r="C3979">
        <f t="shared" ca="1" si="183"/>
        <v>0</v>
      </c>
      <c r="D3979">
        <f t="shared" ca="1" si="184"/>
        <v>1078.2237975244861</v>
      </c>
    </row>
    <row r="3980" spans="2:4" x14ac:dyDescent="0.25">
      <c r="B3980">
        <f t="shared" ca="1" si="185"/>
        <v>48807.76517951733</v>
      </c>
      <c r="C3980">
        <f t="shared" ref="C3980:C4043" ca="1" si="186">IF(MAX($B$2-B3980)&lt;0,0,$B$2-B3980)</f>
        <v>0</v>
      </c>
      <c r="D3980">
        <f t="shared" ref="D3980:D4043" ca="1" si="187">IF(MAX(B3980-$B$2)&lt;0,0,B3980-$B$2)</f>
        <v>8807.7651795173297</v>
      </c>
    </row>
    <row r="3981" spans="2:4" x14ac:dyDescent="0.25">
      <c r="B3981">
        <f t="shared" ref="B3981:B4044" ca="1" si="188">$B$1*EXP((($B$4-($B$3^2)/2)*$B$5+$B$3*SQRT($B$5)*NORMSINV(RAND())))</f>
        <v>48969.438526227153</v>
      </c>
      <c r="C3981">
        <f t="shared" ca="1" si="186"/>
        <v>0</v>
      </c>
      <c r="D3981">
        <f t="shared" ca="1" si="187"/>
        <v>8969.4385262271535</v>
      </c>
    </row>
    <row r="3982" spans="2:4" x14ac:dyDescent="0.25">
      <c r="B3982">
        <f t="shared" ca="1" si="188"/>
        <v>41797.523768087231</v>
      </c>
      <c r="C3982">
        <f t="shared" ca="1" si="186"/>
        <v>0</v>
      </c>
      <c r="D3982">
        <f t="shared" ca="1" si="187"/>
        <v>1797.5237680872306</v>
      </c>
    </row>
    <row r="3983" spans="2:4" x14ac:dyDescent="0.25">
      <c r="B3983">
        <f t="shared" ca="1" si="188"/>
        <v>50994.606120732897</v>
      </c>
      <c r="C3983">
        <f t="shared" ca="1" si="186"/>
        <v>0</v>
      </c>
      <c r="D3983">
        <f t="shared" ca="1" si="187"/>
        <v>10994.606120732897</v>
      </c>
    </row>
    <row r="3984" spans="2:4" x14ac:dyDescent="0.25">
      <c r="B3984">
        <f t="shared" ca="1" si="188"/>
        <v>40971.204359763775</v>
      </c>
      <c r="C3984">
        <f t="shared" ca="1" si="186"/>
        <v>0</v>
      </c>
      <c r="D3984">
        <f t="shared" ca="1" si="187"/>
        <v>971.20435976377485</v>
      </c>
    </row>
    <row r="3985" spans="2:4" x14ac:dyDescent="0.25">
      <c r="B3985">
        <f t="shared" ca="1" si="188"/>
        <v>45359.237900057633</v>
      </c>
      <c r="C3985">
        <f t="shared" ca="1" si="186"/>
        <v>0</v>
      </c>
      <c r="D3985">
        <f t="shared" ca="1" si="187"/>
        <v>5359.2379000576329</v>
      </c>
    </row>
    <row r="3986" spans="2:4" x14ac:dyDescent="0.25">
      <c r="B3986">
        <f t="shared" ca="1" si="188"/>
        <v>42173.877494891443</v>
      </c>
      <c r="C3986">
        <f t="shared" ca="1" si="186"/>
        <v>0</v>
      </c>
      <c r="D3986">
        <f t="shared" ca="1" si="187"/>
        <v>2173.8774948914433</v>
      </c>
    </row>
    <row r="3987" spans="2:4" x14ac:dyDescent="0.25">
      <c r="B3987">
        <f t="shared" ca="1" si="188"/>
        <v>49749.297225471702</v>
      </c>
      <c r="C3987">
        <f t="shared" ca="1" si="186"/>
        <v>0</v>
      </c>
      <c r="D3987">
        <f t="shared" ca="1" si="187"/>
        <v>9749.2972254717024</v>
      </c>
    </row>
    <row r="3988" spans="2:4" x14ac:dyDescent="0.25">
      <c r="B3988">
        <f t="shared" ca="1" si="188"/>
        <v>39986.897728997486</v>
      </c>
      <c r="C3988">
        <f t="shared" ca="1" si="186"/>
        <v>13.102271002513589</v>
      </c>
      <c r="D3988">
        <f t="shared" ca="1" si="187"/>
        <v>0</v>
      </c>
    </row>
    <row r="3989" spans="2:4" x14ac:dyDescent="0.25">
      <c r="B3989">
        <f t="shared" ca="1" si="188"/>
        <v>46239.278166006676</v>
      </c>
      <c r="C3989">
        <f t="shared" ca="1" si="186"/>
        <v>0</v>
      </c>
      <c r="D3989">
        <f t="shared" ca="1" si="187"/>
        <v>6239.2781660066757</v>
      </c>
    </row>
    <row r="3990" spans="2:4" x14ac:dyDescent="0.25">
      <c r="B3990">
        <f t="shared" ca="1" si="188"/>
        <v>42283.559658248436</v>
      </c>
      <c r="C3990">
        <f t="shared" ca="1" si="186"/>
        <v>0</v>
      </c>
      <c r="D3990">
        <f t="shared" ca="1" si="187"/>
        <v>2283.5596582484359</v>
      </c>
    </row>
    <row r="3991" spans="2:4" x14ac:dyDescent="0.25">
      <c r="B3991">
        <f t="shared" ca="1" si="188"/>
        <v>46863.700683015348</v>
      </c>
      <c r="C3991">
        <f t="shared" ca="1" si="186"/>
        <v>0</v>
      </c>
      <c r="D3991">
        <f t="shared" ca="1" si="187"/>
        <v>6863.7006830153477</v>
      </c>
    </row>
    <row r="3992" spans="2:4" x14ac:dyDescent="0.25">
      <c r="B3992">
        <f t="shared" ca="1" si="188"/>
        <v>43336.369333991337</v>
      </c>
      <c r="C3992">
        <f t="shared" ca="1" si="186"/>
        <v>0</v>
      </c>
      <c r="D3992">
        <f t="shared" ca="1" si="187"/>
        <v>3336.369333991337</v>
      </c>
    </row>
    <row r="3993" spans="2:4" x14ac:dyDescent="0.25">
      <c r="B3993">
        <f t="shared" ca="1" si="188"/>
        <v>44992.909206936434</v>
      </c>
      <c r="C3993">
        <f t="shared" ca="1" si="186"/>
        <v>0</v>
      </c>
      <c r="D3993">
        <f t="shared" ca="1" si="187"/>
        <v>4992.9092069364342</v>
      </c>
    </row>
    <row r="3994" spans="2:4" x14ac:dyDescent="0.25">
      <c r="B3994">
        <f t="shared" ca="1" si="188"/>
        <v>39379.003501795625</v>
      </c>
      <c r="C3994">
        <f t="shared" ca="1" si="186"/>
        <v>620.9964982043748</v>
      </c>
      <c r="D3994">
        <f t="shared" ca="1" si="187"/>
        <v>0</v>
      </c>
    </row>
    <row r="3995" spans="2:4" x14ac:dyDescent="0.25">
      <c r="B3995">
        <f t="shared" ca="1" si="188"/>
        <v>38384.559788326274</v>
      </c>
      <c r="C3995">
        <f t="shared" ca="1" si="186"/>
        <v>1615.4402116737256</v>
      </c>
      <c r="D3995">
        <f t="shared" ca="1" si="187"/>
        <v>0</v>
      </c>
    </row>
    <row r="3996" spans="2:4" x14ac:dyDescent="0.25">
      <c r="B3996">
        <f t="shared" ca="1" si="188"/>
        <v>42455.969860291283</v>
      </c>
      <c r="C3996">
        <f t="shared" ca="1" si="186"/>
        <v>0</v>
      </c>
      <c r="D3996">
        <f t="shared" ca="1" si="187"/>
        <v>2455.9698602912831</v>
      </c>
    </row>
    <row r="3997" spans="2:4" x14ac:dyDescent="0.25">
      <c r="B3997">
        <f t="shared" ca="1" si="188"/>
        <v>48286.17712459965</v>
      </c>
      <c r="C3997">
        <f t="shared" ca="1" si="186"/>
        <v>0</v>
      </c>
      <c r="D3997">
        <f t="shared" ca="1" si="187"/>
        <v>8286.1771245996497</v>
      </c>
    </row>
    <row r="3998" spans="2:4" x14ac:dyDescent="0.25">
      <c r="B3998">
        <f t="shared" ca="1" si="188"/>
        <v>50591.340136515886</v>
      </c>
      <c r="C3998">
        <f t="shared" ca="1" si="186"/>
        <v>0</v>
      </c>
      <c r="D3998">
        <f t="shared" ca="1" si="187"/>
        <v>10591.340136515886</v>
      </c>
    </row>
    <row r="3999" spans="2:4" x14ac:dyDescent="0.25">
      <c r="B3999">
        <f t="shared" ca="1" si="188"/>
        <v>47253.523093303898</v>
      </c>
      <c r="C3999">
        <f t="shared" ca="1" si="186"/>
        <v>0</v>
      </c>
      <c r="D3999">
        <f t="shared" ca="1" si="187"/>
        <v>7253.5230933038983</v>
      </c>
    </row>
    <row r="4000" spans="2:4" x14ac:dyDescent="0.25">
      <c r="B4000">
        <f t="shared" ca="1" si="188"/>
        <v>43593.791227429181</v>
      </c>
      <c r="C4000">
        <f t="shared" ca="1" si="186"/>
        <v>0</v>
      </c>
      <c r="D4000">
        <f t="shared" ca="1" si="187"/>
        <v>3593.7912274291812</v>
      </c>
    </row>
    <row r="4001" spans="2:4" x14ac:dyDescent="0.25">
      <c r="B4001">
        <f t="shared" ca="1" si="188"/>
        <v>50169.516891628096</v>
      </c>
      <c r="C4001">
        <f t="shared" ca="1" si="186"/>
        <v>0</v>
      </c>
      <c r="D4001">
        <f t="shared" ca="1" si="187"/>
        <v>10169.516891628096</v>
      </c>
    </row>
    <row r="4002" spans="2:4" x14ac:dyDescent="0.25">
      <c r="B4002">
        <f t="shared" ca="1" si="188"/>
        <v>42155.066101443415</v>
      </c>
      <c r="C4002">
        <f t="shared" ca="1" si="186"/>
        <v>0</v>
      </c>
      <c r="D4002">
        <f t="shared" ca="1" si="187"/>
        <v>2155.0661014434154</v>
      </c>
    </row>
    <row r="4003" spans="2:4" x14ac:dyDescent="0.25">
      <c r="B4003">
        <f t="shared" ca="1" si="188"/>
        <v>47520.233621785228</v>
      </c>
      <c r="C4003">
        <f t="shared" ca="1" si="186"/>
        <v>0</v>
      </c>
      <c r="D4003">
        <f t="shared" ca="1" si="187"/>
        <v>7520.233621785228</v>
      </c>
    </row>
    <row r="4004" spans="2:4" x14ac:dyDescent="0.25">
      <c r="B4004">
        <f t="shared" ca="1" si="188"/>
        <v>39979.973532221054</v>
      </c>
      <c r="C4004">
        <f t="shared" ca="1" si="186"/>
        <v>20.026467778945516</v>
      </c>
      <c r="D4004">
        <f t="shared" ca="1" si="187"/>
        <v>0</v>
      </c>
    </row>
    <row r="4005" spans="2:4" x14ac:dyDescent="0.25">
      <c r="B4005">
        <f t="shared" ca="1" si="188"/>
        <v>52074.446853894471</v>
      </c>
      <c r="C4005">
        <f t="shared" ca="1" si="186"/>
        <v>0</v>
      </c>
      <c r="D4005">
        <f t="shared" ca="1" si="187"/>
        <v>12074.446853894471</v>
      </c>
    </row>
    <row r="4006" spans="2:4" x14ac:dyDescent="0.25">
      <c r="B4006">
        <f t="shared" ca="1" si="188"/>
        <v>49703.077668924692</v>
      </c>
      <c r="C4006">
        <f t="shared" ca="1" si="186"/>
        <v>0</v>
      </c>
      <c r="D4006">
        <f t="shared" ca="1" si="187"/>
        <v>9703.0776689246923</v>
      </c>
    </row>
    <row r="4007" spans="2:4" x14ac:dyDescent="0.25">
      <c r="B4007">
        <f t="shared" ca="1" si="188"/>
        <v>51203.774659135517</v>
      </c>
      <c r="C4007">
        <f t="shared" ca="1" si="186"/>
        <v>0</v>
      </c>
      <c r="D4007">
        <f t="shared" ca="1" si="187"/>
        <v>11203.774659135517</v>
      </c>
    </row>
    <row r="4008" spans="2:4" x14ac:dyDescent="0.25">
      <c r="B4008">
        <f t="shared" ca="1" si="188"/>
        <v>44276.688802629578</v>
      </c>
      <c r="C4008">
        <f t="shared" ca="1" si="186"/>
        <v>0</v>
      </c>
      <c r="D4008">
        <f t="shared" ca="1" si="187"/>
        <v>4276.6888026295783</v>
      </c>
    </row>
    <row r="4009" spans="2:4" x14ac:dyDescent="0.25">
      <c r="B4009">
        <f t="shared" ca="1" si="188"/>
        <v>52375.552404500806</v>
      </c>
      <c r="C4009">
        <f t="shared" ca="1" si="186"/>
        <v>0</v>
      </c>
      <c r="D4009">
        <f t="shared" ca="1" si="187"/>
        <v>12375.552404500806</v>
      </c>
    </row>
    <row r="4010" spans="2:4" x14ac:dyDescent="0.25">
      <c r="B4010">
        <f t="shared" ca="1" si="188"/>
        <v>47967.493005016644</v>
      </c>
      <c r="C4010">
        <f t="shared" ca="1" si="186"/>
        <v>0</v>
      </c>
      <c r="D4010">
        <f t="shared" ca="1" si="187"/>
        <v>7967.493005016644</v>
      </c>
    </row>
    <row r="4011" spans="2:4" x14ac:dyDescent="0.25">
      <c r="B4011">
        <f t="shared" ca="1" si="188"/>
        <v>42116.06882805749</v>
      </c>
      <c r="C4011">
        <f t="shared" ca="1" si="186"/>
        <v>0</v>
      </c>
      <c r="D4011">
        <f t="shared" ca="1" si="187"/>
        <v>2116.0688280574905</v>
      </c>
    </row>
    <row r="4012" spans="2:4" x14ac:dyDescent="0.25">
      <c r="B4012">
        <f t="shared" ca="1" si="188"/>
        <v>45929.317847746352</v>
      </c>
      <c r="C4012">
        <f t="shared" ca="1" si="186"/>
        <v>0</v>
      </c>
      <c r="D4012">
        <f t="shared" ca="1" si="187"/>
        <v>5929.3178477463516</v>
      </c>
    </row>
    <row r="4013" spans="2:4" x14ac:dyDescent="0.25">
      <c r="B4013">
        <f t="shared" ca="1" si="188"/>
        <v>50998.214373824405</v>
      </c>
      <c r="C4013">
        <f t="shared" ca="1" si="186"/>
        <v>0</v>
      </c>
      <c r="D4013">
        <f t="shared" ca="1" si="187"/>
        <v>10998.214373824405</v>
      </c>
    </row>
    <row r="4014" spans="2:4" x14ac:dyDescent="0.25">
      <c r="B4014">
        <f t="shared" ca="1" si="188"/>
        <v>41845.452427122262</v>
      </c>
      <c r="C4014">
        <f t="shared" ca="1" si="186"/>
        <v>0</v>
      </c>
      <c r="D4014">
        <f t="shared" ca="1" si="187"/>
        <v>1845.4524271222617</v>
      </c>
    </row>
    <row r="4015" spans="2:4" x14ac:dyDescent="0.25">
      <c r="B4015">
        <f t="shared" ca="1" si="188"/>
        <v>40499.768222924016</v>
      </c>
      <c r="C4015">
        <f t="shared" ca="1" si="186"/>
        <v>0</v>
      </c>
      <c r="D4015">
        <f t="shared" ca="1" si="187"/>
        <v>499.7682229240163</v>
      </c>
    </row>
    <row r="4016" spans="2:4" x14ac:dyDescent="0.25">
      <c r="B4016">
        <f t="shared" ca="1" si="188"/>
        <v>40039.544313582417</v>
      </c>
      <c r="C4016">
        <f t="shared" ca="1" si="186"/>
        <v>0</v>
      </c>
      <c r="D4016">
        <f t="shared" ca="1" si="187"/>
        <v>39.544313582417089</v>
      </c>
    </row>
    <row r="4017" spans="2:4" x14ac:dyDescent="0.25">
      <c r="B4017">
        <f t="shared" ca="1" si="188"/>
        <v>44628.32356987684</v>
      </c>
      <c r="C4017">
        <f t="shared" ca="1" si="186"/>
        <v>0</v>
      </c>
      <c r="D4017">
        <f t="shared" ca="1" si="187"/>
        <v>4628.3235698768403</v>
      </c>
    </row>
    <row r="4018" spans="2:4" x14ac:dyDescent="0.25">
      <c r="B4018">
        <f t="shared" ca="1" si="188"/>
        <v>45102.445003009008</v>
      </c>
      <c r="C4018">
        <f t="shared" ca="1" si="186"/>
        <v>0</v>
      </c>
      <c r="D4018">
        <f t="shared" ca="1" si="187"/>
        <v>5102.4450030090084</v>
      </c>
    </row>
    <row r="4019" spans="2:4" x14ac:dyDescent="0.25">
      <c r="B4019">
        <f t="shared" ca="1" si="188"/>
        <v>40722.08837086922</v>
      </c>
      <c r="C4019">
        <f t="shared" ca="1" si="186"/>
        <v>0</v>
      </c>
      <c r="D4019">
        <f t="shared" ca="1" si="187"/>
        <v>722.08837086921994</v>
      </c>
    </row>
    <row r="4020" spans="2:4" x14ac:dyDescent="0.25">
      <c r="B4020">
        <f t="shared" ca="1" si="188"/>
        <v>41373.386312235089</v>
      </c>
      <c r="C4020">
        <f t="shared" ca="1" si="186"/>
        <v>0</v>
      </c>
      <c r="D4020">
        <f t="shared" ca="1" si="187"/>
        <v>1373.3863122350886</v>
      </c>
    </row>
    <row r="4021" spans="2:4" x14ac:dyDescent="0.25">
      <c r="B4021">
        <f t="shared" ca="1" si="188"/>
        <v>45945.536019803003</v>
      </c>
      <c r="C4021">
        <f t="shared" ca="1" si="186"/>
        <v>0</v>
      </c>
      <c r="D4021">
        <f t="shared" ca="1" si="187"/>
        <v>5945.536019803003</v>
      </c>
    </row>
    <row r="4022" spans="2:4" x14ac:dyDescent="0.25">
      <c r="B4022">
        <f t="shared" ca="1" si="188"/>
        <v>39569.428732808803</v>
      </c>
      <c r="C4022">
        <f t="shared" ca="1" si="186"/>
        <v>430.57126719119697</v>
      </c>
      <c r="D4022">
        <f t="shared" ca="1" si="187"/>
        <v>0</v>
      </c>
    </row>
    <row r="4023" spans="2:4" x14ac:dyDescent="0.25">
      <c r="B4023">
        <f t="shared" ca="1" si="188"/>
        <v>44224.200670680111</v>
      </c>
      <c r="C4023">
        <f t="shared" ca="1" si="186"/>
        <v>0</v>
      </c>
      <c r="D4023">
        <f t="shared" ca="1" si="187"/>
        <v>4224.2006706801112</v>
      </c>
    </row>
    <row r="4024" spans="2:4" x14ac:dyDescent="0.25">
      <c r="B4024">
        <f t="shared" ca="1" si="188"/>
        <v>43324.883042982183</v>
      </c>
      <c r="C4024">
        <f t="shared" ca="1" si="186"/>
        <v>0</v>
      </c>
      <c r="D4024">
        <f t="shared" ca="1" si="187"/>
        <v>3324.8830429821828</v>
      </c>
    </row>
    <row r="4025" spans="2:4" x14ac:dyDescent="0.25">
      <c r="B4025">
        <f t="shared" ca="1" si="188"/>
        <v>40821.619617970398</v>
      </c>
      <c r="C4025">
        <f t="shared" ca="1" si="186"/>
        <v>0</v>
      </c>
      <c r="D4025">
        <f t="shared" ca="1" si="187"/>
        <v>821.61961797039839</v>
      </c>
    </row>
    <row r="4026" spans="2:4" x14ac:dyDescent="0.25">
      <c r="B4026">
        <f t="shared" ca="1" si="188"/>
        <v>48990.780542141045</v>
      </c>
      <c r="C4026">
        <f t="shared" ca="1" si="186"/>
        <v>0</v>
      </c>
      <c r="D4026">
        <f t="shared" ca="1" si="187"/>
        <v>8990.7805421410449</v>
      </c>
    </row>
    <row r="4027" spans="2:4" x14ac:dyDescent="0.25">
      <c r="B4027">
        <f t="shared" ca="1" si="188"/>
        <v>46824.208771736216</v>
      </c>
      <c r="C4027">
        <f t="shared" ca="1" si="186"/>
        <v>0</v>
      </c>
      <c r="D4027">
        <f t="shared" ca="1" si="187"/>
        <v>6824.2087717362156</v>
      </c>
    </row>
    <row r="4028" spans="2:4" x14ac:dyDescent="0.25">
      <c r="B4028">
        <f t="shared" ca="1" si="188"/>
        <v>38966.180483736141</v>
      </c>
      <c r="C4028">
        <f t="shared" ca="1" si="186"/>
        <v>1033.8195162638585</v>
      </c>
      <c r="D4028">
        <f t="shared" ca="1" si="187"/>
        <v>0</v>
      </c>
    </row>
    <row r="4029" spans="2:4" x14ac:dyDescent="0.25">
      <c r="B4029">
        <f t="shared" ca="1" si="188"/>
        <v>49409.054722846529</v>
      </c>
      <c r="C4029">
        <f t="shared" ca="1" si="186"/>
        <v>0</v>
      </c>
      <c r="D4029">
        <f t="shared" ca="1" si="187"/>
        <v>9409.0547228465293</v>
      </c>
    </row>
    <row r="4030" spans="2:4" x14ac:dyDescent="0.25">
      <c r="B4030">
        <f t="shared" ca="1" si="188"/>
        <v>43635.659001155393</v>
      </c>
      <c r="C4030">
        <f t="shared" ca="1" si="186"/>
        <v>0</v>
      </c>
      <c r="D4030">
        <f t="shared" ca="1" si="187"/>
        <v>3635.6590011553926</v>
      </c>
    </row>
    <row r="4031" spans="2:4" x14ac:dyDescent="0.25">
      <c r="B4031">
        <f t="shared" ca="1" si="188"/>
        <v>53643.002401177378</v>
      </c>
      <c r="C4031">
        <f t="shared" ca="1" si="186"/>
        <v>0</v>
      </c>
      <c r="D4031">
        <f t="shared" ca="1" si="187"/>
        <v>13643.002401177378</v>
      </c>
    </row>
    <row r="4032" spans="2:4" x14ac:dyDescent="0.25">
      <c r="B4032">
        <f t="shared" ca="1" si="188"/>
        <v>41973.196374048493</v>
      </c>
      <c r="C4032">
        <f t="shared" ca="1" si="186"/>
        <v>0</v>
      </c>
      <c r="D4032">
        <f t="shared" ca="1" si="187"/>
        <v>1973.1963740484935</v>
      </c>
    </row>
    <row r="4033" spans="2:4" x14ac:dyDescent="0.25">
      <c r="B4033">
        <f t="shared" ca="1" si="188"/>
        <v>45607.123017176003</v>
      </c>
      <c r="C4033">
        <f t="shared" ca="1" si="186"/>
        <v>0</v>
      </c>
      <c r="D4033">
        <f t="shared" ca="1" si="187"/>
        <v>5607.1230171760035</v>
      </c>
    </row>
    <row r="4034" spans="2:4" x14ac:dyDescent="0.25">
      <c r="B4034">
        <f t="shared" ca="1" si="188"/>
        <v>48004.316285238034</v>
      </c>
      <c r="C4034">
        <f t="shared" ca="1" si="186"/>
        <v>0</v>
      </c>
      <c r="D4034">
        <f t="shared" ca="1" si="187"/>
        <v>8004.3162852380337</v>
      </c>
    </row>
    <row r="4035" spans="2:4" x14ac:dyDescent="0.25">
      <c r="B4035">
        <f t="shared" ca="1" si="188"/>
        <v>39754.421493128379</v>
      </c>
      <c r="C4035">
        <f t="shared" ca="1" si="186"/>
        <v>245.57850687162136</v>
      </c>
      <c r="D4035">
        <f t="shared" ca="1" si="187"/>
        <v>0</v>
      </c>
    </row>
    <row r="4036" spans="2:4" x14ac:dyDescent="0.25">
      <c r="B4036">
        <f t="shared" ca="1" si="188"/>
        <v>48766.688358593106</v>
      </c>
      <c r="C4036">
        <f t="shared" ca="1" si="186"/>
        <v>0</v>
      </c>
      <c r="D4036">
        <f t="shared" ca="1" si="187"/>
        <v>8766.6883585931064</v>
      </c>
    </row>
    <row r="4037" spans="2:4" x14ac:dyDescent="0.25">
      <c r="B4037">
        <f t="shared" ca="1" si="188"/>
        <v>41559.515248274809</v>
      </c>
      <c r="C4037">
        <f t="shared" ca="1" si="186"/>
        <v>0</v>
      </c>
      <c r="D4037">
        <f t="shared" ca="1" si="187"/>
        <v>1559.515248274809</v>
      </c>
    </row>
    <row r="4038" spans="2:4" x14ac:dyDescent="0.25">
      <c r="B4038">
        <f t="shared" ca="1" si="188"/>
        <v>48246.931275853807</v>
      </c>
      <c r="C4038">
        <f t="shared" ca="1" si="186"/>
        <v>0</v>
      </c>
      <c r="D4038">
        <f t="shared" ca="1" si="187"/>
        <v>8246.9312758538072</v>
      </c>
    </row>
    <row r="4039" spans="2:4" x14ac:dyDescent="0.25">
      <c r="B4039">
        <f t="shared" ca="1" si="188"/>
        <v>49105.607875684116</v>
      </c>
      <c r="C4039">
        <f t="shared" ca="1" si="186"/>
        <v>0</v>
      </c>
      <c r="D4039">
        <f t="shared" ca="1" si="187"/>
        <v>9105.6078756841162</v>
      </c>
    </row>
    <row r="4040" spans="2:4" x14ac:dyDescent="0.25">
      <c r="B4040">
        <f t="shared" ca="1" si="188"/>
        <v>39579.778476337146</v>
      </c>
      <c r="C4040">
        <f t="shared" ca="1" si="186"/>
        <v>420.22152366285445</v>
      </c>
      <c r="D4040">
        <f t="shared" ca="1" si="187"/>
        <v>0</v>
      </c>
    </row>
    <row r="4041" spans="2:4" x14ac:dyDescent="0.25">
      <c r="B4041">
        <f t="shared" ca="1" si="188"/>
        <v>42307.544399468949</v>
      </c>
      <c r="C4041">
        <f t="shared" ca="1" si="186"/>
        <v>0</v>
      </c>
      <c r="D4041">
        <f t="shared" ca="1" si="187"/>
        <v>2307.5443994689485</v>
      </c>
    </row>
    <row r="4042" spans="2:4" x14ac:dyDescent="0.25">
      <c r="B4042">
        <f t="shared" ca="1" si="188"/>
        <v>47072.963977965905</v>
      </c>
      <c r="C4042">
        <f t="shared" ca="1" si="186"/>
        <v>0</v>
      </c>
      <c r="D4042">
        <f t="shared" ca="1" si="187"/>
        <v>7072.9639779659046</v>
      </c>
    </row>
    <row r="4043" spans="2:4" x14ac:dyDescent="0.25">
      <c r="B4043">
        <f t="shared" ca="1" si="188"/>
        <v>40297.613298702745</v>
      </c>
      <c r="C4043">
        <f t="shared" ca="1" si="186"/>
        <v>0</v>
      </c>
      <c r="D4043">
        <f t="shared" ca="1" si="187"/>
        <v>297.61329870274494</v>
      </c>
    </row>
    <row r="4044" spans="2:4" x14ac:dyDescent="0.25">
      <c r="B4044">
        <f t="shared" ca="1" si="188"/>
        <v>43579.273276774249</v>
      </c>
      <c r="C4044">
        <f t="shared" ref="C4044:C4107" ca="1" si="189">IF(MAX($B$2-B4044)&lt;0,0,$B$2-B4044)</f>
        <v>0</v>
      </c>
      <c r="D4044">
        <f t="shared" ref="D4044:D4107" ca="1" si="190">IF(MAX(B4044-$B$2)&lt;0,0,B4044-$B$2)</f>
        <v>3579.2732767742491</v>
      </c>
    </row>
    <row r="4045" spans="2:4" x14ac:dyDescent="0.25">
      <c r="B4045">
        <f t="shared" ref="B4045:B4108" ca="1" si="191">$B$1*EXP((($B$4-($B$3^2)/2)*$B$5+$B$3*SQRT($B$5)*NORMSINV(RAND())))</f>
        <v>43169.612103794592</v>
      </c>
      <c r="C4045">
        <f t="shared" ca="1" si="189"/>
        <v>0</v>
      </c>
      <c r="D4045">
        <f t="shared" ca="1" si="190"/>
        <v>3169.6121037945923</v>
      </c>
    </row>
    <row r="4046" spans="2:4" x14ac:dyDescent="0.25">
      <c r="B4046">
        <f t="shared" ca="1" si="191"/>
        <v>52826.736609513682</v>
      </c>
      <c r="C4046">
        <f t="shared" ca="1" si="189"/>
        <v>0</v>
      </c>
      <c r="D4046">
        <f t="shared" ca="1" si="190"/>
        <v>12826.736609513682</v>
      </c>
    </row>
    <row r="4047" spans="2:4" x14ac:dyDescent="0.25">
      <c r="B4047">
        <f t="shared" ca="1" si="191"/>
        <v>42507.273639075021</v>
      </c>
      <c r="C4047">
        <f t="shared" ca="1" si="189"/>
        <v>0</v>
      </c>
      <c r="D4047">
        <f t="shared" ca="1" si="190"/>
        <v>2507.2736390750215</v>
      </c>
    </row>
    <row r="4048" spans="2:4" x14ac:dyDescent="0.25">
      <c r="B4048">
        <f t="shared" ca="1" si="191"/>
        <v>42827.831896946802</v>
      </c>
      <c r="C4048">
        <f t="shared" ca="1" si="189"/>
        <v>0</v>
      </c>
      <c r="D4048">
        <f t="shared" ca="1" si="190"/>
        <v>2827.8318969468019</v>
      </c>
    </row>
    <row r="4049" spans="2:4" x14ac:dyDescent="0.25">
      <c r="B4049">
        <f t="shared" ca="1" si="191"/>
        <v>42463.009761528716</v>
      </c>
      <c r="C4049">
        <f t="shared" ca="1" si="189"/>
        <v>0</v>
      </c>
      <c r="D4049">
        <f t="shared" ca="1" si="190"/>
        <v>2463.0097615287159</v>
      </c>
    </row>
    <row r="4050" spans="2:4" x14ac:dyDescent="0.25">
      <c r="B4050">
        <f t="shared" ca="1" si="191"/>
        <v>44688.183147973214</v>
      </c>
      <c r="C4050">
        <f t="shared" ca="1" si="189"/>
        <v>0</v>
      </c>
      <c r="D4050">
        <f t="shared" ca="1" si="190"/>
        <v>4688.1831479732136</v>
      </c>
    </row>
    <row r="4051" spans="2:4" x14ac:dyDescent="0.25">
      <c r="B4051">
        <f t="shared" ca="1" si="191"/>
        <v>38725.151026382562</v>
      </c>
      <c r="C4051">
        <f t="shared" ca="1" si="189"/>
        <v>1274.8489736174379</v>
      </c>
      <c r="D4051">
        <f t="shared" ca="1" si="190"/>
        <v>0</v>
      </c>
    </row>
    <row r="4052" spans="2:4" x14ac:dyDescent="0.25">
      <c r="B4052">
        <f t="shared" ca="1" si="191"/>
        <v>47157.541923560639</v>
      </c>
      <c r="C4052">
        <f t="shared" ca="1" si="189"/>
        <v>0</v>
      </c>
      <c r="D4052">
        <f t="shared" ca="1" si="190"/>
        <v>7157.5419235606387</v>
      </c>
    </row>
    <row r="4053" spans="2:4" x14ac:dyDescent="0.25">
      <c r="B4053">
        <f t="shared" ca="1" si="191"/>
        <v>51065.041008637942</v>
      </c>
      <c r="C4053">
        <f t="shared" ca="1" si="189"/>
        <v>0</v>
      </c>
      <c r="D4053">
        <f t="shared" ca="1" si="190"/>
        <v>11065.041008637942</v>
      </c>
    </row>
    <row r="4054" spans="2:4" x14ac:dyDescent="0.25">
      <c r="B4054">
        <f t="shared" ca="1" si="191"/>
        <v>51695.560815165321</v>
      </c>
      <c r="C4054">
        <f t="shared" ca="1" si="189"/>
        <v>0</v>
      </c>
      <c r="D4054">
        <f t="shared" ca="1" si="190"/>
        <v>11695.560815165321</v>
      </c>
    </row>
    <row r="4055" spans="2:4" x14ac:dyDescent="0.25">
      <c r="B4055">
        <f t="shared" ca="1" si="191"/>
        <v>41542.09090338173</v>
      </c>
      <c r="C4055">
        <f t="shared" ca="1" si="189"/>
        <v>0</v>
      </c>
      <c r="D4055">
        <f t="shared" ca="1" si="190"/>
        <v>1542.0909033817297</v>
      </c>
    </row>
    <row r="4056" spans="2:4" x14ac:dyDescent="0.25">
      <c r="B4056">
        <f t="shared" ca="1" si="191"/>
        <v>38115.958572748619</v>
      </c>
      <c r="C4056">
        <f t="shared" ca="1" si="189"/>
        <v>1884.0414272513808</v>
      </c>
      <c r="D4056">
        <f t="shared" ca="1" si="190"/>
        <v>0</v>
      </c>
    </row>
    <row r="4057" spans="2:4" x14ac:dyDescent="0.25">
      <c r="B4057">
        <f t="shared" ca="1" si="191"/>
        <v>49914.656247846455</v>
      </c>
      <c r="C4057">
        <f t="shared" ca="1" si="189"/>
        <v>0</v>
      </c>
      <c r="D4057">
        <f t="shared" ca="1" si="190"/>
        <v>9914.6562478464548</v>
      </c>
    </row>
    <row r="4058" spans="2:4" x14ac:dyDescent="0.25">
      <c r="B4058">
        <f t="shared" ca="1" si="191"/>
        <v>46137.788351053903</v>
      </c>
      <c r="C4058">
        <f t="shared" ca="1" si="189"/>
        <v>0</v>
      </c>
      <c r="D4058">
        <f t="shared" ca="1" si="190"/>
        <v>6137.7883510539032</v>
      </c>
    </row>
    <row r="4059" spans="2:4" x14ac:dyDescent="0.25">
      <c r="B4059">
        <f t="shared" ca="1" si="191"/>
        <v>50231.239900094326</v>
      </c>
      <c r="C4059">
        <f t="shared" ca="1" si="189"/>
        <v>0</v>
      </c>
      <c r="D4059">
        <f t="shared" ca="1" si="190"/>
        <v>10231.239900094326</v>
      </c>
    </row>
    <row r="4060" spans="2:4" x14ac:dyDescent="0.25">
      <c r="B4060">
        <f t="shared" ca="1" si="191"/>
        <v>52689.430794928943</v>
      </c>
      <c r="C4060">
        <f t="shared" ca="1" si="189"/>
        <v>0</v>
      </c>
      <c r="D4060">
        <f t="shared" ca="1" si="190"/>
        <v>12689.430794928943</v>
      </c>
    </row>
    <row r="4061" spans="2:4" x14ac:dyDescent="0.25">
      <c r="B4061">
        <f t="shared" ca="1" si="191"/>
        <v>47169.554419577558</v>
      </c>
      <c r="C4061">
        <f t="shared" ca="1" si="189"/>
        <v>0</v>
      </c>
      <c r="D4061">
        <f t="shared" ca="1" si="190"/>
        <v>7169.5544195775583</v>
      </c>
    </row>
    <row r="4062" spans="2:4" x14ac:dyDescent="0.25">
      <c r="B4062">
        <f t="shared" ca="1" si="191"/>
        <v>47188.628126724718</v>
      </c>
      <c r="C4062">
        <f t="shared" ca="1" si="189"/>
        <v>0</v>
      </c>
      <c r="D4062">
        <f t="shared" ca="1" si="190"/>
        <v>7188.6281267247177</v>
      </c>
    </row>
    <row r="4063" spans="2:4" x14ac:dyDescent="0.25">
      <c r="B4063">
        <f t="shared" ca="1" si="191"/>
        <v>46825.141004279671</v>
      </c>
      <c r="C4063">
        <f t="shared" ca="1" si="189"/>
        <v>0</v>
      </c>
      <c r="D4063">
        <f t="shared" ca="1" si="190"/>
        <v>6825.1410042796706</v>
      </c>
    </row>
    <row r="4064" spans="2:4" x14ac:dyDescent="0.25">
      <c r="B4064">
        <f t="shared" ca="1" si="191"/>
        <v>42106.30580192979</v>
      </c>
      <c r="C4064">
        <f t="shared" ca="1" si="189"/>
        <v>0</v>
      </c>
      <c r="D4064">
        <f t="shared" ca="1" si="190"/>
        <v>2106.3058019297896</v>
      </c>
    </row>
    <row r="4065" spans="2:4" x14ac:dyDescent="0.25">
      <c r="B4065">
        <f t="shared" ca="1" si="191"/>
        <v>41878.615063844198</v>
      </c>
      <c r="C4065">
        <f t="shared" ca="1" si="189"/>
        <v>0</v>
      </c>
      <c r="D4065">
        <f t="shared" ca="1" si="190"/>
        <v>1878.6150638441977</v>
      </c>
    </row>
    <row r="4066" spans="2:4" x14ac:dyDescent="0.25">
      <c r="B4066">
        <f t="shared" ca="1" si="191"/>
        <v>45268.181945552547</v>
      </c>
      <c r="C4066">
        <f t="shared" ca="1" si="189"/>
        <v>0</v>
      </c>
      <c r="D4066">
        <f t="shared" ca="1" si="190"/>
        <v>5268.1819455525474</v>
      </c>
    </row>
    <row r="4067" spans="2:4" x14ac:dyDescent="0.25">
      <c r="B4067">
        <f t="shared" ca="1" si="191"/>
        <v>43077.578443772429</v>
      </c>
      <c r="C4067">
        <f t="shared" ca="1" si="189"/>
        <v>0</v>
      </c>
      <c r="D4067">
        <f t="shared" ca="1" si="190"/>
        <v>3077.5784437724287</v>
      </c>
    </row>
    <row r="4068" spans="2:4" x14ac:dyDescent="0.25">
      <c r="B4068">
        <f t="shared" ca="1" si="191"/>
        <v>38416.244894953838</v>
      </c>
      <c r="C4068">
        <f t="shared" ca="1" si="189"/>
        <v>1583.7551050461625</v>
      </c>
      <c r="D4068">
        <f t="shared" ca="1" si="190"/>
        <v>0</v>
      </c>
    </row>
    <row r="4069" spans="2:4" x14ac:dyDescent="0.25">
      <c r="B4069">
        <f t="shared" ca="1" si="191"/>
        <v>44594.541484923815</v>
      </c>
      <c r="C4069">
        <f t="shared" ca="1" si="189"/>
        <v>0</v>
      </c>
      <c r="D4069">
        <f t="shared" ca="1" si="190"/>
        <v>4594.541484923815</v>
      </c>
    </row>
    <row r="4070" spans="2:4" x14ac:dyDescent="0.25">
      <c r="B4070">
        <f t="shared" ca="1" si="191"/>
        <v>50317.204940680145</v>
      </c>
      <c r="C4070">
        <f t="shared" ca="1" si="189"/>
        <v>0</v>
      </c>
      <c r="D4070">
        <f t="shared" ca="1" si="190"/>
        <v>10317.204940680145</v>
      </c>
    </row>
    <row r="4071" spans="2:4" x14ac:dyDescent="0.25">
      <c r="B4071">
        <f t="shared" ca="1" si="191"/>
        <v>50862.474942604153</v>
      </c>
      <c r="C4071">
        <f t="shared" ca="1" si="189"/>
        <v>0</v>
      </c>
      <c r="D4071">
        <f t="shared" ca="1" si="190"/>
        <v>10862.474942604153</v>
      </c>
    </row>
    <row r="4072" spans="2:4" x14ac:dyDescent="0.25">
      <c r="B4072">
        <f t="shared" ca="1" si="191"/>
        <v>43542.573069409736</v>
      </c>
      <c r="C4072">
        <f t="shared" ca="1" si="189"/>
        <v>0</v>
      </c>
      <c r="D4072">
        <f t="shared" ca="1" si="190"/>
        <v>3542.5730694097365</v>
      </c>
    </row>
    <row r="4073" spans="2:4" x14ac:dyDescent="0.25">
      <c r="B4073">
        <f t="shared" ca="1" si="191"/>
        <v>46546.410975596133</v>
      </c>
      <c r="C4073">
        <f t="shared" ca="1" si="189"/>
        <v>0</v>
      </c>
      <c r="D4073">
        <f t="shared" ca="1" si="190"/>
        <v>6546.4109755961326</v>
      </c>
    </row>
    <row r="4074" spans="2:4" x14ac:dyDescent="0.25">
      <c r="B4074">
        <f t="shared" ca="1" si="191"/>
        <v>47344.428060166938</v>
      </c>
      <c r="C4074">
        <f t="shared" ca="1" si="189"/>
        <v>0</v>
      </c>
      <c r="D4074">
        <f t="shared" ca="1" si="190"/>
        <v>7344.4280601669379</v>
      </c>
    </row>
    <row r="4075" spans="2:4" x14ac:dyDescent="0.25">
      <c r="B4075">
        <f t="shared" ca="1" si="191"/>
        <v>41860.245697516992</v>
      </c>
      <c r="C4075">
        <f t="shared" ca="1" si="189"/>
        <v>0</v>
      </c>
      <c r="D4075">
        <f t="shared" ca="1" si="190"/>
        <v>1860.2456975169916</v>
      </c>
    </row>
    <row r="4076" spans="2:4" x14ac:dyDescent="0.25">
      <c r="B4076">
        <f t="shared" ca="1" si="191"/>
        <v>48085.51242057942</v>
      </c>
      <c r="C4076">
        <f t="shared" ca="1" si="189"/>
        <v>0</v>
      </c>
      <c r="D4076">
        <f t="shared" ca="1" si="190"/>
        <v>8085.51242057942</v>
      </c>
    </row>
    <row r="4077" spans="2:4" x14ac:dyDescent="0.25">
      <c r="B4077">
        <f t="shared" ca="1" si="191"/>
        <v>38137.611514967233</v>
      </c>
      <c r="C4077">
        <f t="shared" ca="1" si="189"/>
        <v>1862.3884850327668</v>
      </c>
      <c r="D4077">
        <f t="shared" ca="1" si="190"/>
        <v>0</v>
      </c>
    </row>
    <row r="4078" spans="2:4" x14ac:dyDescent="0.25">
      <c r="B4078">
        <f t="shared" ca="1" si="191"/>
        <v>47966.677042332267</v>
      </c>
      <c r="C4078">
        <f t="shared" ca="1" si="189"/>
        <v>0</v>
      </c>
      <c r="D4078">
        <f t="shared" ca="1" si="190"/>
        <v>7966.6770423322669</v>
      </c>
    </row>
    <row r="4079" spans="2:4" x14ac:dyDescent="0.25">
      <c r="B4079">
        <f t="shared" ca="1" si="191"/>
        <v>50374.971871052636</v>
      </c>
      <c r="C4079">
        <f t="shared" ca="1" si="189"/>
        <v>0</v>
      </c>
      <c r="D4079">
        <f t="shared" ca="1" si="190"/>
        <v>10374.971871052636</v>
      </c>
    </row>
    <row r="4080" spans="2:4" x14ac:dyDescent="0.25">
      <c r="B4080">
        <f t="shared" ca="1" si="191"/>
        <v>47181.551519566376</v>
      </c>
      <c r="C4080">
        <f t="shared" ca="1" si="189"/>
        <v>0</v>
      </c>
      <c r="D4080">
        <f t="shared" ca="1" si="190"/>
        <v>7181.5515195663756</v>
      </c>
    </row>
    <row r="4081" spans="2:4" x14ac:dyDescent="0.25">
      <c r="B4081">
        <f t="shared" ca="1" si="191"/>
        <v>52452.741158173121</v>
      </c>
      <c r="C4081">
        <f t="shared" ca="1" si="189"/>
        <v>0</v>
      </c>
      <c r="D4081">
        <f t="shared" ca="1" si="190"/>
        <v>12452.741158173121</v>
      </c>
    </row>
    <row r="4082" spans="2:4" x14ac:dyDescent="0.25">
      <c r="B4082">
        <f t="shared" ca="1" si="191"/>
        <v>48132.088010939755</v>
      </c>
      <c r="C4082">
        <f t="shared" ca="1" si="189"/>
        <v>0</v>
      </c>
      <c r="D4082">
        <f t="shared" ca="1" si="190"/>
        <v>8132.0880109397549</v>
      </c>
    </row>
    <row r="4083" spans="2:4" x14ac:dyDescent="0.25">
      <c r="B4083">
        <f t="shared" ca="1" si="191"/>
        <v>47742.565829759304</v>
      </c>
      <c r="C4083">
        <f t="shared" ca="1" si="189"/>
        <v>0</v>
      </c>
      <c r="D4083">
        <f t="shared" ca="1" si="190"/>
        <v>7742.5658297593036</v>
      </c>
    </row>
    <row r="4084" spans="2:4" x14ac:dyDescent="0.25">
      <c r="B4084">
        <f t="shared" ca="1" si="191"/>
        <v>41469.887350386831</v>
      </c>
      <c r="C4084">
        <f t="shared" ca="1" si="189"/>
        <v>0</v>
      </c>
      <c r="D4084">
        <f t="shared" ca="1" si="190"/>
        <v>1469.8873503868308</v>
      </c>
    </row>
    <row r="4085" spans="2:4" x14ac:dyDescent="0.25">
      <c r="B4085">
        <f t="shared" ca="1" si="191"/>
        <v>39252.341355675606</v>
      </c>
      <c r="C4085">
        <f t="shared" ca="1" si="189"/>
        <v>747.65864432439412</v>
      </c>
      <c r="D4085">
        <f t="shared" ca="1" si="190"/>
        <v>0</v>
      </c>
    </row>
    <row r="4086" spans="2:4" x14ac:dyDescent="0.25">
      <c r="B4086">
        <f t="shared" ca="1" si="191"/>
        <v>42338.318896966819</v>
      </c>
      <c r="C4086">
        <f t="shared" ca="1" si="189"/>
        <v>0</v>
      </c>
      <c r="D4086">
        <f t="shared" ca="1" si="190"/>
        <v>2338.318896966819</v>
      </c>
    </row>
    <row r="4087" spans="2:4" x14ac:dyDescent="0.25">
      <c r="B4087">
        <f t="shared" ca="1" si="191"/>
        <v>45104.531766662119</v>
      </c>
      <c r="C4087">
        <f t="shared" ca="1" si="189"/>
        <v>0</v>
      </c>
      <c r="D4087">
        <f t="shared" ca="1" si="190"/>
        <v>5104.5317666621195</v>
      </c>
    </row>
    <row r="4088" spans="2:4" x14ac:dyDescent="0.25">
      <c r="B4088">
        <f t="shared" ca="1" si="191"/>
        <v>46064.488115863729</v>
      </c>
      <c r="C4088">
        <f t="shared" ca="1" si="189"/>
        <v>0</v>
      </c>
      <c r="D4088">
        <f t="shared" ca="1" si="190"/>
        <v>6064.488115863729</v>
      </c>
    </row>
    <row r="4089" spans="2:4" x14ac:dyDescent="0.25">
      <c r="B4089">
        <f t="shared" ca="1" si="191"/>
        <v>37749.717738335741</v>
      </c>
      <c r="C4089">
        <f t="shared" ca="1" si="189"/>
        <v>2250.2822616642588</v>
      </c>
      <c r="D4089">
        <f t="shared" ca="1" si="190"/>
        <v>0</v>
      </c>
    </row>
    <row r="4090" spans="2:4" x14ac:dyDescent="0.25">
      <c r="B4090">
        <f t="shared" ca="1" si="191"/>
        <v>45996.540975405529</v>
      </c>
      <c r="C4090">
        <f t="shared" ca="1" si="189"/>
        <v>0</v>
      </c>
      <c r="D4090">
        <f t="shared" ca="1" si="190"/>
        <v>5996.540975405529</v>
      </c>
    </row>
    <row r="4091" spans="2:4" x14ac:dyDescent="0.25">
      <c r="B4091">
        <f t="shared" ca="1" si="191"/>
        <v>41557.438603144881</v>
      </c>
      <c r="C4091">
        <f t="shared" ca="1" si="189"/>
        <v>0</v>
      </c>
      <c r="D4091">
        <f t="shared" ca="1" si="190"/>
        <v>1557.4386031448812</v>
      </c>
    </row>
    <row r="4092" spans="2:4" x14ac:dyDescent="0.25">
      <c r="B4092">
        <f t="shared" ca="1" si="191"/>
        <v>48491.776699026093</v>
      </c>
      <c r="C4092">
        <f t="shared" ca="1" si="189"/>
        <v>0</v>
      </c>
      <c r="D4092">
        <f t="shared" ca="1" si="190"/>
        <v>8491.7766990260934</v>
      </c>
    </row>
    <row r="4093" spans="2:4" x14ac:dyDescent="0.25">
      <c r="B4093">
        <f t="shared" ca="1" si="191"/>
        <v>46671.422742143848</v>
      </c>
      <c r="C4093">
        <f t="shared" ca="1" si="189"/>
        <v>0</v>
      </c>
      <c r="D4093">
        <f t="shared" ca="1" si="190"/>
        <v>6671.4227421438482</v>
      </c>
    </row>
    <row r="4094" spans="2:4" x14ac:dyDescent="0.25">
      <c r="B4094">
        <f t="shared" ca="1" si="191"/>
        <v>48635.326225534758</v>
      </c>
      <c r="C4094">
        <f t="shared" ca="1" si="189"/>
        <v>0</v>
      </c>
      <c r="D4094">
        <f t="shared" ca="1" si="190"/>
        <v>8635.3262255347581</v>
      </c>
    </row>
    <row r="4095" spans="2:4" x14ac:dyDescent="0.25">
      <c r="B4095">
        <f t="shared" ca="1" si="191"/>
        <v>49953.171081782304</v>
      </c>
      <c r="C4095">
        <f t="shared" ca="1" si="189"/>
        <v>0</v>
      </c>
      <c r="D4095">
        <f t="shared" ca="1" si="190"/>
        <v>9953.1710817823041</v>
      </c>
    </row>
    <row r="4096" spans="2:4" x14ac:dyDescent="0.25">
      <c r="B4096">
        <f t="shared" ca="1" si="191"/>
        <v>52734.567910679922</v>
      </c>
      <c r="C4096">
        <f t="shared" ca="1" si="189"/>
        <v>0</v>
      </c>
      <c r="D4096">
        <f t="shared" ca="1" si="190"/>
        <v>12734.567910679922</v>
      </c>
    </row>
    <row r="4097" spans="2:4" x14ac:dyDescent="0.25">
      <c r="B4097">
        <f t="shared" ca="1" si="191"/>
        <v>44908.555706695246</v>
      </c>
      <c r="C4097">
        <f t="shared" ca="1" si="189"/>
        <v>0</v>
      </c>
      <c r="D4097">
        <f t="shared" ca="1" si="190"/>
        <v>4908.555706695246</v>
      </c>
    </row>
    <row r="4098" spans="2:4" x14ac:dyDescent="0.25">
      <c r="B4098">
        <f t="shared" ca="1" si="191"/>
        <v>47624.597687398644</v>
      </c>
      <c r="C4098">
        <f t="shared" ca="1" si="189"/>
        <v>0</v>
      </c>
      <c r="D4098">
        <f t="shared" ca="1" si="190"/>
        <v>7624.5976873986438</v>
      </c>
    </row>
    <row r="4099" spans="2:4" x14ac:dyDescent="0.25">
      <c r="B4099">
        <f t="shared" ca="1" si="191"/>
        <v>44749.241154560812</v>
      </c>
      <c r="C4099">
        <f t="shared" ca="1" si="189"/>
        <v>0</v>
      </c>
      <c r="D4099">
        <f t="shared" ca="1" si="190"/>
        <v>4749.241154560812</v>
      </c>
    </row>
    <row r="4100" spans="2:4" x14ac:dyDescent="0.25">
      <c r="B4100">
        <f t="shared" ca="1" si="191"/>
        <v>44018.130506142981</v>
      </c>
      <c r="C4100">
        <f t="shared" ca="1" si="189"/>
        <v>0</v>
      </c>
      <c r="D4100">
        <f t="shared" ca="1" si="190"/>
        <v>4018.1305061429812</v>
      </c>
    </row>
    <row r="4101" spans="2:4" x14ac:dyDescent="0.25">
      <c r="B4101">
        <f t="shared" ca="1" si="191"/>
        <v>47305.089671334586</v>
      </c>
      <c r="C4101">
        <f t="shared" ca="1" si="189"/>
        <v>0</v>
      </c>
      <c r="D4101">
        <f t="shared" ca="1" si="190"/>
        <v>7305.0896713345865</v>
      </c>
    </row>
    <row r="4102" spans="2:4" x14ac:dyDescent="0.25">
      <c r="B4102">
        <f t="shared" ca="1" si="191"/>
        <v>41336.838752185242</v>
      </c>
      <c r="C4102">
        <f t="shared" ca="1" si="189"/>
        <v>0</v>
      </c>
      <c r="D4102">
        <f t="shared" ca="1" si="190"/>
        <v>1336.8387521852419</v>
      </c>
    </row>
    <row r="4103" spans="2:4" x14ac:dyDescent="0.25">
      <c r="B4103">
        <f t="shared" ca="1" si="191"/>
        <v>45743.281710067349</v>
      </c>
      <c r="C4103">
        <f t="shared" ca="1" si="189"/>
        <v>0</v>
      </c>
      <c r="D4103">
        <f t="shared" ca="1" si="190"/>
        <v>5743.2817100673492</v>
      </c>
    </row>
    <row r="4104" spans="2:4" x14ac:dyDescent="0.25">
      <c r="B4104">
        <f t="shared" ca="1" si="191"/>
        <v>44913.886545396585</v>
      </c>
      <c r="C4104">
        <f t="shared" ca="1" si="189"/>
        <v>0</v>
      </c>
      <c r="D4104">
        <f t="shared" ca="1" si="190"/>
        <v>4913.8865453965846</v>
      </c>
    </row>
    <row r="4105" spans="2:4" x14ac:dyDescent="0.25">
      <c r="B4105">
        <f t="shared" ca="1" si="191"/>
        <v>38017.639292963482</v>
      </c>
      <c r="C4105">
        <f t="shared" ca="1" si="189"/>
        <v>1982.3607070365179</v>
      </c>
      <c r="D4105">
        <f t="shared" ca="1" si="190"/>
        <v>0</v>
      </c>
    </row>
    <row r="4106" spans="2:4" x14ac:dyDescent="0.25">
      <c r="B4106">
        <f t="shared" ca="1" si="191"/>
        <v>49605.473501198088</v>
      </c>
      <c r="C4106">
        <f t="shared" ca="1" si="189"/>
        <v>0</v>
      </c>
      <c r="D4106">
        <f t="shared" ca="1" si="190"/>
        <v>9605.4735011980883</v>
      </c>
    </row>
    <row r="4107" spans="2:4" x14ac:dyDescent="0.25">
      <c r="B4107">
        <f t="shared" ca="1" si="191"/>
        <v>44108.893990304139</v>
      </c>
      <c r="C4107">
        <f t="shared" ca="1" si="189"/>
        <v>0</v>
      </c>
      <c r="D4107">
        <f t="shared" ca="1" si="190"/>
        <v>4108.8939903041392</v>
      </c>
    </row>
    <row r="4108" spans="2:4" x14ac:dyDescent="0.25">
      <c r="B4108">
        <f t="shared" ca="1" si="191"/>
        <v>45728.956531975731</v>
      </c>
      <c r="C4108">
        <f t="shared" ref="C4108:C4171" ca="1" si="192">IF(MAX($B$2-B4108)&lt;0,0,$B$2-B4108)</f>
        <v>0</v>
      </c>
      <c r="D4108">
        <f t="shared" ref="D4108:D4171" ca="1" si="193">IF(MAX(B4108-$B$2)&lt;0,0,B4108-$B$2)</f>
        <v>5728.9565319757312</v>
      </c>
    </row>
    <row r="4109" spans="2:4" x14ac:dyDescent="0.25">
      <c r="B4109">
        <f t="shared" ref="B4109:B4172" ca="1" si="194">$B$1*EXP((($B$4-($B$3^2)/2)*$B$5+$B$3*SQRT($B$5)*NORMSINV(RAND())))</f>
        <v>44660.587077594158</v>
      </c>
      <c r="C4109">
        <f t="shared" ca="1" si="192"/>
        <v>0</v>
      </c>
      <c r="D4109">
        <f t="shared" ca="1" si="193"/>
        <v>4660.5870775941585</v>
      </c>
    </row>
    <row r="4110" spans="2:4" x14ac:dyDescent="0.25">
      <c r="B4110">
        <f t="shared" ca="1" si="194"/>
        <v>53089.061162414087</v>
      </c>
      <c r="C4110">
        <f t="shared" ca="1" si="192"/>
        <v>0</v>
      </c>
      <c r="D4110">
        <f t="shared" ca="1" si="193"/>
        <v>13089.061162414087</v>
      </c>
    </row>
    <row r="4111" spans="2:4" x14ac:dyDescent="0.25">
      <c r="B4111">
        <f t="shared" ca="1" si="194"/>
        <v>43824.712852394368</v>
      </c>
      <c r="C4111">
        <f t="shared" ca="1" si="192"/>
        <v>0</v>
      </c>
      <c r="D4111">
        <f t="shared" ca="1" si="193"/>
        <v>3824.7128523943684</v>
      </c>
    </row>
    <row r="4112" spans="2:4" x14ac:dyDescent="0.25">
      <c r="B4112">
        <f t="shared" ca="1" si="194"/>
        <v>43957.403113214052</v>
      </c>
      <c r="C4112">
        <f t="shared" ca="1" si="192"/>
        <v>0</v>
      </c>
      <c r="D4112">
        <f t="shared" ca="1" si="193"/>
        <v>3957.4031132140517</v>
      </c>
    </row>
    <row r="4113" spans="2:4" x14ac:dyDescent="0.25">
      <c r="B4113">
        <f t="shared" ca="1" si="194"/>
        <v>40858.272008212713</v>
      </c>
      <c r="C4113">
        <f t="shared" ca="1" si="192"/>
        <v>0</v>
      </c>
      <c r="D4113">
        <f t="shared" ca="1" si="193"/>
        <v>858.27200821271254</v>
      </c>
    </row>
    <row r="4114" spans="2:4" x14ac:dyDescent="0.25">
      <c r="B4114">
        <f t="shared" ca="1" si="194"/>
        <v>45618.090721544417</v>
      </c>
      <c r="C4114">
        <f t="shared" ca="1" si="192"/>
        <v>0</v>
      </c>
      <c r="D4114">
        <f t="shared" ca="1" si="193"/>
        <v>5618.0907215444167</v>
      </c>
    </row>
    <row r="4115" spans="2:4" x14ac:dyDescent="0.25">
      <c r="B4115">
        <f t="shared" ca="1" si="194"/>
        <v>37278.966474916037</v>
      </c>
      <c r="C4115">
        <f t="shared" ca="1" si="192"/>
        <v>2721.0335250839635</v>
      </c>
      <c r="D4115">
        <f t="shared" ca="1" si="193"/>
        <v>0</v>
      </c>
    </row>
    <row r="4116" spans="2:4" x14ac:dyDescent="0.25">
      <c r="B4116">
        <f t="shared" ca="1" si="194"/>
        <v>45392.420652484048</v>
      </c>
      <c r="C4116">
        <f t="shared" ca="1" si="192"/>
        <v>0</v>
      </c>
      <c r="D4116">
        <f t="shared" ca="1" si="193"/>
        <v>5392.4206524840483</v>
      </c>
    </row>
    <row r="4117" spans="2:4" x14ac:dyDescent="0.25">
      <c r="B4117">
        <f t="shared" ca="1" si="194"/>
        <v>41664.606260475186</v>
      </c>
      <c r="C4117">
        <f t="shared" ca="1" si="192"/>
        <v>0</v>
      </c>
      <c r="D4117">
        <f t="shared" ca="1" si="193"/>
        <v>1664.606260475186</v>
      </c>
    </row>
    <row r="4118" spans="2:4" x14ac:dyDescent="0.25">
      <c r="B4118">
        <f t="shared" ca="1" si="194"/>
        <v>44193.029334705272</v>
      </c>
      <c r="C4118">
        <f t="shared" ca="1" si="192"/>
        <v>0</v>
      </c>
      <c r="D4118">
        <f t="shared" ca="1" si="193"/>
        <v>4193.029334705272</v>
      </c>
    </row>
    <row r="4119" spans="2:4" x14ac:dyDescent="0.25">
      <c r="B4119">
        <f t="shared" ca="1" si="194"/>
        <v>45395.462316434408</v>
      </c>
      <c r="C4119">
        <f t="shared" ca="1" si="192"/>
        <v>0</v>
      </c>
      <c r="D4119">
        <f t="shared" ca="1" si="193"/>
        <v>5395.4623164344084</v>
      </c>
    </row>
    <row r="4120" spans="2:4" x14ac:dyDescent="0.25">
      <c r="B4120">
        <f t="shared" ca="1" si="194"/>
        <v>52516.840827066175</v>
      </c>
      <c r="C4120">
        <f t="shared" ca="1" si="192"/>
        <v>0</v>
      </c>
      <c r="D4120">
        <f t="shared" ca="1" si="193"/>
        <v>12516.840827066175</v>
      </c>
    </row>
    <row r="4121" spans="2:4" x14ac:dyDescent="0.25">
      <c r="B4121">
        <f t="shared" ca="1" si="194"/>
        <v>46268.302836070099</v>
      </c>
      <c r="C4121">
        <f t="shared" ca="1" si="192"/>
        <v>0</v>
      </c>
      <c r="D4121">
        <f t="shared" ca="1" si="193"/>
        <v>6268.3028360700991</v>
      </c>
    </row>
    <row r="4122" spans="2:4" x14ac:dyDescent="0.25">
      <c r="B4122">
        <f t="shared" ca="1" si="194"/>
        <v>37834.402185876803</v>
      </c>
      <c r="C4122">
        <f t="shared" ca="1" si="192"/>
        <v>2165.5978141231972</v>
      </c>
      <c r="D4122">
        <f t="shared" ca="1" si="193"/>
        <v>0</v>
      </c>
    </row>
    <row r="4123" spans="2:4" x14ac:dyDescent="0.25">
      <c r="B4123">
        <f t="shared" ca="1" si="194"/>
        <v>37676.407915551907</v>
      </c>
      <c r="C4123">
        <f t="shared" ca="1" si="192"/>
        <v>2323.5920844480934</v>
      </c>
      <c r="D4123">
        <f t="shared" ca="1" si="193"/>
        <v>0</v>
      </c>
    </row>
    <row r="4124" spans="2:4" x14ac:dyDescent="0.25">
      <c r="B4124">
        <f t="shared" ca="1" si="194"/>
        <v>40583.460597233941</v>
      </c>
      <c r="C4124">
        <f t="shared" ca="1" si="192"/>
        <v>0</v>
      </c>
      <c r="D4124">
        <f t="shared" ca="1" si="193"/>
        <v>583.46059723394137</v>
      </c>
    </row>
    <row r="4125" spans="2:4" x14ac:dyDescent="0.25">
      <c r="B4125">
        <f t="shared" ca="1" si="194"/>
        <v>48450.652683621745</v>
      </c>
      <c r="C4125">
        <f t="shared" ca="1" si="192"/>
        <v>0</v>
      </c>
      <c r="D4125">
        <f t="shared" ca="1" si="193"/>
        <v>8450.6526836217454</v>
      </c>
    </row>
    <row r="4126" spans="2:4" x14ac:dyDescent="0.25">
      <c r="B4126">
        <f t="shared" ca="1" si="194"/>
        <v>42786.11655171297</v>
      </c>
      <c r="C4126">
        <f t="shared" ca="1" si="192"/>
        <v>0</v>
      </c>
      <c r="D4126">
        <f t="shared" ca="1" si="193"/>
        <v>2786.1165517129702</v>
      </c>
    </row>
    <row r="4127" spans="2:4" x14ac:dyDescent="0.25">
      <c r="B4127">
        <f t="shared" ca="1" si="194"/>
        <v>36508.599429695365</v>
      </c>
      <c r="C4127">
        <f t="shared" ca="1" si="192"/>
        <v>3491.400570304635</v>
      </c>
      <c r="D4127">
        <f t="shared" ca="1" si="193"/>
        <v>0</v>
      </c>
    </row>
    <row r="4128" spans="2:4" x14ac:dyDescent="0.25">
      <c r="B4128">
        <f t="shared" ca="1" si="194"/>
        <v>46061.649233314361</v>
      </c>
      <c r="C4128">
        <f t="shared" ca="1" si="192"/>
        <v>0</v>
      </c>
      <c r="D4128">
        <f t="shared" ca="1" si="193"/>
        <v>6061.6492333143615</v>
      </c>
    </row>
    <row r="4129" spans="2:4" x14ac:dyDescent="0.25">
      <c r="B4129">
        <f t="shared" ca="1" si="194"/>
        <v>42139.717246351756</v>
      </c>
      <c r="C4129">
        <f t="shared" ca="1" si="192"/>
        <v>0</v>
      </c>
      <c r="D4129">
        <f t="shared" ca="1" si="193"/>
        <v>2139.7172463517563</v>
      </c>
    </row>
    <row r="4130" spans="2:4" x14ac:dyDescent="0.25">
      <c r="B4130">
        <f t="shared" ca="1" si="194"/>
        <v>45254.822003259636</v>
      </c>
      <c r="C4130">
        <f t="shared" ca="1" si="192"/>
        <v>0</v>
      </c>
      <c r="D4130">
        <f t="shared" ca="1" si="193"/>
        <v>5254.8220032596364</v>
      </c>
    </row>
    <row r="4131" spans="2:4" x14ac:dyDescent="0.25">
      <c r="B4131">
        <f t="shared" ca="1" si="194"/>
        <v>43316.240295976728</v>
      </c>
      <c r="C4131">
        <f t="shared" ca="1" si="192"/>
        <v>0</v>
      </c>
      <c r="D4131">
        <f t="shared" ca="1" si="193"/>
        <v>3316.2402959767278</v>
      </c>
    </row>
    <row r="4132" spans="2:4" x14ac:dyDescent="0.25">
      <c r="B4132">
        <f t="shared" ca="1" si="194"/>
        <v>42453.481716793671</v>
      </c>
      <c r="C4132">
        <f t="shared" ca="1" si="192"/>
        <v>0</v>
      </c>
      <c r="D4132">
        <f t="shared" ca="1" si="193"/>
        <v>2453.4817167936708</v>
      </c>
    </row>
    <row r="4133" spans="2:4" x14ac:dyDescent="0.25">
      <c r="B4133">
        <f t="shared" ca="1" si="194"/>
        <v>38288.756618106054</v>
      </c>
      <c r="C4133">
        <f t="shared" ca="1" si="192"/>
        <v>1711.2433818939462</v>
      </c>
      <c r="D4133">
        <f t="shared" ca="1" si="193"/>
        <v>0</v>
      </c>
    </row>
    <row r="4134" spans="2:4" x14ac:dyDescent="0.25">
      <c r="B4134">
        <f t="shared" ca="1" si="194"/>
        <v>44296.059258945679</v>
      </c>
      <c r="C4134">
        <f t="shared" ca="1" si="192"/>
        <v>0</v>
      </c>
      <c r="D4134">
        <f t="shared" ca="1" si="193"/>
        <v>4296.0592589456792</v>
      </c>
    </row>
    <row r="4135" spans="2:4" x14ac:dyDescent="0.25">
      <c r="B4135">
        <f t="shared" ca="1" si="194"/>
        <v>45394.006414850759</v>
      </c>
      <c r="C4135">
        <f t="shared" ca="1" si="192"/>
        <v>0</v>
      </c>
      <c r="D4135">
        <f t="shared" ca="1" si="193"/>
        <v>5394.006414850759</v>
      </c>
    </row>
    <row r="4136" spans="2:4" x14ac:dyDescent="0.25">
      <c r="B4136">
        <f t="shared" ca="1" si="194"/>
        <v>48664.510271943516</v>
      </c>
      <c r="C4136">
        <f t="shared" ca="1" si="192"/>
        <v>0</v>
      </c>
      <c r="D4136">
        <f t="shared" ca="1" si="193"/>
        <v>8664.5102719435163</v>
      </c>
    </row>
    <row r="4137" spans="2:4" x14ac:dyDescent="0.25">
      <c r="B4137">
        <f t="shared" ca="1" si="194"/>
        <v>43632.67716744302</v>
      </c>
      <c r="C4137">
        <f t="shared" ca="1" si="192"/>
        <v>0</v>
      </c>
      <c r="D4137">
        <f t="shared" ca="1" si="193"/>
        <v>3632.6771674430202</v>
      </c>
    </row>
    <row r="4138" spans="2:4" x14ac:dyDescent="0.25">
      <c r="B4138">
        <f t="shared" ca="1" si="194"/>
        <v>41844.099716660101</v>
      </c>
      <c r="C4138">
        <f t="shared" ca="1" si="192"/>
        <v>0</v>
      </c>
      <c r="D4138">
        <f t="shared" ca="1" si="193"/>
        <v>1844.099716660101</v>
      </c>
    </row>
    <row r="4139" spans="2:4" x14ac:dyDescent="0.25">
      <c r="B4139">
        <f t="shared" ca="1" si="194"/>
        <v>39197.183558104538</v>
      </c>
      <c r="C4139">
        <f t="shared" ca="1" si="192"/>
        <v>802.81644189546205</v>
      </c>
      <c r="D4139">
        <f t="shared" ca="1" si="193"/>
        <v>0</v>
      </c>
    </row>
    <row r="4140" spans="2:4" x14ac:dyDescent="0.25">
      <c r="B4140">
        <f t="shared" ca="1" si="194"/>
        <v>46773.896353960656</v>
      </c>
      <c r="C4140">
        <f t="shared" ca="1" si="192"/>
        <v>0</v>
      </c>
      <c r="D4140">
        <f t="shared" ca="1" si="193"/>
        <v>6773.8963539606557</v>
      </c>
    </row>
    <row r="4141" spans="2:4" x14ac:dyDescent="0.25">
      <c r="B4141">
        <f t="shared" ca="1" si="194"/>
        <v>47702.1895649008</v>
      </c>
      <c r="C4141">
        <f t="shared" ca="1" si="192"/>
        <v>0</v>
      </c>
      <c r="D4141">
        <f t="shared" ca="1" si="193"/>
        <v>7702.1895649008002</v>
      </c>
    </row>
    <row r="4142" spans="2:4" x14ac:dyDescent="0.25">
      <c r="B4142">
        <f t="shared" ca="1" si="194"/>
        <v>47271.706800996828</v>
      </c>
      <c r="C4142">
        <f t="shared" ca="1" si="192"/>
        <v>0</v>
      </c>
      <c r="D4142">
        <f t="shared" ca="1" si="193"/>
        <v>7271.706800996828</v>
      </c>
    </row>
    <row r="4143" spans="2:4" x14ac:dyDescent="0.25">
      <c r="B4143">
        <f t="shared" ca="1" si="194"/>
        <v>45099.811687526177</v>
      </c>
      <c r="C4143">
        <f t="shared" ca="1" si="192"/>
        <v>0</v>
      </c>
      <c r="D4143">
        <f t="shared" ca="1" si="193"/>
        <v>5099.8116875261767</v>
      </c>
    </row>
    <row r="4144" spans="2:4" x14ac:dyDescent="0.25">
      <c r="B4144">
        <f t="shared" ca="1" si="194"/>
        <v>45215.625701717516</v>
      </c>
      <c r="C4144">
        <f t="shared" ca="1" si="192"/>
        <v>0</v>
      </c>
      <c r="D4144">
        <f t="shared" ca="1" si="193"/>
        <v>5215.6257017175158</v>
      </c>
    </row>
    <row r="4145" spans="2:4" x14ac:dyDescent="0.25">
      <c r="B4145">
        <f t="shared" ca="1" si="194"/>
        <v>49385.097256196859</v>
      </c>
      <c r="C4145">
        <f t="shared" ca="1" si="192"/>
        <v>0</v>
      </c>
      <c r="D4145">
        <f t="shared" ca="1" si="193"/>
        <v>9385.0972561968592</v>
      </c>
    </row>
    <row r="4146" spans="2:4" x14ac:dyDescent="0.25">
      <c r="B4146">
        <f t="shared" ca="1" si="194"/>
        <v>44135.962086059058</v>
      </c>
      <c r="C4146">
        <f t="shared" ca="1" si="192"/>
        <v>0</v>
      </c>
      <c r="D4146">
        <f t="shared" ca="1" si="193"/>
        <v>4135.9620860590585</v>
      </c>
    </row>
    <row r="4147" spans="2:4" x14ac:dyDescent="0.25">
      <c r="B4147">
        <f t="shared" ca="1" si="194"/>
        <v>45709.52822314138</v>
      </c>
      <c r="C4147">
        <f t="shared" ca="1" si="192"/>
        <v>0</v>
      </c>
      <c r="D4147">
        <f t="shared" ca="1" si="193"/>
        <v>5709.5282231413803</v>
      </c>
    </row>
    <row r="4148" spans="2:4" x14ac:dyDescent="0.25">
      <c r="B4148">
        <f t="shared" ca="1" si="194"/>
        <v>43526.286832687263</v>
      </c>
      <c r="C4148">
        <f t="shared" ca="1" si="192"/>
        <v>0</v>
      </c>
      <c r="D4148">
        <f t="shared" ca="1" si="193"/>
        <v>3526.2868326872631</v>
      </c>
    </row>
    <row r="4149" spans="2:4" x14ac:dyDescent="0.25">
      <c r="B4149">
        <f t="shared" ca="1" si="194"/>
        <v>48026.368277759153</v>
      </c>
      <c r="C4149">
        <f t="shared" ca="1" si="192"/>
        <v>0</v>
      </c>
      <c r="D4149">
        <f t="shared" ca="1" si="193"/>
        <v>8026.368277759153</v>
      </c>
    </row>
    <row r="4150" spans="2:4" x14ac:dyDescent="0.25">
      <c r="B4150">
        <f t="shared" ca="1" si="194"/>
        <v>48994.382232046963</v>
      </c>
      <c r="C4150">
        <f t="shared" ca="1" si="192"/>
        <v>0</v>
      </c>
      <c r="D4150">
        <f t="shared" ca="1" si="193"/>
        <v>8994.3822320469626</v>
      </c>
    </row>
    <row r="4151" spans="2:4" x14ac:dyDescent="0.25">
      <c r="B4151">
        <f t="shared" ca="1" si="194"/>
        <v>41653.644049205017</v>
      </c>
      <c r="C4151">
        <f t="shared" ca="1" si="192"/>
        <v>0</v>
      </c>
      <c r="D4151">
        <f t="shared" ca="1" si="193"/>
        <v>1653.6440492050169</v>
      </c>
    </row>
    <row r="4152" spans="2:4" x14ac:dyDescent="0.25">
      <c r="B4152">
        <f t="shared" ca="1" si="194"/>
        <v>40406.227301147061</v>
      </c>
      <c r="C4152">
        <f t="shared" ca="1" si="192"/>
        <v>0</v>
      </c>
      <c r="D4152">
        <f t="shared" ca="1" si="193"/>
        <v>406.22730114706064</v>
      </c>
    </row>
    <row r="4153" spans="2:4" x14ac:dyDescent="0.25">
      <c r="B4153">
        <f t="shared" ca="1" si="194"/>
        <v>41689.354174142471</v>
      </c>
      <c r="C4153">
        <f t="shared" ca="1" si="192"/>
        <v>0</v>
      </c>
      <c r="D4153">
        <f t="shared" ca="1" si="193"/>
        <v>1689.3541741424706</v>
      </c>
    </row>
    <row r="4154" spans="2:4" x14ac:dyDescent="0.25">
      <c r="B4154">
        <f t="shared" ca="1" si="194"/>
        <v>41550.739436770062</v>
      </c>
      <c r="C4154">
        <f t="shared" ca="1" si="192"/>
        <v>0</v>
      </c>
      <c r="D4154">
        <f t="shared" ca="1" si="193"/>
        <v>1550.7394367700617</v>
      </c>
    </row>
    <row r="4155" spans="2:4" x14ac:dyDescent="0.25">
      <c r="B4155">
        <f t="shared" ca="1" si="194"/>
        <v>42060.529268739789</v>
      </c>
      <c r="C4155">
        <f t="shared" ca="1" si="192"/>
        <v>0</v>
      </c>
      <c r="D4155">
        <f t="shared" ca="1" si="193"/>
        <v>2060.5292687397887</v>
      </c>
    </row>
    <row r="4156" spans="2:4" x14ac:dyDescent="0.25">
      <c r="B4156">
        <f t="shared" ca="1" si="194"/>
        <v>43915.363602251964</v>
      </c>
      <c r="C4156">
        <f t="shared" ca="1" si="192"/>
        <v>0</v>
      </c>
      <c r="D4156">
        <f t="shared" ca="1" si="193"/>
        <v>3915.363602251964</v>
      </c>
    </row>
    <row r="4157" spans="2:4" x14ac:dyDescent="0.25">
      <c r="B4157">
        <f t="shared" ca="1" si="194"/>
        <v>39576.290147942018</v>
      </c>
      <c r="C4157">
        <f t="shared" ca="1" si="192"/>
        <v>423.70985205798206</v>
      </c>
      <c r="D4157">
        <f t="shared" ca="1" si="193"/>
        <v>0</v>
      </c>
    </row>
    <row r="4158" spans="2:4" x14ac:dyDescent="0.25">
      <c r="B4158">
        <f t="shared" ca="1" si="194"/>
        <v>58070.313488873799</v>
      </c>
      <c r="C4158">
        <f t="shared" ca="1" si="192"/>
        <v>0</v>
      </c>
      <c r="D4158">
        <f t="shared" ca="1" si="193"/>
        <v>18070.313488873799</v>
      </c>
    </row>
    <row r="4159" spans="2:4" x14ac:dyDescent="0.25">
      <c r="B4159">
        <f t="shared" ca="1" si="194"/>
        <v>42383.84088713189</v>
      </c>
      <c r="C4159">
        <f t="shared" ca="1" si="192"/>
        <v>0</v>
      </c>
      <c r="D4159">
        <f t="shared" ca="1" si="193"/>
        <v>2383.8408871318898</v>
      </c>
    </row>
    <row r="4160" spans="2:4" x14ac:dyDescent="0.25">
      <c r="B4160">
        <f t="shared" ca="1" si="194"/>
        <v>36235.49737969102</v>
      </c>
      <c r="C4160">
        <f t="shared" ca="1" si="192"/>
        <v>3764.5026203089801</v>
      </c>
      <c r="D4160">
        <f t="shared" ca="1" si="193"/>
        <v>0</v>
      </c>
    </row>
    <row r="4161" spans="2:4" x14ac:dyDescent="0.25">
      <c r="B4161">
        <f t="shared" ca="1" si="194"/>
        <v>48844.121505176299</v>
      </c>
      <c r="C4161">
        <f t="shared" ca="1" si="192"/>
        <v>0</v>
      </c>
      <c r="D4161">
        <f t="shared" ca="1" si="193"/>
        <v>8844.1215051762993</v>
      </c>
    </row>
    <row r="4162" spans="2:4" x14ac:dyDescent="0.25">
      <c r="B4162">
        <f t="shared" ca="1" si="194"/>
        <v>46066.826785457364</v>
      </c>
      <c r="C4162">
        <f t="shared" ca="1" si="192"/>
        <v>0</v>
      </c>
      <c r="D4162">
        <f t="shared" ca="1" si="193"/>
        <v>6066.8267854573642</v>
      </c>
    </row>
    <row r="4163" spans="2:4" x14ac:dyDescent="0.25">
      <c r="B4163">
        <f t="shared" ca="1" si="194"/>
        <v>48706.473450008532</v>
      </c>
      <c r="C4163">
        <f t="shared" ca="1" si="192"/>
        <v>0</v>
      </c>
      <c r="D4163">
        <f t="shared" ca="1" si="193"/>
        <v>8706.4734500085324</v>
      </c>
    </row>
    <row r="4164" spans="2:4" x14ac:dyDescent="0.25">
      <c r="B4164">
        <f t="shared" ca="1" si="194"/>
        <v>48170.493946887502</v>
      </c>
      <c r="C4164">
        <f t="shared" ca="1" si="192"/>
        <v>0</v>
      </c>
      <c r="D4164">
        <f t="shared" ca="1" si="193"/>
        <v>8170.4939468875018</v>
      </c>
    </row>
    <row r="4165" spans="2:4" x14ac:dyDescent="0.25">
      <c r="B4165">
        <f t="shared" ca="1" si="194"/>
        <v>47391.232757859369</v>
      </c>
      <c r="C4165">
        <f t="shared" ca="1" si="192"/>
        <v>0</v>
      </c>
      <c r="D4165">
        <f t="shared" ca="1" si="193"/>
        <v>7391.2327578593686</v>
      </c>
    </row>
    <row r="4166" spans="2:4" x14ac:dyDescent="0.25">
      <c r="B4166">
        <f t="shared" ca="1" si="194"/>
        <v>52784.126702496163</v>
      </c>
      <c r="C4166">
        <f t="shared" ca="1" si="192"/>
        <v>0</v>
      </c>
      <c r="D4166">
        <f t="shared" ca="1" si="193"/>
        <v>12784.126702496163</v>
      </c>
    </row>
    <row r="4167" spans="2:4" x14ac:dyDescent="0.25">
      <c r="B4167">
        <f t="shared" ca="1" si="194"/>
        <v>42977.029030859427</v>
      </c>
      <c r="C4167">
        <f t="shared" ca="1" si="192"/>
        <v>0</v>
      </c>
      <c r="D4167">
        <f t="shared" ca="1" si="193"/>
        <v>2977.0290308594267</v>
      </c>
    </row>
    <row r="4168" spans="2:4" x14ac:dyDescent="0.25">
      <c r="B4168">
        <f t="shared" ca="1" si="194"/>
        <v>49287.155660225559</v>
      </c>
      <c r="C4168">
        <f t="shared" ca="1" si="192"/>
        <v>0</v>
      </c>
      <c r="D4168">
        <f t="shared" ca="1" si="193"/>
        <v>9287.1556602255587</v>
      </c>
    </row>
    <row r="4169" spans="2:4" x14ac:dyDescent="0.25">
      <c r="B4169">
        <f t="shared" ca="1" si="194"/>
        <v>45134.532652822963</v>
      </c>
      <c r="C4169">
        <f t="shared" ca="1" si="192"/>
        <v>0</v>
      </c>
      <c r="D4169">
        <f t="shared" ca="1" si="193"/>
        <v>5134.5326528229634</v>
      </c>
    </row>
    <row r="4170" spans="2:4" x14ac:dyDescent="0.25">
      <c r="B4170">
        <f t="shared" ca="1" si="194"/>
        <v>46845.630873252674</v>
      </c>
      <c r="C4170">
        <f t="shared" ca="1" si="192"/>
        <v>0</v>
      </c>
      <c r="D4170">
        <f t="shared" ca="1" si="193"/>
        <v>6845.6308732526741</v>
      </c>
    </row>
    <row r="4171" spans="2:4" x14ac:dyDescent="0.25">
      <c r="B4171">
        <f t="shared" ca="1" si="194"/>
        <v>46764.794961885695</v>
      </c>
      <c r="C4171">
        <f t="shared" ca="1" si="192"/>
        <v>0</v>
      </c>
      <c r="D4171">
        <f t="shared" ca="1" si="193"/>
        <v>6764.7949618856946</v>
      </c>
    </row>
    <row r="4172" spans="2:4" x14ac:dyDescent="0.25">
      <c r="B4172">
        <f t="shared" ca="1" si="194"/>
        <v>43332.923567837861</v>
      </c>
      <c r="C4172">
        <f t="shared" ref="C4172:C4235" ca="1" si="195">IF(MAX($B$2-B4172)&lt;0,0,$B$2-B4172)</f>
        <v>0</v>
      </c>
      <c r="D4172">
        <f t="shared" ref="D4172:D4235" ca="1" si="196">IF(MAX(B4172-$B$2)&lt;0,0,B4172-$B$2)</f>
        <v>3332.9235678378609</v>
      </c>
    </row>
    <row r="4173" spans="2:4" x14ac:dyDescent="0.25">
      <c r="B4173">
        <f t="shared" ref="B4173:B4236" ca="1" si="197">$B$1*EXP((($B$4-($B$3^2)/2)*$B$5+$B$3*SQRT($B$5)*NORMSINV(RAND())))</f>
        <v>41609.96187464297</v>
      </c>
      <c r="C4173">
        <f t="shared" ca="1" si="195"/>
        <v>0</v>
      </c>
      <c r="D4173">
        <f t="shared" ca="1" si="196"/>
        <v>1609.9618746429696</v>
      </c>
    </row>
    <row r="4174" spans="2:4" x14ac:dyDescent="0.25">
      <c r="B4174">
        <f t="shared" ca="1" si="197"/>
        <v>45717.47714369373</v>
      </c>
      <c r="C4174">
        <f t="shared" ca="1" si="195"/>
        <v>0</v>
      </c>
      <c r="D4174">
        <f t="shared" ca="1" si="196"/>
        <v>5717.4771436937299</v>
      </c>
    </row>
    <row r="4175" spans="2:4" x14ac:dyDescent="0.25">
      <c r="B4175">
        <f t="shared" ca="1" si="197"/>
        <v>49482.629150570458</v>
      </c>
      <c r="C4175">
        <f t="shared" ca="1" si="195"/>
        <v>0</v>
      </c>
      <c r="D4175">
        <f t="shared" ca="1" si="196"/>
        <v>9482.6291505704576</v>
      </c>
    </row>
    <row r="4176" spans="2:4" x14ac:dyDescent="0.25">
      <c r="B4176">
        <f t="shared" ca="1" si="197"/>
        <v>41012.255245456465</v>
      </c>
      <c r="C4176">
        <f t="shared" ca="1" si="195"/>
        <v>0</v>
      </c>
      <c r="D4176">
        <f t="shared" ca="1" si="196"/>
        <v>1012.2552454564648</v>
      </c>
    </row>
    <row r="4177" spans="2:4" x14ac:dyDescent="0.25">
      <c r="B4177">
        <f t="shared" ca="1" si="197"/>
        <v>44090.804855924172</v>
      </c>
      <c r="C4177">
        <f t="shared" ca="1" si="195"/>
        <v>0</v>
      </c>
      <c r="D4177">
        <f t="shared" ca="1" si="196"/>
        <v>4090.8048559241724</v>
      </c>
    </row>
    <row r="4178" spans="2:4" x14ac:dyDescent="0.25">
      <c r="B4178">
        <f t="shared" ca="1" si="197"/>
        <v>49582.530535847676</v>
      </c>
      <c r="C4178">
        <f t="shared" ca="1" si="195"/>
        <v>0</v>
      </c>
      <c r="D4178">
        <f t="shared" ca="1" si="196"/>
        <v>9582.5305358476762</v>
      </c>
    </row>
    <row r="4179" spans="2:4" x14ac:dyDescent="0.25">
      <c r="B4179">
        <f t="shared" ca="1" si="197"/>
        <v>42295.243168455418</v>
      </c>
      <c r="C4179">
        <f t="shared" ca="1" si="195"/>
        <v>0</v>
      </c>
      <c r="D4179">
        <f t="shared" ca="1" si="196"/>
        <v>2295.2431684554176</v>
      </c>
    </row>
    <row r="4180" spans="2:4" x14ac:dyDescent="0.25">
      <c r="B4180">
        <f t="shared" ca="1" si="197"/>
        <v>44141.706431736544</v>
      </c>
      <c r="C4180">
        <f t="shared" ca="1" si="195"/>
        <v>0</v>
      </c>
      <c r="D4180">
        <f t="shared" ca="1" si="196"/>
        <v>4141.7064317365439</v>
      </c>
    </row>
    <row r="4181" spans="2:4" x14ac:dyDescent="0.25">
      <c r="B4181">
        <f t="shared" ca="1" si="197"/>
        <v>44631.215165418507</v>
      </c>
      <c r="C4181">
        <f t="shared" ca="1" si="195"/>
        <v>0</v>
      </c>
      <c r="D4181">
        <f t="shared" ca="1" si="196"/>
        <v>4631.2151654185072</v>
      </c>
    </row>
    <row r="4182" spans="2:4" x14ac:dyDescent="0.25">
      <c r="B4182">
        <f t="shared" ca="1" si="197"/>
        <v>47146.319564397221</v>
      </c>
      <c r="C4182">
        <f t="shared" ca="1" si="195"/>
        <v>0</v>
      </c>
      <c r="D4182">
        <f t="shared" ca="1" si="196"/>
        <v>7146.3195643972213</v>
      </c>
    </row>
    <row r="4183" spans="2:4" x14ac:dyDescent="0.25">
      <c r="B4183">
        <f t="shared" ca="1" si="197"/>
        <v>45477.261330948095</v>
      </c>
      <c r="C4183">
        <f t="shared" ca="1" si="195"/>
        <v>0</v>
      </c>
      <c r="D4183">
        <f t="shared" ca="1" si="196"/>
        <v>5477.2613309480948</v>
      </c>
    </row>
    <row r="4184" spans="2:4" x14ac:dyDescent="0.25">
      <c r="B4184">
        <f t="shared" ca="1" si="197"/>
        <v>51329.550172735631</v>
      </c>
      <c r="C4184">
        <f t="shared" ca="1" si="195"/>
        <v>0</v>
      </c>
      <c r="D4184">
        <f t="shared" ca="1" si="196"/>
        <v>11329.550172735631</v>
      </c>
    </row>
    <row r="4185" spans="2:4" x14ac:dyDescent="0.25">
      <c r="B4185">
        <f t="shared" ca="1" si="197"/>
        <v>45260.431720107343</v>
      </c>
      <c r="C4185">
        <f t="shared" ca="1" si="195"/>
        <v>0</v>
      </c>
      <c r="D4185">
        <f t="shared" ca="1" si="196"/>
        <v>5260.4317201073427</v>
      </c>
    </row>
    <row r="4186" spans="2:4" x14ac:dyDescent="0.25">
      <c r="B4186">
        <f t="shared" ca="1" si="197"/>
        <v>38770.541638408882</v>
      </c>
      <c r="C4186">
        <f t="shared" ca="1" si="195"/>
        <v>1229.4583615911179</v>
      </c>
      <c r="D4186">
        <f t="shared" ca="1" si="196"/>
        <v>0</v>
      </c>
    </row>
    <row r="4187" spans="2:4" x14ac:dyDescent="0.25">
      <c r="B4187">
        <f t="shared" ca="1" si="197"/>
        <v>46543.496536291801</v>
      </c>
      <c r="C4187">
        <f t="shared" ca="1" si="195"/>
        <v>0</v>
      </c>
      <c r="D4187">
        <f t="shared" ca="1" si="196"/>
        <v>6543.496536291801</v>
      </c>
    </row>
    <row r="4188" spans="2:4" x14ac:dyDescent="0.25">
      <c r="B4188">
        <f t="shared" ca="1" si="197"/>
        <v>42868.679316325331</v>
      </c>
      <c r="C4188">
        <f t="shared" ca="1" si="195"/>
        <v>0</v>
      </c>
      <c r="D4188">
        <f t="shared" ca="1" si="196"/>
        <v>2868.6793163253315</v>
      </c>
    </row>
    <row r="4189" spans="2:4" x14ac:dyDescent="0.25">
      <c r="B4189">
        <f t="shared" ca="1" si="197"/>
        <v>50202.641910076461</v>
      </c>
      <c r="C4189">
        <f t="shared" ca="1" si="195"/>
        <v>0</v>
      </c>
      <c r="D4189">
        <f t="shared" ca="1" si="196"/>
        <v>10202.641910076461</v>
      </c>
    </row>
    <row r="4190" spans="2:4" x14ac:dyDescent="0.25">
      <c r="B4190">
        <f t="shared" ca="1" si="197"/>
        <v>45682.274157493019</v>
      </c>
      <c r="C4190">
        <f t="shared" ca="1" si="195"/>
        <v>0</v>
      </c>
      <c r="D4190">
        <f t="shared" ca="1" si="196"/>
        <v>5682.2741574930187</v>
      </c>
    </row>
    <row r="4191" spans="2:4" x14ac:dyDescent="0.25">
      <c r="B4191">
        <f t="shared" ca="1" si="197"/>
        <v>42363.932632630356</v>
      </c>
      <c r="C4191">
        <f t="shared" ca="1" si="195"/>
        <v>0</v>
      </c>
      <c r="D4191">
        <f t="shared" ca="1" si="196"/>
        <v>2363.9326326303562</v>
      </c>
    </row>
    <row r="4192" spans="2:4" x14ac:dyDescent="0.25">
      <c r="B4192">
        <f t="shared" ca="1" si="197"/>
        <v>45572.141543373473</v>
      </c>
      <c r="C4192">
        <f t="shared" ca="1" si="195"/>
        <v>0</v>
      </c>
      <c r="D4192">
        <f t="shared" ca="1" si="196"/>
        <v>5572.1415433734728</v>
      </c>
    </row>
    <row r="4193" spans="2:4" x14ac:dyDescent="0.25">
      <c r="B4193">
        <f t="shared" ca="1" si="197"/>
        <v>39806.905481585251</v>
      </c>
      <c r="C4193">
        <f t="shared" ca="1" si="195"/>
        <v>193.09451841474947</v>
      </c>
      <c r="D4193">
        <f t="shared" ca="1" si="196"/>
        <v>0</v>
      </c>
    </row>
    <row r="4194" spans="2:4" x14ac:dyDescent="0.25">
      <c r="B4194">
        <f t="shared" ca="1" si="197"/>
        <v>48024.431220621773</v>
      </c>
      <c r="C4194">
        <f t="shared" ca="1" si="195"/>
        <v>0</v>
      </c>
      <c r="D4194">
        <f t="shared" ca="1" si="196"/>
        <v>8024.4312206217728</v>
      </c>
    </row>
    <row r="4195" spans="2:4" x14ac:dyDescent="0.25">
      <c r="B4195">
        <f t="shared" ca="1" si="197"/>
        <v>45079.590634248467</v>
      </c>
      <c r="C4195">
        <f t="shared" ca="1" si="195"/>
        <v>0</v>
      </c>
      <c r="D4195">
        <f t="shared" ca="1" si="196"/>
        <v>5079.5906342484668</v>
      </c>
    </row>
    <row r="4196" spans="2:4" x14ac:dyDescent="0.25">
      <c r="B4196">
        <f t="shared" ca="1" si="197"/>
        <v>48148.366497297589</v>
      </c>
      <c r="C4196">
        <f t="shared" ca="1" si="195"/>
        <v>0</v>
      </c>
      <c r="D4196">
        <f t="shared" ca="1" si="196"/>
        <v>8148.3664972975894</v>
      </c>
    </row>
    <row r="4197" spans="2:4" x14ac:dyDescent="0.25">
      <c r="B4197">
        <f t="shared" ca="1" si="197"/>
        <v>46597.019896673199</v>
      </c>
      <c r="C4197">
        <f t="shared" ca="1" si="195"/>
        <v>0</v>
      </c>
      <c r="D4197">
        <f t="shared" ca="1" si="196"/>
        <v>6597.0198966731987</v>
      </c>
    </row>
    <row r="4198" spans="2:4" x14ac:dyDescent="0.25">
      <c r="B4198">
        <f t="shared" ca="1" si="197"/>
        <v>48742.156679727057</v>
      </c>
      <c r="C4198">
        <f t="shared" ca="1" si="195"/>
        <v>0</v>
      </c>
      <c r="D4198">
        <f t="shared" ca="1" si="196"/>
        <v>8742.1566797270571</v>
      </c>
    </row>
    <row r="4199" spans="2:4" x14ac:dyDescent="0.25">
      <c r="B4199">
        <f t="shared" ca="1" si="197"/>
        <v>43491.376708105781</v>
      </c>
      <c r="C4199">
        <f t="shared" ca="1" si="195"/>
        <v>0</v>
      </c>
      <c r="D4199">
        <f t="shared" ca="1" si="196"/>
        <v>3491.3767081057813</v>
      </c>
    </row>
    <row r="4200" spans="2:4" x14ac:dyDescent="0.25">
      <c r="B4200">
        <f t="shared" ca="1" si="197"/>
        <v>46474.664576809446</v>
      </c>
      <c r="C4200">
        <f t="shared" ca="1" si="195"/>
        <v>0</v>
      </c>
      <c r="D4200">
        <f t="shared" ca="1" si="196"/>
        <v>6474.6645768094459</v>
      </c>
    </row>
    <row r="4201" spans="2:4" x14ac:dyDescent="0.25">
      <c r="B4201">
        <f t="shared" ca="1" si="197"/>
        <v>54832.1708714505</v>
      </c>
      <c r="C4201">
        <f t="shared" ca="1" si="195"/>
        <v>0</v>
      </c>
      <c r="D4201">
        <f t="shared" ca="1" si="196"/>
        <v>14832.1708714505</v>
      </c>
    </row>
    <row r="4202" spans="2:4" x14ac:dyDescent="0.25">
      <c r="B4202">
        <f t="shared" ca="1" si="197"/>
        <v>44998.661760143419</v>
      </c>
      <c r="C4202">
        <f t="shared" ca="1" si="195"/>
        <v>0</v>
      </c>
      <c r="D4202">
        <f t="shared" ca="1" si="196"/>
        <v>4998.6617601434191</v>
      </c>
    </row>
    <row r="4203" spans="2:4" x14ac:dyDescent="0.25">
      <c r="B4203">
        <f t="shared" ca="1" si="197"/>
        <v>47098.585634708594</v>
      </c>
      <c r="C4203">
        <f t="shared" ca="1" si="195"/>
        <v>0</v>
      </c>
      <c r="D4203">
        <f t="shared" ca="1" si="196"/>
        <v>7098.5856347085937</v>
      </c>
    </row>
    <row r="4204" spans="2:4" x14ac:dyDescent="0.25">
      <c r="B4204">
        <f t="shared" ca="1" si="197"/>
        <v>46594.571623393203</v>
      </c>
      <c r="C4204">
        <f t="shared" ca="1" si="195"/>
        <v>0</v>
      </c>
      <c r="D4204">
        <f t="shared" ca="1" si="196"/>
        <v>6594.5716233932035</v>
      </c>
    </row>
    <row r="4205" spans="2:4" x14ac:dyDescent="0.25">
      <c r="B4205">
        <f t="shared" ca="1" si="197"/>
        <v>45280.745471712318</v>
      </c>
      <c r="C4205">
        <f t="shared" ca="1" si="195"/>
        <v>0</v>
      </c>
      <c r="D4205">
        <f t="shared" ca="1" si="196"/>
        <v>5280.7454717123182</v>
      </c>
    </row>
    <row r="4206" spans="2:4" x14ac:dyDescent="0.25">
      <c r="B4206">
        <f t="shared" ca="1" si="197"/>
        <v>50521.059042210029</v>
      </c>
      <c r="C4206">
        <f t="shared" ca="1" si="195"/>
        <v>0</v>
      </c>
      <c r="D4206">
        <f t="shared" ca="1" si="196"/>
        <v>10521.059042210029</v>
      </c>
    </row>
    <row r="4207" spans="2:4" x14ac:dyDescent="0.25">
      <c r="B4207">
        <f t="shared" ca="1" si="197"/>
        <v>40655.905138900285</v>
      </c>
      <c r="C4207">
        <f t="shared" ca="1" si="195"/>
        <v>0</v>
      </c>
      <c r="D4207">
        <f t="shared" ca="1" si="196"/>
        <v>655.90513890028524</v>
      </c>
    </row>
    <row r="4208" spans="2:4" x14ac:dyDescent="0.25">
      <c r="B4208">
        <f t="shared" ca="1" si="197"/>
        <v>46441.969332125678</v>
      </c>
      <c r="C4208">
        <f t="shared" ca="1" si="195"/>
        <v>0</v>
      </c>
      <c r="D4208">
        <f t="shared" ca="1" si="196"/>
        <v>6441.9693321256782</v>
      </c>
    </row>
    <row r="4209" spans="2:4" x14ac:dyDescent="0.25">
      <c r="B4209">
        <f t="shared" ca="1" si="197"/>
        <v>45343.21540093654</v>
      </c>
      <c r="C4209">
        <f t="shared" ca="1" si="195"/>
        <v>0</v>
      </c>
      <c r="D4209">
        <f t="shared" ca="1" si="196"/>
        <v>5343.2154009365404</v>
      </c>
    </row>
    <row r="4210" spans="2:4" x14ac:dyDescent="0.25">
      <c r="B4210">
        <f t="shared" ca="1" si="197"/>
        <v>48516.546597920831</v>
      </c>
      <c r="C4210">
        <f t="shared" ca="1" si="195"/>
        <v>0</v>
      </c>
      <c r="D4210">
        <f t="shared" ca="1" si="196"/>
        <v>8516.5465979208311</v>
      </c>
    </row>
    <row r="4211" spans="2:4" x14ac:dyDescent="0.25">
      <c r="B4211">
        <f t="shared" ca="1" si="197"/>
        <v>48650.489752587717</v>
      </c>
      <c r="C4211">
        <f t="shared" ca="1" si="195"/>
        <v>0</v>
      </c>
      <c r="D4211">
        <f t="shared" ca="1" si="196"/>
        <v>8650.4897525877168</v>
      </c>
    </row>
    <row r="4212" spans="2:4" x14ac:dyDescent="0.25">
      <c r="B4212">
        <f t="shared" ca="1" si="197"/>
        <v>39786.047133335829</v>
      </c>
      <c r="C4212">
        <f t="shared" ca="1" si="195"/>
        <v>213.95286666417087</v>
      </c>
      <c r="D4212">
        <f t="shared" ca="1" si="196"/>
        <v>0</v>
      </c>
    </row>
    <row r="4213" spans="2:4" x14ac:dyDescent="0.25">
      <c r="B4213">
        <f t="shared" ca="1" si="197"/>
        <v>50233.236675982087</v>
      </c>
      <c r="C4213">
        <f t="shared" ca="1" si="195"/>
        <v>0</v>
      </c>
      <c r="D4213">
        <f t="shared" ca="1" si="196"/>
        <v>10233.236675982087</v>
      </c>
    </row>
    <row r="4214" spans="2:4" x14ac:dyDescent="0.25">
      <c r="B4214">
        <f t="shared" ca="1" si="197"/>
        <v>52715.696006849554</v>
      </c>
      <c r="C4214">
        <f t="shared" ca="1" si="195"/>
        <v>0</v>
      </c>
      <c r="D4214">
        <f t="shared" ca="1" si="196"/>
        <v>12715.696006849554</v>
      </c>
    </row>
    <row r="4215" spans="2:4" x14ac:dyDescent="0.25">
      <c r="B4215">
        <f t="shared" ca="1" si="197"/>
        <v>46651.634291474744</v>
      </c>
      <c r="C4215">
        <f t="shared" ca="1" si="195"/>
        <v>0</v>
      </c>
      <c r="D4215">
        <f t="shared" ca="1" si="196"/>
        <v>6651.6342914747438</v>
      </c>
    </row>
    <row r="4216" spans="2:4" x14ac:dyDescent="0.25">
      <c r="B4216">
        <f t="shared" ca="1" si="197"/>
        <v>42265.627622130807</v>
      </c>
      <c r="C4216">
        <f t="shared" ca="1" si="195"/>
        <v>0</v>
      </c>
      <c r="D4216">
        <f t="shared" ca="1" si="196"/>
        <v>2265.6276221308071</v>
      </c>
    </row>
    <row r="4217" spans="2:4" x14ac:dyDescent="0.25">
      <c r="B4217">
        <f t="shared" ca="1" si="197"/>
        <v>47016.242324453509</v>
      </c>
      <c r="C4217">
        <f t="shared" ca="1" si="195"/>
        <v>0</v>
      </c>
      <c r="D4217">
        <f t="shared" ca="1" si="196"/>
        <v>7016.2423244535094</v>
      </c>
    </row>
    <row r="4218" spans="2:4" x14ac:dyDescent="0.25">
      <c r="B4218">
        <f t="shared" ca="1" si="197"/>
        <v>54020.896716557145</v>
      </c>
      <c r="C4218">
        <f t="shared" ca="1" si="195"/>
        <v>0</v>
      </c>
      <c r="D4218">
        <f t="shared" ca="1" si="196"/>
        <v>14020.896716557145</v>
      </c>
    </row>
    <row r="4219" spans="2:4" x14ac:dyDescent="0.25">
      <c r="B4219">
        <f t="shared" ca="1" si="197"/>
        <v>60827.257560194754</v>
      </c>
      <c r="C4219">
        <f t="shared" ca="1" si="195"/>
        <v>0</v>
      </c>
      <c r="D4219">
        <f t="shared" ca="1" si="196"/>
        <v>20827.257560194754</v>
      </c>
    </row>
    <row r="4220" spans="2:4" x14ac:dyDescent="0.25">
      <c r="B4220">
        <f t="shared" ca="1" si="197"/>
        <v>45114.213420254135</v>
      </c>
      <c r="C4220">
        <f t="shared" ca="1" si="195"/>
        <v>0</v>
      </c>
      <c r="D4220">
        <f t="shared" ca="1" si="196"/>
        <v>5114.2134202541347</v>
      </c>
    </row>
    <row r="4221" spans="2:4" x14ac:dyDescent="0.25">
      <c r="B4221">
        <f t="shared" ca="1" si="197"/>
        <v>44854.702302795013</v>
      </c>
      <c r="C4221">
        <f t="shared" ca="1" si="195"/>
        <v>0</v>
      </c>
      <c r="D4221">
        <f t="shared" ca="1" si="196"/>
        <v>4854.7023027950127</v>
      </c>
    </row>
    <row r="4222" spans="2:4" x14ac:dyDescent="0.25">
      <c r="B4222">
        <f t="shared" ca="1" si="197"/>
        <v>37347.000636967059</v>
      </c>
      <c r="C4222">
        <f t="shared" ca="1" si="195"/>
        <v>2652.9993630329409</v>
      </c>
      <c r="D4222">
        <f t="shared" ca="1" si="196"/>
        <v>0</v>
      </c>
    </row>
    <row r="4223" spans="2:4" x14ac:dyDescent="0.25">
      <c r="B4223">
        <f t="shared" ca="1" si="197"/>
        <v>45324.178285989903</v>
      </c>
      <c r="C4223">
        <f t="shared" ca="1" si="195"/>
        <v>0</v>
      </c>
      <c r="D4223">
        <f t="shared" ca="1" si="196"/>
        <v>5324.1782859899031</v>
      </c>
    </row>
    <row r="4224" spans="2:4" x14ac:dyDescent="0.25">
      <c r="B4224">
        <f t="shared" ca="1" si="197"/>
        <v>47087.044655867358</v>
      </c>
      <c r="C4224">
        <f t="shared" ca="1" si="195"/>
        <v>0</v>
      </c>
      <c r="D4224">
        <f t="shared" ca="1" si="196"/>
        <v>7087.0446558673575</v>
      </c>
    </row>
    <row r="4225" spans="2:4" x14ac:dyDescent="0.25">
      <c r="B4225">
        <f t="shared" ca="1" si="197"/>
        <v>45251.948149878714</v>
      </c>
      <c r="C4225">
        <f t="shared" ca="1" si="195"/>
        <v>0</v>
      </c>
      <c r="D4225">
        <f t="shared" ca="1" si="196"/>
        <v>5251.9481498787136</v>
      </c>
    </row>
    <row r="4226" spans="2:4" x14ac:dyDescent="0.25">
      <c r="B4226">
        <f t="shared" ca="1" si="197"/>
        <v>40537.47193150255</v>
      </c>
      <c r="C4226">
        <f t="shared" ca="1" si="195"/>
        <v>0</v>
      </c>
      <c r="D4226">
        <f t="shared" ca="1" si="196"/>
        <v>537.47193150255043</v>
      </c>
    </row>
    <row r="4227" spans="2:4" x14ac:dyDescent="0.25">
      <c r="B4227">
        <f t="shared" ca="1" si="197"/>
        <v>45594.944766518696</v>
      </c>
      <c r="C4227">
        <f t="shared" ca="1" si="195"/>
        <v>0</v>
      </c>
      <c r="D4227">
        <f t="shared" ca="1" si="196"/>
        <v>5594.9447665186963</v>
      </c>
    </row>
    <row r="4228" spans="2:4" x14ac:dyDescent="0.25">
      <c r="B4228">
        <f t="shared" ca="1" si="197"/>
        <v>43503.843826088261</v>
      </c>
      <c r="C4228">
        <f t="shared" ca="1" si="195"/>
        <v>0</v>
      </c>
      <c r="D4228">
        <f t="shared" ca="1" si="196"/>
        <v>3503.8438260882613</v>
      </c>
    </row>
    <row r="4229" spans="2:4" x14ac:dyDescent="0.25">
      <c r="B4229">
        <f t="shared" ca="1" si="197"/>
        <v>37250.540493387511</v>
      </c>
      <c r="C4229">
        <f t="shared" ca="1" si="195"/>
        <v>2749.4595066124893</v>
      </c>
      <c r="D4229">
        <f t="shared" ca="1" si="196"/>
        <v>0</v>
      </c>
    </row>
    <row r="4230" spans="2:4" x14ac:dyDescent="0.25">
      <c r="B4230">
        <f t="shared" ca="1" si="197"/>
        <v>41728.616178955308</v>
      </c>
      <c r="C4230">
        <f t="shared" ca="1" si="195"/>
        <v>0</v>
      </c>
      <c r="D4230">
        <f t="shared" ca="1" si="196"/>
        <v>1728.616178955308</v>
      </c>
    </row>
    <row r="4231" spans="2:4" x14ac:dyDescent="0.25">
      <c r="B4231">
        <f t="shared" ca="1" si="197"/>
        <v>40715.84625638961</v>
      </c>
      <c r="C4231">
        <f t="shared" ca="1" si="195"/>
        <v>0</v>
      </c>
      <c r="D4231">
        <f t="shared" ca="1" si="196"/>
        <v>715.84625638961006</v>
      </c>
    </row>
    <row r="4232" spans="2:4" x14ac:dyDescent="0.25">
      <c r="B4232">
        <f t="shared" ca="1" si="197"/>
        <v>47144.007706448625</v>
      </c>
      <c r="C4232">
        <f t="shared" ca="1" si="195"/>
        <v>0</v>
      </c>
      <c r="D4232">
        <f t="shared" ca="1" si="196"/>
        <v>7144.007706448625</v>
      </c>
    </row>
    <row r="4233" spans="2:4" x14ac:dyDescent="0.25">
      <c r="B4233">
        <f t="shared" ca="1" si="197"/>
        <v>43888.180781847499</v>
      </c>
      <c r="C4233">
        <f t="shared" ca="1" si="195"/>
        <v>0</v>
      </c>
      <c r="D4233">
        <f t="shared" ca="1" si="196"/>
        <v>3888.180781847499</v>
      </c>
    </row>
    <row r="4234" spans="2:4" x14ac:dyDescent="0.25">
      <c r="B4234">
        <f t="shared" ca="1" si="197"/>
        <v>41636.976829274194</v>
      </c>
      <c r="C4234">
        <f t="shared" ca="1" si="195"/>
        <v>0</v>
      </c>
      <c r="D4234">
        <f t="shared" ca="1" si="196"/>
        <v>1636.9768292741937</v>
      </c>
    </row>
    <row r="4235" spans="2:4" x14ac:dyDescent="0.25">
      <c r="B4235">
        <f t="shared" ca="1" si="197"/>
        <v>45791.114596185835</v>
      </c>
      <c r="C4235">
        <f t="shared" ca="1" si="195"/>
        <v>0</v>
      </c>
      <c r="D4235">
        <f t="shared" ca="1" si="196"/>
        <v>5791.1145961858347</v>
      </c>
    </row>
    <row r="4236" spans="2:4" x14ac:dyDescent="0.25">
      <c r="B4236">
        <f t="shared" ca="1" si="197"/>
        <v>53303.82156917813</v>
      </c>
      <c r="C4236">
        <f t="shared" ref="C4236:C4299" ca="1" si="198">IF(MAX($B$2-B4236)&lt;0,0,$B$2-B4236)</f>
        <v>0</v>
      </c>
      <c r="D4236">
        <f t="shared" ref="D4236:D4299" ca="1" si="199">IF(MAX(B4236-$B$2)&lt;0,0,B4236-$B$2)</f>
        <v>13303.82156917813</v>
      </c>
    </row>
    <row r="4237" spans="2:4" x14ac:dyDescent="0.25">
      <c r="B4237">
        <f t="shared" ref="B4237:B4300" ca="1" si="200">$B$1*EXP((($B$4-($B$3^2)/2)*$B$5+$B$3*SQRT($B$5)*NORMSINV(RAND())))</f>
        <v>43435.882614821683</v>
      </c>
      <c r="C4237">
        <f t="shared" ca="1" si="198"/>
        <v>0</v>
      </c>
      <c r="D4237">
        <f t="shared" ca="1" si="199"/>
        <v>3435.8826148216831</v>
      </c>
    </row>
    <row r="4238" spans="2:4" x14ac:dyDescent="0.25">
      <c r="B4238">
        <f t="shared" ca="1" si="200"/>
        <v>45655.446027974234</v>
      </c>
      <c r="C4238">
        <f t="shared" ca="1" si="198"/>
        <v>0</v>
      </c>
      <c r="D4238">
        <f t="shared" ca="1" si="199"/>
        <v>5655.4460279742343</v>
      </c>
    </row>
    <row r="4239" spans="2:4" x14ac:dyDescent="0.25">
      <c r="B4239">
        <f t="shared" ca="1" si="200"/>
        <v>41577.32930216298</v>
      </c>
      <c r="C4239">
        <f t="shared" ca="1" si="198"/>
        <v>0</v>
      </c>
      <c r="D4239">
        <f t="shared" ca="1" si="199"/>
        <v>1577.3293021629797</v>
      </c>
    </row>
    <row r="4240" spans="2:4" x14ac:dyDescent="0.25">
      <c r="B4240">
        <f t="shared" ca="1" si="200"/>
        <v>53698.560436807944</v>
      </c>
      <c r="C4240">
        <f t="shared" ca="1" si="198"/>
        <v>0</v>
      </c>
      <c r="D4240">
        <f t="shared" ca="1" si="199"/>
        <v>13698.560436807944</v>
      </c>
    </row>
    <row r="4241" spans="2:4" x14ac:dyDescent="0.25">
      <c r="B4241">
        <f t="shared" ca="1" si="200"/>
        <v>46230.220291927326</v>
      </c>
      <c r="C4241">
        <f t="shared" ca="1" si="198"/>
        <v>0</v>
      </c>
      <c r="D4241">
        <f t="shared" ca="1" si="199"/>
        <v>6230.2202919273259</v>
      </c>
    </row>
    <row r="4242" spans="2:4" x14ac:dyDescent="0.25">
      <c r="B4242">
        <f t="shared" ca="1" si="200"/>
        <v>54820.381510366758</v>
      </c>
      <c r="C4242">
        <f t="shared" ca="1" si="198"/>
        <v>0</v>
      </c>
      <c r="D4242">
        <f t="shared" ca="1" si="199"/>
        <v>14820.381510366758</v>
      </c>
    </row>
    <row r="4243" spans="2:4" x14ac:dyDescent="0.25">
      <c r="B4243">
        <f t="shared" ca="1" si="200"/>
        <v>45058.276902772377</v>
      </c>
      <c r="C4243">
        <f t="shared" ca="1" si="198"/>
        <v>0</v>
      </c>
      <c r="D4243">
        <f t="shared" ca="1" si="199"/>
        <v>5058.2769027723771</v>
      </c>
    </row>
    <row r="4244" spans="2:4" x14ac:dyDescent="0.25">
      <c r="B4244">
        <f t="shared" ca="1" si="200"/>
        <v>41293.260505359394</v>
      </c>
      <c r="C4244">
        <f t="shared" ca="1" si="198"/>
        <v>0</v>
      </c>
      <c r="D4244">
        <f t="shared" ca="1" si="199"/>
        <v>1293.2605053593943</v>
      </c>
    </row>
    <row r="4245" spans="2:4" x14ac:dyDescent="0.25">
      <c r="B4245">
        <f t="shared" ca="1" si="200"/>
        <v>45817.280303304993</v>
      </c>
      <c r="C4245">
        <f t="shared" ca="1" si="198"/>
        <v>0</v>
      </c>
      <c r="D4245">
        <f t="shared" ca="1" si="199"/>
        <v>5817.2803033049931</v>
      </c>
    </row>
    <row r="4246" spans="2:4" x14ac:dyDescent="0.25">
      <c r="B4246">
        <f t="shared" ca="1" si="200"/>
        <v>41545.034198969406</v>
      </c>
      <c r="C4246">
        <f t="shared" ca="1" si="198"/>
        <v>0</v>
      </c>
      <c r="D4246">
        <f t="shared" ca="1" si="199"/>
        <v>1545.0341989694061</v>
      </c>
    </row>
    <row r="4247" spans="2:4" x14ac:dyDescent="0.25">
      <c r="B4247">
        <f t="shared" ca="1" si="200"/>
        <v>47428.376693343685</v>
      </c>
      <c r="C4247">
        <f t="shared" ca="1" si="198"/>
        <v>0</v>
      </c>
      <c r="D4247">
        <f t="shared" ca="1" si="199"/>
        <v>7428.3766933436855</v>
      </c>
    </row>
    <row r="4248" spans="2:4" x14ac:dyDescent="0.25">
      <c r="B4248">
        <f t="shared" ca="1" si="200"/>
        <v>43197.151702057243</v>
      </c>
      <c r="C4248">
        <f t="shared" ca="1" si="198"/>
        <v>0</v>
      </c>
      <c r="D4248">
        <f t="shared" ca="1" si="199"/>
        <v>3197.1517020572428</v>
      </c>
    </row>
    <row r="4249" spans="2:4" x14ac:dyDescent="0.25">
      <c r="B4249">
        <f t="shared" ca="1" si="200"/>
        <v>47437.687352254397</v>
      </c>
      <c r="C4249">
        <f t="shared" ca="1" si="198"/>
        <v>0</v>
      </c>
      <c r="D4249">
        <f t="shared" ca="1" si="199"/>
        <v>7437.6873522543974</v>
      </c>
    </row>
    <row r="4250" spans="2:4" x14ac:dyDescent="0.25">
      <c r="B4250">
        <f t="shared" ca="1" si="200"/>
        <v>44617.411926257322</v>
      </c>
      <c r="C4250">
        <f t="shared" ca="1" si="198"/>
        <v>0</v>
      </c>
      <c r="D4250">
        <f t="shared" ca="1" si="199"/>
        <v>4617.4119262573222</v>
      </c>
    </row>
    <row r="4251" spans="2:4" x14ac:dyDescent="0.25">
      <c r="B4251">
        <f t="shared" ca="1" si="200"/>
        <v>50417.798952216806</v>
      </c>
      <c r="C4251">
        <f t="shared" ca="1" si="198"/>
        <v>0</v>
      </c>
      <c r="D4251">
        <f t="shared" ca="1" si="199"/>
        <v>10417.798952216806</v>
      </c>
    </row>
    <row r="4252" spans="2:4" x14ac:dyDescent="0.25">
      <c r="B4252">
        <f t="shared" ca="1" si="200"/>
        <v>44897.335406762642</v>
      </c>
      <c r="C4252">
        <f t="shared" ca="1" si="198"/>
        <v>0</v>
      </c>
      <c r="D4252">
        <f t="shared" ca="1" si="199"/>
        <v>4897.3354067626424</v>
      </c>
    </row>
    <row r="4253" spans="2:4" x14ac:dyDescent="0.25">
      <c r="B4253">
        <f t="shared" ca="1" si="200"/>
        <v>40314.645066143457</v>
      </c>
      <c r="C4253">
        <f t="shared" ca="1" si="198"/>
        <v>0</v>
      </c>
      <c r="D4253">
        <f t="shared" ca="1" si="199"/>
        <v>314.64506614345737</v>
      </c>
    </row>
    <row r="4254" spans="2:4" x14ac:dyDescent="0.25">
      <c r="B4254">
        <f t="shared" ca="1" si="200"/>
        <v>51362.723481626359</v>
      </c>
      <c r="C4254">
        <f t="shared" ca="1" si="198"/>
        <v>0</v>
      </c>
      <c r="D4254">
        <f t="shared" ca="1" si="199"/>
        <v>11362.723481626359</v>
      </c>
    </row>
    <row r="4255" spans="2:4" x14ac:dyDescent="0.25">
      <c r="B4255">
        <f t="shared" ca="1" si="200"/>
        <v>40858.309813548105</v>
      </c>
      <c r="C4255">
        <f t="shared" ca="1" si="198"/>
        <v>0</v>
      </c>
      <c r="D4255">
        <f t="shared" ca="1" si="199"/>
        <v>858.30981354810501</v>
      </c>
    </row>
    <row r="4256" spans="2:4" x14ac:dyDescent="0.25">
      <c r="B4256">
        <f t="shared" ca="1" si="200"/>
        <v>38888.306092009145</v>
      </c>
      <c r="C4256">
        <f t="shared" ca="1" si="198"/>
        <v>1111.6939079908552</v>
      </c>
      <c r="D4256">
        <f t="shared" ca="1" si="199"/>
        <v>0</v>
      </c>
    </row>
    <row r="4257" spans="2:4" x14ac:dyDescent="0.25">
      <c r="B4257">
        <f t="shared" ca="1" si="200"/>
        <v>53635.969035697191</v>
      </c>
      <c r="C4257">
        <f t="shared" ca="1" si="198"/>
        <v>0</v>
      </c>
      <c r="D4257">
        <f t="shared" ca="1" si="199"/>
        <v>13635.969035697191</v>
      </c>
    </row>
    <row r="4258" spans="2:4" x14ac:dyDescent="0.25">
      <c r="B4258">
        <f t="shared" ca="1" si="200"/>
        <v>48183.003538366327</v>
      </c>
      <c r="C4258">
        <f t="shared" ca="1" si="198"/>
        <v>0</v>
      </c>
      <c r="D4258">
        <f t="shared" ca="1" si="199"/>
        <v>8183.0035383663271</v>
      </c>
    </row>
    <row r="4259" spans="2:4" x14ac:dyDescent="0.25">
      <c r="B4259">
        <f t="shared" ca="1" si="200"/>
        <v>43022.334703709741</v>
      </c>
      <c r="C4259">
        <f t="shared" ca="1" si="198"/>
        <v>0</v>
      </c>
      <c r="D4259">
        <f t="shared" ca="1" si="199"/>
        <v>3022.334703709741</v>
      </c>
    </row>
    <row r="4260" spans="2:4" x14ac:dyDescent="0.25">
      <c r="B4260">
        <f t="shared" ca="1" si="200"/>
        <v>45207.051618387632</v>
      </c>
      <c r="C4260">
        <f t="shared" ca="1" si="198"/>
        <v>0</v>
      </c>
      <c r="D4260">
        <f t="shared" ca="1" si="199"/>
        <v>5207.0516183876316</v>
      </c>
    </row>
    <row r="4261" spans="2:4" x14ac:dyDescent="0.25">
      <c r="B4261">
        <f t="shared" ca="1" si="200"/>
        <v>39331.204457829459</v>
      </c>
      <c r="C4261">
        <f t="shared" ca="1" si="198"/>
        <v>668.79554217054101</v>
      </c>
      <c r="D4261">
        <f t="shared" ca="1" si="199"/>
        <v>0</v>
      </c>
    </row>
    <row r="4262" spans="2:4" x14ac:dyDescent="0.25">
      <c r="B4262">
        <f t="shared" ca="1" si="200"/>
        <v>42774.744918964578</v>
      </c>
      <c r="C4262">
        <f t="shared" ca="1" si="198"/>
        <v>0</v>
      </c>
      <c r="D4262">
        <f t="shared" ca="1" si="199"/>
        <v>2774.7449189645777</v>
      </c>
    </row>
    <row r="4263" spans="2:4" x14ac:dyDescent="0.25">
      <c r="B4263">
        <f t="shared" ca="1" si="200"/>
        <v>46439.362096026569</v>
      </c>
      <c r="C4263">
        <f t="shared" ca="1" si="198"/>
        <v>0</v>
      </c>
      <c r="D4263">
        <f t="shared" ca="1" si="199"/>
        <v>6439.3620960265689</v>
      </c>
    </row>
    <row r="4264" spans="2:4" x14ac:dyDescent="0.25">
      <c r="B4264">
        <f t="shared" ca="1" si="200"/>
        <v>45138.450299366945</v>
      </c>
      <c r="C4264">
        <f t="shared" ca="1" si="198"/>
        <v>0</v>
      </c>
      <c r="D4264">
        <f t="shared" ca="1" si="199"/>
        <v>5138.4502993669448</v>
      </c>
    </row>
    <row r="4265" spans="2:4" x14ac:dyDescent="0.25">
      <c r="B4265">
        <f t="shared" ca="1" si="200"/>
        <v>36913.6784852786</v>
      </c>
      <c r="C4265">
        <f t="shared" ca="1" si="198"/>
        <v>3086.3215147213996</v>
      </c>
      <c r="D4265">
        <f t="shared" ca="1" si="199"/>
        <v>0</v>
      </c>
    </row>
    <row r="4266" spans="2:4" x14ac:dyDescent="0.25">
      <c r="B4266">
        <f t="shared" ca="1" si="200"/>
        <v>42625.188453431147</v>
      </c>
      <c r="C4266">
        <f t="shared" ca="1" si="198"/>
        <v>0</v>
      </c>
      <c r="D4266">
        <f t="shared" ca="1" si="199"/>
        <v>2625.1884534311466</v>
      </c>
    </row>
    <row r="4267" spans="2:4" x14ac:dyDescent="0.25">
      <c r="B4267">
        <f t="shared" ca="1" si="200"/>
        <v>47562.70493564057</v>
      </c>
      <c r="C4267">
        <f t="shared" ca="1" si="198"/>
        <v>0</v>
      </c>
      <c r="D4267">
        <f t="shared" ca="1" si="199"/>
        <v>7562.7049356405696</v>
      </c>
    </row>
    <row r="4268" spans="2:4" x14ac:dyDescent="0.25">
      <c r="B4268">
        <f t="shared" ca="1" si="200"/>
        <v>48296.383528416955</v>
      </c>
      <c r="C4268">
        <f t="shared" ca="1" si="198"/>
        <v>0</v>
      </c>
      <c r="D4268">
        <f t="shared" ca="1" si="199"/>
        <v>8296.3835284169545</v>
      </c>
    </row>
    <row r="4269" spans="2:4" x14ac:dyDescent="0.25">
      <c r="B4269">
        <f t="shared" ca="1" si="200"/>
        <v>44545.736359644994</v>
      </c>
      <c r="C4269">
        <f t="shared" ca="1" si="198"/>
        <v>0</v>
      </c>
      <c r="D4269">
        <f t="shared" ca="1" si="199"/>
        <v>4545.7363596449941</v>
      </c>
    </row>
    <row r="4270" spans="2:4" x14ac:dyDescent="0.25">
      <c r="B4270">
        <f t="shared" ca="1" si="200"/>
        <v>41179.050818681215</v>
      </c>
      <c r="C4270">
        <f t="shared" ca="1" si="198"/>
        <v>0</v>
      </c>
      <c r="D4270">
        <f t="shared" ca="1" si="199"/>
        <v>1179.0508186812149</v>
      </c>
    </row>
    <row r="4271" spans="2:4" x14ac:dyDescent="0.25">
      <c r="B4271">
        <f t="shared" ca="1" si="200"/>
        <v>50520.423254453133</v>
      </c>
      <c r="C4271">
        <f t="shared" ca="1" si="198"/>
        <v>0</v>
      </c>
      <c r="D4271">
        <f t="shared" ca="1" si="199"/>
        <v>10520.423254453133</v>
      </c>
    </row>
    <row r="4272" spans="2:4" x14ac:dyDescent="0.25">
      <c r="B4272">
        <f t="shared" ca="1" si="200"/>
        <v>44784.352269883224</v>
      </c>
      <c r="C4272">
        <f t="shared" ca="1" si="198"/>
        <v>0</v>
      </c>
      <c r="D4272">
        <f t="shared" ca="1" si="199"/>
        <v>4784.3522698832239</v>
      </c>
    </row>
    <row r="4273" spans="2:4" x14ac:dyDescent="0.25">
      <c r="B4273">
        <f t="shared" ca="1" si="200"/>
        <v>46970.832919364562</v>
      </c>
      <c r="C4273">
        <f t="shared" ca="1" si="198"/>
        <v>0</v>
      </c>
      <c r="D4273">
        <f t="shared" ca="1" si="199"/>
        <v>6970.8329193645623</v>
      </c>
    </row>
    <row r="4274" spans="2:4" x14ac:dyDescent="0.25">
      <c r="B4274">
        <f t="shared" ca="1" si="200"/>
        <v>46025.080601013186</v>
      </c>
      <c r="C4274">
        <f t="shared" ca="1" si="198"/>
        <v>0</v>
      </c>
      <c r="D4274">
        <f t="shared" ca="1" si="199"/>
        <v>6025.0806010131855</v>
      </c>
    </row>
    <row r="4275" spans="2:4" x14ac:dyDescent="0.25">
      <c r="B4275">
        <f t="shared" ca="1" si="200"/>
        <v>54243.778134083994</v>
      </c>
      <c r="C4275">
        <f t="shared" ca="1" si="198"/>
        <v>0</v>
      </c>
      <c r="D4275">
        <f t="shared" ca="1" si="199"/>
        <v>14243.778134083994</v>
      </c>
    </row>
    <row r="4276" spans="2:4" x14ac:dyDescent="0.25">
      <c r="B4276">
        <f t="shared" ca="1" si="200"/>
        <v>40348.064340249672</v>
      </c>
      <c r="C4276">
        <f t="shared" ca="1" si="198"/>
        <v>0</v>
      </c>
      <c r="D4276">
        <f t="shared" ca="1" si="199"/>
        <v>348.06434024967166</v>
      </c>
    </row>
    <row r="4277" spans="2:4" x14ac:dyDescent="0.25">
      <c r="B4277">
        <f t="shared" ca="1" si="200"/>
        <v>40965.534448319995</v>
      </c>
      <c r="C4277">
        <f t="shared" ca="1" si="198"/>
        <v>0</v>
      </c>
      <c r="D4277">
        <f t="shared" ca="1" si="199"/>
        <v>965.53444831999514</v>
      </c>
    </row>
    <row r="4278" spans="2:4" x14ac:dyDescent="0.25">
      <c r="B4278">
        <f t="shared" ca="1" si="200"/>
        <v>43426.161379222263</v>
      </c>
      <c r="C4278">
        <f t="shared" ca="1" si="198"/>
        <v>0</v>
      </c>
      <c r="D4278">
        <f t="shared" ca="1" si="199"/>
        <v>3426.1613792222633</v>
      </c>
    </row>
    <row r="4279" spans="2:4" x14ac:dyDescent="0.25">
      <c r="B4279">
        <f t="shared" ca="1" si="200"/>
        <v>42703.982238794211</v>
      </c>
      <c r="C4279">
        <f t="shared" ca="1" si="198"/>
        <v>0</v>
      </c>
      <c r="D4279">
        <f t="shared" ca="1" si="199"/>
        <v>2703.9822387942113</v>
      </c>
    </row>
    <row r="4280" spans="2:4" x14ac:dyDescent="0.25">
      <c r="B4280">
        <f t="shared" ca="1" si="200"/>
        <v>52406.553823203052</v>
      </c>
      <c r="C4280">
        <f t="shared" ca="1" si="198"/>
        <v>0</v>
      </c>
      <c r="D4280">
        <f t="shared" ca="1" si="199"/>
        <v>12406.553823203052</v>
      </c>
    </row>
    <row r="4281" spans="2:4" x14ac:dyDescent="0.25">
      <c r="B4281">
        <f t="shared" ca="1" si="200"/>
        <v>44065.353807509826</v>
      </c>
      <c r="C4281">
        <f t="shared" ca="1" si="198"/>
        <v>0</v>
      </c>
      <c r="D4281">
        <f t="shared" ca="1" si="199"/>
        <v>4065.3538075098259</v>
      </c>
    </row>
    <row r="4282" spans="2:4" x14ac:dyDescent="0.25">
      <c r="B4282">
        <f t="shared" ca="1" si="200"/>
        <v>45846.638597339079</v>
      </c>
      <c r="C4282">
        <f t="shared" ca="1" si="198"/>
        <v>0</v>
      </c>
      <c r="D4282">
        <f t="shared" ca="1" si="199"/>
        <v>5846.6385973390788</v>
      </c>
    </row>
    <row r="4283" spans="2:4" x14ac:dyDescent="0.25">
      <c r="B4283">
        <f t="shared" ca="1" si="200"/>
        <v>54460.965413421771</v>
      </c>
      <c r="C4283">
        <f t="shared" ca="1" si="198"/>
        <v>0</v>
      </c>
      <c r="D4283">
        <f t="shared" ca="1" si="199"/>
        <v>14460.965413421771</v>
      </c>
    </row>
    <row r="4284" spans="2:4" x14ac:dyDescent="0.25">
      <c r="B4284">
        <f t="shared" ca="1" si="200"/>
        <v>48184.415585668816</v>
      </c>
      <c r="C4284">
        <f t="shared" ca="1" si="198"/>
        <v>0</v>
      </c>
      <c r="D4284">
        <f t="shared" ca="1" si="199"/>
        <v>8184.4155856688158</v>
      </c>
    </row>
    <row r="4285" spans="2:4" x14ac:dyDescent="0.25">
      <c r="B4285">
        <f t="shared" ca="1" si="200"/>
        <v>37565.200074825036</v>
      </c>
      <c r="C4285">
        <f t="shared" ca="1" si="198"/>
        <v>2434.7999251749643</v>
      </c>
      <c r="D4285">
        <f t="shared" ca="1" si="199"/>
        <v>0</v>
      </c>
    </row>
    <row r="4286" spans="2:4" x14ac:dyDescent="0.25">
      <c r="B4286">
        <f t="shared" ca="1" si="200"/>
        <v>44388.463535662093</v>
      </c>
      <c r="C4286">
        <f t="shared" ca="1" si="198"/>
        <v>0</v>
      </c>
      <c r="D4286">
        <f t="shared" ca="1" si="199"/>
        <v>4388.4635356620929</v>
      </c>
    </row>
    <row r="4287" spans="2:4" x14ac:dyDescent="0.25">
      <c r="B4287">
        <f t="shared" ca="1" si="200"/>
        <v>38001.941751989667</v>
      </c>
      <c r="C4287">
        <f t="shared" ca="1" si="198"/>
        <v>1998.058248010333</v>
      </c>
      <c r="D4287">
        <f t="shared" ca="1" si="199"/>
        <v>0</v>
      </c>
    </row>
    <row r="4288" spans="2:4" x14ac:dyDescent="0.25">
      <c r="B4288">
        <f t="shared" ca="1" si="200"/>
        <v>54321.677926812226</v>
      </c>
      <c r="C4288">
        <f t="shared" ca="1" si="198"/>
        <v>0</v>
      </c>
      <c r="D4288">
        <f t="shared" ca="1" si="199"/>
        <v>14321.677926812226</v>
      </c>
    </row>
    <row r="4289" spans="2:4" x14ac:dyDescent="0.25">
      <c r="B4289">
        <f t="shared" ca="1" si="200"/>
        <v>49352.341022838606</v>
      </c>
      <c r="C4289">
        <f t="shared" ca="1" si="198"/>
        <v>0</v>
      </c>
      <c r="D4289">
        <f t="shared" ca="1" si="199"/>
        <v>9352.3410228386056</v>
      </c>
    </row>
    <row r="4290" spans="2:4" x14ac:dyDescent="0.25">
      <c r="B4290">
        <f t="shared" ca="1" si="200"/>
        <v>47281.00520109573</v>
      </c>
      <c r="C4290">
        <f t="shared" ca="1" si="198"/>
        <v>0</v>
      </c>
      <c r="D4290">
        <f t="shared" ca="1" si="199"/>
        <v>7281.0052010957297</v>
      </c>
    </row>
    <row r="4291" spans="2:4" x14ac:dyDescent="0.25">
      <c r="B4291">
        <f t="shared" ca="1" si="200"/>
        <v>44374.860537541972</v>
      </c>
      <c r="C4291">
        <f t="shared" ca="1" si="198"/>
        <v>0</v>
      </c>
      <c r="D4291">
        <f t="shared" ca="1" si="199"/>
        <v>4374.860537541972</v>
      </c>
    </row>
    <row r="4292" spans="2:4" x14ac:dyDescent="0.25">
      <c r="B4292">
        <f t="shared" ca="1" si="200"/>
        <v>41562.129256794702</v>
      </c>
      <c r="C4292">
        <f t="shared" ca="1" si="198"/>
        <v>0</v>
      </c>
      <c r="D4292">
        <f t="shared" ca="1" si="199"/>
        <v>1562.1292567947021</v>
      </c>
    </row>
    <row r="4293" spans="2:4" x14ac:dyDescent="0.25">
      <c r="B4293">
        <f t="shared" ca="1" si="200"/>
        <v>47656.203706057589</v>
      </c>
      <c r="C4293">
        <f t="shared" ca="1" si="198"/>
        <v>0</v>
      </c>
      <c r="D4293">
        <f t="shared" ca="1" si="199"/>
        <v>7656.2037060575894</v>
      </c>
    </row>
    <row r="4294" spans="2:4" x14ac:dyDescent="0.25">
      <c r="B4294">
        <f t="shared" ca="1" si="200"/>
        <v>51468.949218661597</v>
      </c>
      <c r="C4294">
        <f t="shared" ca="1" si="198"/>
        <v>0</v>
      </c>
      <c r="D4294">
        <f t="shared" ca="1" si="199"/>
        <v>11468.949218661597</v>
      </c>
    </row>
    <row r="4295" spans="2:4" x14ac:dyDescent="0.25">
      <c r="B4295">
        <f t="shared" ca="1" si="200"/>
        <v>42665.122997400729</v>
      </c>
      <c r="C4295">
        <f t="shared" ca="1" si="198"/>
        <v>0</v>
      </c>
      <c r="D4295">
        <f t="shared" ca="1" si="199"/>
        <v>2665.1229974007292</v>
      </c>
    </row>
    <row r="4296" spans="2:4" x14ac:dyDescent="0.25">
      <c r="B4296">
        <f t="shared" ca="1" si="200"/>
        <v>47762.118754165218</v>
      </c>
      <c r="C4296">
        <f t="shared" ca="1" si="198"/>
        <v>0</v>
      </c>
      <c r="D4296">
        <f t="shared" ca="1" si="199"/>
        <v>7762.118754165218</v>
      </c>
    </row>
    <row r="4297" spans="2:4" x14ac:dyDescent="0.25">
      <c r="B4297">
        <f t="shared" ca="1" si="200"/>
        <v>44331.944570476568</v>
      </c>
      <c r="C4297">
        <f t="shared" ca="1" si="198"/>
        <v>0</v>
      </c>
      <c r="D4297">
        <f t="shared" ca="1" si="199"/>
        <v>4331.9445704765676</v>
      </c>
    </row>
    <row r="4298" spans="2:4" x14ac:dyDescent="0.25">
      <c r="B4298">
        <f t="shared" ca="1" si="200"/>
        <v>48579.983611314332</v>
      </c>
      <c r="C4298">
        <f t="shared" ca="1" si="198"/>
        <v>0</v>
      </c>
      <c r="D4298">
        <f t="shared" ca="1" si="199"/>
        <v>8579.9836113143319</v>
      </c>
    </row>
    <row r="4299" spans="2:4" x14ac:dyDescent="0.25">
      <c r="B4299">
        <f t="shared" ca="1" si="200"/>
        <v>50059.748848358082</v>
      </c>
      <c r="C4299">
        <f t="shared" ca="1" si="198"/>
        <v>0</v>
      </c>
      <c r="D4299">
        <f t="shared" ca="1" si="199"/>
        <v>10059.748848358082</v>
      </c>
    </row>
    <row r="4300" spans="2:4" x14ac:dyDescent="0.25">
      <c r="B4300">
        <f t="shared" ca="1" si="200"/>
        <v>42322.626469697658</v>
      </c>
      <c r="C4300">
        <f t="shared" ref="C4300:C4363" ca="1" si="201">IF(MAX($B$2-B4300)&lt;0,0,$B$2-B4300)</f>
        <v>0</v>
      </c>
      <c r="D4300">
        <f t="shared" ref="D4300:D4363" ca="1" si="202">IF(MAX(B4300-$B$2)&lt;0,0,B4300-$B$2)</f>
        <v>2322.6264696976577</v>
      </c>
    </row>
    <row r="4301" spans="2:4" x14ac:dyDescent="0.25">
      <c r="B4301">
        <f t="shared" ref="B4301:B4364" ca="1" si="203">$B$1*EXP((($B$4-($B$3^2)/2)*$B$5+$B$3*SQRT($B$5)*NORMSINV(RAND())))</f>
        <v>51292.963763043321</v>
      </c>
      <c r="C4301">
        <f t="shared" ca="1" si="201"/>
        <v>0</v>
      </c>
      <c r="D4301">
        <f t="shared" ca="1" si="202"/>
        <v>11292.963763043321</v>
      </c>
    </row>
    <row r="4302" spans="2:4" x14ac:dyDescent="0.25">
      <c r="B4302">
        <f t="shared" ca="1" si="203"/>
        <v>43323.981232255988</v>
      </c>
      <c r="C4302">
        <f t="shared" ca="1" si="201"/>
        <v>0</v>
      </c>
      <c r="D4302">
        <f t="shared" ca="1" si="202"/>
        <v>3323.9812322559883</v>
      </c>
    </row>
    <row r="4303" spans="2:4" x14ac:dyDescent="0.25">
      <c r="B4303">
        <f t="shared" ca="1" si="203"/>
        <v>49254.122262649973</v>
      </c>
      <c r="C4303">
        <f t="shared" ca="1" si="201"/>
        <v>0</v>
      </c>
      <c r="D4303">
        <f t="shared" ca="1" si="202"/>
        <v>9254.122262649973</v>
      </c>
    </row>
    <row r="4304" spans="2:4" x14ac:dyDescent="0.25">
      <c r="B4304">
        <f t="shared" ca="1" si="203"/>
        <v>44286.987963163258</v>
      </c>
      <c r="C4304">
        <f t="shared" ca="1" si="201"/>
        <v>0</v>
      </c>
      <c r="D4304">
        <f t="shared" ca="1" si="202"/>
        <v>4286.9879631632575</v>
      </c>
    </row>
    <row r="4305" spans="2:4" x14ac:dyDescent="0.25">
      <c r="B4305">
        <f t="shared" ca="1" si="203"/>
        <v>44753.312562206018</v>
      </c>
      <c r="C4305">
        <f t="shared" ca="1" si="201"/>
        <v>0</v>
      </c>
      <c r="D4305">
        <f t="shared" ca="1" si="202"/>
        <v>4753.3125622060179</v>
      </c>
    </row>
    <row r="4306" spans="2:4" x14ac:dyDescent="0.25">
      <c r="B4306">
        <f t="shared" ca="1" si="203"/>
        <v>41547.182684631225</v>
      </c>
      <c r="C4306">
        <f t="shared" ca="1" si="201"/>
        <v>0</v>
      </c>
      <c r="D4306">
        <f t="shared" ca="1" si="202"/>
        <v>1547.1826846312251</v>
      </c>
    </row>
    <row r="4307" spans="2:4" x14ac:dyDescent="0.25">
      <c r="B4307">
        <f t="shared" ca="1" si="203"/>
        <v>36830.300208512432</v>
      </c>
      <c r="C4307">
        <f t="shared" ca="1" si="201"/>
        <v>3169.6997914875683</v>
      </c>
      <c r="D4307">
        <f t="shared" ca="1" si="202"/>
        <v>0</v>
      </c>
    </row>
    <row r="4308" spans="2:4" x14ac:dyDescent="0.25">
      <c r="B4308">
        <f t="shared" ca="1" si="203"/>
        <v>51107.337154492001</v>
      </c>
      <c r="C4308">
        <f t="shared" ca="1" si="201"/>
        <v>0</v>
      </c>
      <c r="D4308">
        <f t="shared" ca="1" si="202"/>
        <v>11107.337154492001</v>
      </c>
    </row>
    <row r="4309" spans="2:4" x14ac:dyDescent="0.25">
      <c r="B4309">
        <f t="shared" ca="1" si="203"/>
        <v>48150.118178287696</v>
      </c>
      <c r="C4309">
        <f t="shared" ca="1" si="201"/>
        <v>0</v>
      </c>
      <c r="D4309">
        <f t="shared" ca="1" si="202"/>
        <v>8150.1181782876956</v>
      </c>
    </row>
    <row r="4310" spans="2:4" x14ac:dyDescent="0.25">
      <c r="B4310">
        <f t="shared" ca="1" si="203"/>
        <v>46523.243259943178</v>
      </c>
      <c r="C4310">
        <f t="shared" ca="1" si="201"/>
        <v>0</v>
      </c>
      <c r="D4310">
        <f t="shared" ca="1" si="202"/>
        <v>6523.2432599431777</v>
      </c>
    </row>
    <row r="4311" spans="2:4" x14ac:dyDescent="0.25">
      <c r="B4311">
        <f t="shared" ca="1" si="203"/>
        <v>49509.373740081137</v>
      </c>
      <c r="C4311">
        <f t="shared" ca="1" si="201"/>
        <v>0</v>
      </c>
      <c r="D4311">
        <f t="shared" ca="1" si="202"/>
        <v>9509.3737400811369</v>
      </c>
    </row>
    <row r="4312" spans="2:4" x14ac:dyDescent="0.25">
      <c r="B4312">
        <f t="shared" ca="1" si="203"/>
        <v>54580.55809457627</v>
      </c>
      <c r="C4312">
        <f t="shared" ca="1" si="201"/>
        <v>0</v>
      </c>
      <c r="D4312">
        <f t="shared" ca="1" si="202"/>
        <v>14580.55809457627</v>
      </c>
    </row>
    <row r="4313" spans="2:4" x14ac:dyDescent="0.25">
      <c r="B4313">
        <f t="shared" ca="1" si="203"/>
        <v>50947.408994893325</v>
      </c>
      <c r="C4313">
        <f t="shared" ca="1" si="201"/>
        <v>0</v>
      </c>
      <c r="D4313">
        <f t="shared" ca="1" si="202"/>
        <v>10947.408994893325</v>
      </c>
    </row>
    <row r="4314" spans="2:4" x14ac:dyDescent="0.25">
      <c r="B4314">
        <f t="shared" ca="1" si="203"/>
        <v>47465.952345699028</v>
      </c>
      <c r="C4314">
        <f t="shared" ca="1" si="201"/>
        <v>0</v>
      </c>
      <c r="D4314">
        <f t="shared" ca="1" si="202"/>
        <v>7465.9523456990282</v>
      </c>
    </row>
    <row r="4315" spans="2:4" x14ac:dyDescent="0.25">
      <c r="B4315">
        <f t="shared" ca="1" si="203"/>
        <v>39145.932360568993</v>
      </c>
      <c r="C4315">
        <f t="shared" ca="1" si="201"/>
        <v>854.06763943100668</v>
      </c>
      <c r="D4315">
        <f t="shared" ca="1" si="202"/>
        <v>0</v>
      </c>
    </row>
    <row r="4316" spans="2:4" x14ac:dyDescent="0.25">
      <c r="B4316">
        <f t="shared" ca="1" si="203"/>
        <v>44596.816615713578</v>
      </c>
      <c r="C4316">
        <f t="shared" ca="1" si="201"/>
        <v>0</v>
      </c>
      <c r="D4316">
        <f t="shared" ca="1" si="202"/>
        <v>4596.8166157135784</v>
      </c>
    </row>
    <row r="4317" spans="2:4" x14ac:dyDescent="0.25">
      <c r="B4317">
        <f t="shared" ca="1" si="203"/>
        <v>38652.891071355778</v>
      </c>
      <c r="C4317">
        <f t="shared" ca="1" si="201"/>
        <v>1347.108928644222</v>
      </c>
      <c r="D4317">
        <f t="shared" ca="1" si="202"/>
        <v>0</v>
      </c>
    </row>
    <row r="4318" spans="2:4" x14ac:dyDescent="0.25">
      <c r="B4318">
        <f t="shared" ca="1" si="203"/>
        <v>39887.144065416964</v>
      </c>
      <c r="C4318">
        <f t="shared" ca="1" si="201"/>
        <v>112.85593458303629</v>
      </c>
      <c r="D4318">
        <f t="shared" ca="1" si="202"/>
        <v>0</v>
      </c>
    </row>
    <row r="4319" spans="2:4" x14ac:dyDescent="0.25">
      <c r="B4319">
        <f t="shared" ca="1" si="203"/>
        <v>45788.24074907825</v>
      </c>
      <c r="C4319">
        <f t="shared" ca="1" si="201"/>
        <v>0</v>
      </c>
      <c r="D4319">
        <f t="shared" ca="1" si="202"/>
        <v>5788.2407490782498</v>
      </c>
    </row>
    <row r="4320" spans="2:4" x14ac:dyDescent="0.25">
      <c r="B4320">
        <f t="shared" ca="1" si="203"/>
        <v>42997.756649868919</v>
      </c>
      <c r="C4320">
        <f t="shared" ca="1" si="201"/>
        <v>0</v>
      </c>
      <c r="D4320">
        <f t="shared" ca="1" si="202"/>
        <v>2997.7566498689193</v>
      </c>
    </row>
    <row r="4321" spans="2:4" x14ac:dyDescent="0.25">
      <c r="B4321">
        <f t="shared" ca="1" si="203"/>
        <v>48703.242484314193</v>
      </c>
      <c r="C4321">
        <f t="shared" ca="1" si="201"/>
        <v>0</v>
      </c>
      <c r="D4321">
        <f t="shared" ca="1" si="202"/>
        <v>8703.2424843141926</v>
      </c>
    </row>
    <row r="4322" spans="2:4" x14ac:dyDescent="0.25">
      <c r="B4322">
        <f t="shared" ca="1" si="203"/>
        <v>47144.338039381859</v>
      </c>
      <c r="C4322">
        <f t="shared" ca="1" si="201"/>
        <v>0</v>
      </c>
      <c r="D4322">
        <f t="shared" ca="1" si="202"/>
        <v>7144.3380393818588</v>
      </c>
    </row>
    <row r="4323" spans="2:4" x14ac:dyDescent="0.25">
      <c r="B4323">
        <f t="shared" ca="1" si="203"/>
        <v>40821.017046613517</v>
      </c>
      <c r="C4323">
        <f t="shared" ca="1" si="201"/>
        <v>0</v>
      </c>
      <c r="D4323">
        <f t="shared" ca="1" si="202"/>
        <v>821.01704661351687</v>
      </c>
    </row>
    <row r="4324" spans="2:4" x14ac:dyDescent="0.25">
      <c r="B4324">
        <f t="shared" ca="1" si="203"/>
        <v>39967.634188523443</v>
      </c>
      <c r="C4324">
        <f t="shared" ca="1" si="201"/>
        <v>32.365811476556701</v>
      </c>
      <c r="D4324">
        <f t="shared" ca="1" si="202"/>
        <v>0</v>
      </c>
    </row>
    <row r="4325" spans="2:4" x14ac:dyDescent="0.25">
      <c r="B4325">
        <f t="shared" ca="1" si="203"/>
        <v>53442.094666024241</v>
      </c>
      <c r="C4325">
        <f t="shared" ca="1" si="201"/>
        <v>0</v>
      </c>
      <c r="D4325">
        <f t="shared" ca="1" si="202"/>
        <v>13442.094666024241</v>
      </c>
    </row>
    <row r="4326" spans="2:4" x14ac:dyDescent="0.25">
      <c r="B4326">
        <f t="shared" ca="1" si="203"/>
        <v>41423.604594535231</v>
      </c>
      <c r="C4326">
        <f t="shared" ca="1" si="201"/>
        <v>0</v>
      </c>
      <c r="D4326">
        <f t="shared" ca="1" si="202"/>
        <v>1423.6045945352307</v>
      </c>
    </row>
    <row r="4327" spans="2:4" x14ac:dyDescent="0.25">
      <c r="B4327">
        <f t="shared" ca="1" si="203"/>
        <v>50498.925571894084</v>
      </c>
      <c r="C4327">
        <f t="shared" ca="1" si="201"/>
        <v>0</v>
      </c>
      <c r="D4327">
        <f t="shared" ca="1" si="202"/>
        <v>10498.925571894084</v>
      </c>
    </row>
    <row r="4328" spans="2:4" x14ac:dyDescent="0.25">
      <c r="B4328">
        <f t="shared" ca="1" si="203"/>
        <v>42828.414511417817</v>
      </c>
      <c r="C4328">
        <f t="shared" ca="1" si="201"/>
        <v>0</v>
      </c>
      <c r="D4328">
        <f t="shared" ca="1" si="202"/>
        <v>2828.4145114178173</v>
      </c>
    </row>
    <row r="4329" spans="2:4" x14ac:dyDescent="0.25">
      <c r="B4329">
        <f t="shared" ca="1" si="203"/>
        <v>45508.229295759222</v>
      </c>
      <c r="C4329">
        <f t="shared" ca="1" si="201"/>
        <v>0</v>
      </c>
      <c r="D4329">
        <f t="shared" ca="1" si="202"/>
        <v>5508.2292957592217</v>
      </c>
    </row>
    <row r="4330" spans="2:4" x14ac:dyDescent="0.25">
      <c r="B4330">
        <f t="shared" ca="1" si="203"/>
        <v>43743.446525796935</v>
      </c>
      <c r="C4330">
        <f t="shared" ca="1" si="201"/>
        <v>0</v>
      </c>
      <c r="D4330">
        <f t="shared" ca="1" si="202"/>
        <v>3743.446525796935</v>
      </c>
    </row>
    <row r="4331" spans="2:4" x14ac:dyDescent="0.25">
      <c r="B4331">
        <f t="shared" ca="1" si="203"/>
        <v>42204.343445026709</v>
      </c>
      <c r="C4331">
        <f t="shared" ca="1" si="201"/>
        <v>0</v>
      </c>
      <c r="D4331">
        <f t="shared" ca="1" si="202"/>
        <v>2204.3434450267087</v>
      </c>
    </row>
    <row r="4332" spans="2:4" x14ac:dyDescent="0.25">
      <c r="B4332">
        <f t="shared" ca="1" si="203"/>
        <v>39582.795931288034</v>
      </c>
      <c r="C4332">
        <f t="shared" ca="1" si="201"/>
        <v>417.2040687119661</v>
      </c>
      <c r="D4332">
        <f t="shared" ca="1" si="202"/>
        <v>0</v>
      </c>
    </row>
    <row r="4333" spans="2:4" x14ac:dyDescent="0.25">
      <c r="B4333">
        <f t="shared" ca="1" si="203"/>
        <v>42075.103228275148</v>
      </c>
      <c r="C4333">
        <f t="shared" ca="1" si="201"/>
        <v>0</v>
      </c>
      <c r="D4333">
        <f t="shared" ca="1" si="202"/>
        <v>2075.1032282751476</v>
      </c>
    </row>
    <row r="4334" spans="2:4" x14ac:dyDescent="0.25">
      <c r="B4334">
        <f t="shared" ca="1" si="203"/>
        <v>40599.66338232081</v>
      </c>
      <c r="C4334">
        <f t="shared" ca="1" si="201"/>
        <v>0</v>
      </c>
      <c r="D4334">
        <f t="shared" ca="1" si="202"/>
        <v>599.66338232081034</v>
      </c>
    </row>
    <row r="4335" spans="2:4" x14ac:dyDescent="0.25">
      <c r="B4335">
        <f t="shared" ca="1" si="203"/>
        <v>48937.051776554566</v>
      </c>
      <c r="C4335">
        <f t="shared" ca="1" si="201"/>
        <v>0</v>
      </c>
      <c r="D4335">
        <f t="shared" ca="1" si="202"/>
        <v>8937.0517765545665</v>
      </c>
    </row>
    <row r="4336" spans="2:4" x14ac:dyDescent="0.25">
      <c r="B4336">
        <f t="shared" ca="1" si="203"/>
        <v>41567.744669131047</v>
      </c>
      <c r="C4336">
        <f t="shared" ca="1" si="201"/>
        <v>0</v>
      </c>
      <c r="D4336">
        <f t="shared" ca="1" si="202"/>
        <v>1567.744669131047</v>
      </c>
    </row>
    <row r="4337" spans="2:4" x14ac:dyDescent="0.25">
      <c r="B4337">
        <f t="shared" ca="1" si="203"/>
        <v>44387.276162854549</v>
      </c>
      <c r="C4337">
        <f t="shared" ca="1" si="201"/>
        <v>0</v>
      </c>
      <c r="D4337">
        <f t="shared" ca="1" si="202"/>
        <v>4387.2761628545486</v>
      </c>
    </row>
    <row r="4338" spans="2:4" x14ac:dyDescent="0.25">
      <c r="B4338">
        <f t="shared" ca="1" si="203"/>
        <v>40070.952607725209</v>
      </c>
      <c r="C4338">
        <f t="shared" ca="1" si="201"/>
        <v>0</v>
      </c>
      <c r="D4338">
        <f t="shared" ca="1" si="202"/>
        <v>70.952607725208509</v>
      </c>
    </row>
    <row r="4339" spans="2:4" x14ac:dyDescent="0.25">
      <c r="B4339">
        <f t="shared" ca="1" si="203"/>
        <v>44905.474171526555</v>
      </c>
      <c r="C4339">
        <f t="shared" ca="1" si="201"/>
        <v>0</v>
      </c>
      <c r="D4339">
        <f t="shared" ca="1" si="202"/>
        <v>4905.4741715265554</v>
      </c>
    </row>
    <row r="4340" spans="2:4" x14ac:dyDescent="0.25">
      <c r="B4340">
        <f t="shared" ca="1" si="203"/>
        <v>34019.815065538656</v>
      </c>
      <c r="C4340">
        <f t="shared" ca="1" si="201"/>
        <v>5980.1849344613438</v>
      </c>
      <c r="D4340">
        <f t="shared" ca="1" si="202"/>
        <v>0</v>
      </c>
    </row>
    <row r="4341" spans="2:4" x14ac:dyDescent="0.25">
      <c r="B4341">
        <f t="shared" ca="1" si="203"/>
        <v>38650.285372638406</v>
      </c>
      <c r="C4341">
        <f t="shared" ca="1" si="201"/>
        <v>1349.7146273615945</v>
      </c>
      <c r="D4341">
        <f t="shared" ca="1" si="202"/>
        <v>0</v>
      </c>
    </row>
    <row r="4342" spans="2:4" x14ac:dyDescent="0.25">
      <c r="B4342">
        <f t="shared" ca="1" si="203"/>
        <v>49579.124184107757</v>
      </c>
      <c r="C4342">
        <f t="shared" ca="1" si="201"/>
        <v>0</v>
      </c>
      <c r="D4342">
        <f t="shared" ca="1" si="202"/>
        <v>9579.1241841077572</v>
      </c>
    </row>
    <row r="4343" spans="2:4" x14ac:dyDescent="0.25">
      <c r="B4343">
        <f t="shared" ca="1" si="203"/>
        <v>44786.941773127939</v>
      </c>
      <c r="C4343">
        <f t="shared" ca="1" si="201"/>
        <v>0</v>
      </c>
      <c r="D4343">
        <f t="shared" ca="1" si="202"/>
        <v>4786.9417731279391</v>
      </c>
    </row>
    <row r="4344" spans="2:4" x14ac:dyDescent="0.25">
      <c r="B4344">
        <f t="shared" ca="1" si="203"/>
        <v>51654.339078447236</v>
      </c>
      <c r="C4344">
        <f t="shared" ca="1" si="201"/>
        <v>0</v>
      </c>
      <c r="D4344">
        <f t="shared" ca="1" si="202"/>
        <v>11654.339078447236</v>
      </c>
    </row>
    <row r="4345" spans="2:4" x14ac:dyDescent="0.25">
      <c r="B4345">
        <f t="shared" ca="1" si="203"/>
        <v>49172.947678309414</v>
      </c>
      <c r="C4345">
        <f t="shared" ca="1" si="201"/>
        <v>0</v>
      </c>
      <c r="D4345">
        <f t="shared" ca="1" si="202"/>
        <v>9172.9476783094142</v>
      </c>
    </row>
    <row r="4346" spans="2:4" x14ac:dyDescent="0.25">
      <c r="B4346">
        <f t="shared" ca="1" si="203"/>
        <v>40942.205336044884</v>
      </c>
      <c r="C4346">
        <f t="shared" ca="1" si="201"/>
        <v>0</v>
      </c>
      <c r="D4346">
        <f t="shared" ca="1" si="202"/>
        <v>942.20533604488446</v>
      </c>
    </row>
    <row r="4347" spans="2:4" x14ac:dyDescent="0.25">
      <c r="B4347">
        <f t="shared" ca="1" si="203"/>
        <v>44811.877245240743</v>
      </c>
      <c r="C4347">
        <f t="shared" ca="1" si="201"/>
        <v>0</v>
      </c>
      <c r="D4347">
        <f t="shared" ca="1" si="202"/>
        <v>4811.8772452407429</v>
      </c>
    </row>
    <row r="4348" spans="2:4" x14ac:dyDescent="0.25">
      <c r="B4348">
        <f t="shared" ca="1" si="203"/>
        <v>41272.52085893316</v>
      </c>
      <c r="C4348">
        <f t="shared" ca="1" si="201"/>
        <v>0</v>
      </c>
      <c r="D4348">
        <f t="shared" ca="1" si="202"/>
        <v>1272.5208589331596</v>
      </c>
    </row>
    <row r="4349" spans="2:4" x14ac:dyDescent="0.25">
      <c r="B4349">
        <f t="shared" ca="1" si="203"/>
        <v>45671.227095491318</v>
      </c>
      <c r="C4349">
        <f t="shared" ca="1" si="201"/>
        <v>0</v>
      </c>
      <c r="D4349">
        <f t="shared" ca="1" si="202"/>
        <v>5671.2270954913183</v>
      </c>
    </row>
    <row r="4350" spans="2:4" x14ac:dyDescent="0.25">
      <c r="B4350">
        <f t="shared" ca="1" si="203"/>
        <v>36745.407887163179</v>
      </c>
      <c r="C4350">
        <f t="shared" ca="1" si="201"/>
        <v>3254.5921128368209</v>
      </c>
      <c r="D4350">
        <f t="shared" ca="1" si="202"/>
        <v>0</v>
      </c>
    </row>
    <row r="4351" spans="2:4" x14ac:dyDescent="0.25">
      <c r="B4351">
        <f t="shared" ca="1" si="203"/>
        <v>48209.580733142466</v>
      </c>
      <c r="C4351">
        <f t="shared" ca="1" si="201"/>
        <v>0</v>
      </c>
      <c r="D4351">
        <f t="shared" ca="1" si="202"/>
        <v>8209.5807331424658</v>
      </c>
    </row>
    <row r="4352" spans="2:4" x14ac:dyDescent="0.25">
      <c r="B4352">
        <f t="shared" ca="1" si="203"/>
        <v>44749.919426775778</v>
      </c>
      <c r="C4352">
        <f t="shared" ca="1" si="201"/>
        <v>0</v>
      </c>
      <c r="D4352">
        <f t="shared" ca="1" si="202"/>
        <v>4749.9194267757775</v>
      </c>
    </row>
    <row r="4353" spans="2:4" x14ac:dyDescent="0.25">
      <c r="B4353">
        <f t="shared" ca="1" si="203"/>
        <v>51226.882190299293</v>
      </c>
      <c r="C4353">
        <f t="shared" ca="1" si="201"/>
        <v>0</v>
      </c>
      <c r="D4353">
        <f t="shared" ca="1" si="202"/>
        <v>11226.882190299293</v>
      </c>
    </row>
    <row r="4354" spans="2:4" x14ac:dyDescent="0.25">
      <c r="B4354">
        <f t="shared" ca="1" si="203"/>
        <v>44877.573287192601</v>
      </c>
      <c r="C4354">
        <f t="shared" ca="1" si="201"/>
        <v>0</v>
      </c>
      <c r="D4354">
        <f t="shared" ca="1" si="202"/>
        <v>4877.5732871926011</v>
      </c>
    </row>
    <row r="4355" spans="2:4" x14ac:dyDescent="0.25">
      <c r="B4355">
        <f t="shared" ca="1" si="203"/>
        <v>40590.049789339741</v>
      </c>
      <c r="C4355">
        <f t="shared" ca="1" si="201"/>
        <v>0</v>
      </c>
      <c r="D4355">
        <f t="shared" ca="1" si="202"/>
        <v>590.04978933974053</v>
      </c>
    </row>
    <row r="4356" spans="2:4" x14ac:dyDescent="0.25">
      <c r="B4356">
        <f t="shared" ca="1" si="203"/>
        <v>53292.303114741677</v>
      </c>
      <c r="C4356">
        <f t="shared" ca="1" si="201"/>
        <v>0</v>
      </c>
      <c r="D4356">
        <f t="shared" ca="1" si="202"/>
        <v>13292.303114741677</v>
      </c>
    </row>
    <row r="4357" spans="2:4" x14ac:dyDescent="0.25">
      <c r="B4357">
        <f t="shared" ca="1" si="203"/>
        <v>44182.851921989895</v>
      </c>
      <c r="C4357">
        <f t="shared" ca="1" si="201"/>
        <v>0</v>
      </c>
      <c r="D4357">
        <f t="shared" ca="1" si="202"/>
        <v>4182.8519219898953</v>
      </c>
    </row>
    <row r="4358" spans="2:4" x14ac:dyDescent="0.25">
      <c r="B4358">
        <f t="shared" ca="1" si="203"/>
        <v>39505.554719847918</v>
      </c>
      <c r="C4358">
        <f t="shared" ca="1" si="201"/>
        <v>494.44528015208198</v>
      </c>
      <c r="D4358">
        <f t="shared" ca="1" si="202"/>
        <v>0</v>
      </c>
    </row>
    <row r="4359" spans="2:4" x14ac:dyDescent="0.25">
      <c r="B4359">
        <f t="shared" ca="1" si="203"/>
        <v>42075.089931202216</v>
      </c>
      <c r="C4359">
        <f t="shared" ca="1" si="201"/>
        <v>0</v>
      </c>
      <c r="D4359">
        <f t="shared" ca="1" si="202"/>
        <v>2075.0899312022157</v>
      </c>
    </row>
    <row r="4360" spans="2:4" x14ac:dyDescent="0.25">
      <c r="B4360">
        <f t="shared" ca="1" si="203"/>
        <v>44083.351710052506</v>
      </c>
      <c r="C4360">
        <f t="shared" ca="1" si="201"/>
        <v>0</v>
      </c>
      <c r="D4360">
        <f t="shared" ca="1" si="202"/>
        <v>4083.351710052506</v>
      </c>
    </row>
    <row r="4361" spans="2:4" x14ac:dyDescent="0.25">
      <c r="B4361">
        <f t="shared" ca="1" si="203"/>
        <v>50430.363076038382</v>
      </c>
      <c r="C4361">
        <f t="shared" ca="1" si="201"/>
        <v>0</v>
      </c>
      <c r="D4361">
        <f t="shared" ca="1" si="202"/>
        <v>10430.363076038382</v>
      </c>
    </row>
    <row r="4362" spans="2:4" x14ac:dyDescent="0.25">
      <c r="B4362">
        <f t="shared" ca="1" si="203"/>
        <v>42524.313123097723</v>
      </c>
      <c r="C4362">
        <f t="shared" ca="1" si="201"/>
        <v>0</v>
      </c>
      <c r="D4362">
        <f t="shared" ca="1" si="202"/>
        <v>2524.3131230977233</v>
      </c>
    </row>
    <row r="4363" spans="2:4" x14ac:dyDescent="0.25">
      <c r="B4363">
        <f t="shared" ca="1" si="203"/>
        <v>49566.797609422276</v>
      </c>
      <c r="C4363">
        <f t="shared" ca="1" si="201"/>
        <v>0</v>
      </c>
      <c r="D4363">
        <f t="shared" ca="1" si="202"/>
        <v>9566.7976094222759</v>
      </c>
    </row>
    <row r="4364" spans="2:4" x14ac:dyDescent="0.25">
      <c r="B4364">
        <f t="shared" ca="1" si="203"/>
        <v>47161.239878140004</v>
      </c>
      <c r="C4364">
        <f t="shared" ref="C4364:C4427" ca="1" si="204">IF(MAX($B$2-B4364)&lt;0,0,$B$2-B4364)</f>
        <v>0</v>
      </c>
      <c r="D4364">
        <f t="shared" ref="D4364:D4427" ca="1" si="205">IF(MAX(B4364-$B$2)&lt;0,0,B4364-$B$2)</f>
        <v>7161.2398781400043</v>
      </c>
    </row>
    <row r="4365" spans="2:4" x14ac:dyDescent="0.25">
      <c r="B4365">
        <f t="shared" ref="B4365:B4428" ca="1" si="206">$B$1*EXP((($B$4-($B$3^2)/2)*$B$5+$B$3*SQRT($B$5)*NORMSINV(RAND())))</f>
        <v>47183.616896095191</v>
      </c>
      <c r="C4365">
        <f t="shared" ca="1" si="204"/>
        <v>0</v>
      </c>
      <c r="D4365">
        <f t="shared" ca="1" si="205"/>
        <v>7183.6168960951909</v>
      </c>
    </row>
    <row r="4366" spans="2:4" x14ac:dyDescent="0.25">
      <c r="B4366">
        <f t="shared" ca="1" si="206"/>
        <v>44625.616540847404</v>
      </c>
      <c r="C4366">
        <f t="shared" ca="1" si="204"/>
        <v>0</v>
      </c>
      <c r="D4366">
        <f t="shared" ca="1" si="205"/>
        <v>4625.6165408474044</v>
      </c>
    </row>
    <row r="4367" spans="2:4" x14ac:dyDescent="0.25">
      <c r="B4367">
        <f t="shared" ca="1" si="206"/>
        <v>49525.303512404273</v>
      </c>
      <c r="C4367">
        <f t="shared" ca="1" si="204"/>
        <v>0</v>
      </c>
      <c r="D4367">
        <f t="shared" ca="1" si="205"/>
        <v>9525.3035124042726</v>
      </c>
    </row>
    <row r="4368" spans="2:4" x14ac:dyDescent="0.25">
      <c r="B4368">
        <f t="shared" ca="1" si="206"/>
        <v>47590.963700417364</v>
      </c>
      <c r="C4368">
        <f t="shared" ca="1" si="204"/>
        <v>0</v>
      </c>
      <c r="D4368">
        <f t="shared" ca="1" si="205"/>
        <v>7590.9637004173637</v>
      </c>
    </row>
    <row r="4369" spans="2:4" x14ac:dyDescent="0.25">
      <c r="B4369">
        <f t="shared" ca="1" si="206"/>
        <v>47748.724385121357</v>
      </c>
      <c r="C4369">
        <f t="shared" ca="1" si="204"/>
        <v>0</v>
      </c>
      <c r="D4369">
        <f t="shared" ca="1" si="205"/>
        <v>7748.724385121357</v>
      </c>
    </row>
    <row r="4370" spans="2:4" x14ac:dyDescent="0.25">
      <c r="B4370">
        <f t="shared" ca="1" si="206"/>
        <v>42604.057046982685</v>
      </c>
      <c r="C4370">
        <f t="shared" ca="1" si="204"/>
        <v>0</v>
      </c>
      <c r="D4370">
        <f t="shared" ca="1" si="205"/>
        <v>2604.0570469826853</v>
      </c>
    </row>
    <row r="4371" spans="2:4" x14ac:dyDescent="0.25">
      <c r="B4371">
        <f t="shared" ca="1" si="206"/>
        <v>46030.073471081785</v>
      </c>
      <c r="C4371">
        <f t="shared" ca="1" si="204"/>
        <v>0</v>
      </c>
      <c r="D4371">
        <f t="shared" ca="1" si="205"/>
        <v>6030.0734710817851</v>
      </c>
    </row>
    <row r="4372" spans="2:4" x14ac:dyDescent="0.25">
      <c r="B4372">
        <f t="shared" ca="1" si="206"/>
        <v>43709.606823097616</v>
      </c>
      <c r="C4372">
        <f t="shared" ca="1" si="204"/>
        <v>0</v>
      </c>
      <c r="D4372">
        <f t="shared" ca="1" si="205"/>
        <v>3709.6068230976161</v>
      </c>
    </row>
    <row r="4373" spans="2:4" x14ac:dyDescent="0.25">
      <c r="B4373">
        <f t="shared" ca="1" si="206"/>
        <v>50508.612601970373</v>
      </c>
      <c r="C4373">
        <f t="shared" ca="1" si="204"/>
        <v>0</v>
      </c>
      <c r="D4373">
        <f t="shared" ca="1" si="205"/>
        <v>10508.612601970373</v>
      </c>
    </row>
    <row r="4374" spans="2:4" x14ac:dyDescent="0.25">
      <c r="B4374">
        <f t="shared" ca="1" si="206"/>
        <v>46749.112231976906</v>
      </c>
      <c r="C4374">
        <f t="shared" ca="1" si="204"/>
        <v>0</v>
      </c>
      <c r="D4374">
        <f t="shared" ca="1" si="205"/>
        <v>6749.1122319769056</v>
      </c>
    </row>
    <row r="4375" spans="2:4" x14ac:dyDescent="0.25">
      <c r="B4375">
        <f t="shared" ca="1" si="206"/>
        <v>40176.216338862214</v>
      </c>
      <c r="C4375">
        <f t="shared" ca="1" si="204"/>
        <v>0</v>
      </c>
      <c r="D4375">
        <f t="shared" ca="1" si="205"/>
        <v>176.21633886221389</v>
      </c>
    </row>
    <row r="4376" spans="2:4" x14ac:dyDescent="0.25">
      <c r="B4376">
        <f t="shared" ca="1" si="206"/>
        <v>46345.809450849767</v>
      </c>
      <c r="C4376">
        <f t="shared" ca="1" si="204"/>
        <v>0</v>
      </c>
      <c r="D4376">
        <f t="shared" ca="1" si="205"/>
        <v>6345.809450849767</v>
      </c>
    </row>
    <row r="4377" spans="2:4" x14ac:dyDescent="0.25">
      <c r="B4377">
        <f t="shared" ca="1" si="206"/>
        <v>43146.83305715162</v>
      </c>
      <c r="C4377">
        <f t="shared" ca="1" si="204"/>
        <v>0</v>
      </c>
      <c r="D4377">
        <f t="shared" ca="1" si="205"/>
        <v>3146.8330571516199</v>
      </c>
    </row>
    <row r="4378" spans="2:4" x14ac:dyDescent="0.25">
      <c r="B4378">
        <f t="shared" ca="1" si="206"/>
        <v>52608.495986622067</v>
      </c>
      <c r="C4378">
        <f t="shared" ca="1" si="204"/>
        <v>0</v>
      </c>
      <c r="D4378">
        <f t="shared" ca="1" si="205"/>
        <v>12608.495986622067</v>
      </c>
    </row>
    <row r="4379" spans="2:4" x14ac:dyDescent="0.25">
      <c r="B4379">
        <f t="shared" ca="1" si="206"/>
        <v>51869.178885075118</v>
      </c>
      <c r="C4379">
        <f t="shared" ca="1" si="204"/>
        <v>0</v>
      </c>
      <c r="D4379">
        <f t="shared" ca="1" si="205"/>
        <v>11869.178885075118</v>
      </c>
    </row>
    <row r="4380" spans="2:4" x14ac:dyDescent="0.25">
      <c r="B4380">
        <f t="shared" ca="1" si="206"/>
        <v>46338.619264124827</v>
      </c>
      <c r="C4380">
        <f t="shared" ca="1" si="204"/>
        <v>0</v>
      </c>
      <c r="D4380">
        <f t="shared" ca="1" si="205"/>
        <v>6338.6192641248272</v>
      </c>
    </row>
    <row r="4381" spans="2:4" x14ac:dyDescent="0.25">
      <c r="B4381">
        <f t="shared" ca="1" si="206"/>
        <v>52622.727982552147</v>
      </c>
      <c r="C4381">
        <f t="shared" ca="1" si="204"/>
        <v>0</v>
      </c>
      <c r="D4381">
        <f t="shared" ca="1" si="205"/>
        <v>12622.727982552147</v>
      </c>
    </row>
    <row r="4382" spans="2:4" x14ac:dyDescent="0.25">
      <c r="B4382">
        <f t="shared" ca="1" si="206"/>
        <v>43461.273396346682</v>
      </c>
      <c r="C4382">
        <f t="shared" ca="1" si="204"/>
        <v>0</v>
      </c>
      <c r="D4382">
        <f t="shared" ca="1" si="205"/>
        <v>3461.2733963466817</v>
      </c>
    </row>
    <row r="4383" spans="2:4" x14ac:dyDescent="0.25">
      <c r="B4383">
        <f t="shared" ca="1" si="206"/>
        <v>45121.350439733571</v>
      </c>
      <c r="C4383">
        <f t="shared" ca="1" si="204"/>
        <v>0</v>
      </c>
      <c r="D4383">
        <f t="shared" ca="1" si="205"/>
        <v>5121.350439733571</v>
      </c>
    </row>
    <row r="4384" spans="2:4" x14ac:dyDescent="0.25">
      <c r="B4384">
        <f t="shared" ca="1" si="206"/>
        <v>41122.509478363056</v>
      </c>
      <c r="C4384">
        <f t="shared" ca="1" si="204"/>
        <v>0</v>
      </c>
      <c r="D4384">
        <f t="shared" ca="1" si="205"/>
        <v>1122.5094783630557</v>
      </c>
    </row>
    <row r="4385" spans="2:4" x14ac:dyDescent="0.25">
      <c r="B4385">
        <f t="shared" ca="1" si="206"/>
        <v>41903.404281710566</v>
      </c>
      <c r="C4385">
        <f t="shared" ca="1" si="204"/>
        <v>0</v>
      </c>
      <c r="D4385">
        <f t="shared" ca="1" si="205"/>
        <v>1903.4042817105656</v>
      </c>
    </row>
    <row r="4386" spans="2:4" x14ac:dyDescent="0.25">
      <c r="B4386">
        <f t="shared" ca="1" si="206"/>
        <v>44032.864545578006</v>
      </c>
      <c r="C4386">
        <f t="shared" ca="1" si="204"/>
        <v>0</v>
      </c>
      <c r="D4386">
        <f t="shared" ca="1" si="205"/>
        <v>4032.8645455780061</v>
      </c>
    </row>
    <row r="4387" spans="2:4" x14ac:dyDescent="0.25">
      <c r="B4387">
        <f t="shared" ca="1" si="206"/>
        <v>48211.187761666311</v>
      </c>
      <c r="C4387">
        <f t="shared" ca="1" si="204"/>
        <v>0</v>
      </c>
      <c r="D4387">
        <f t="shared" ca="1" si="205"/>
        <v>8211.1877616663114</v>
      </c>
    </row>
    <row r="4388" spans="2:4" x14ac:dyDescent="0.25">
      <c r="B4388">
        <f t="shared" ca="1" si="206"/>
        <v>43226.88830875179</v>
      </c>
      <c r="C4388">
        <f t="shared" ca="1" si="204"/>
        <v>0</v>
      </c>
      <c r="D4388">
        <f t="shared" ca="1" si="205"/>
        <v>3226.8883087517897</v>
      </c>
    </row>
    <row r="4389" spans="2:4" x14ac:dyDescent="0.25">
      <c r="B4389">
        <f t="shared" ca="1" si="206"/>
        <v>41869.949077144753</v>
      </c>
      <c r="C4389">
        <f t="shared" ca="1" si="204"/>
        <v>0</v>
      </c>
      <c r="D4389">
        <f t="shared" ca="1" si="205"/>
        <v>1869.9490771447527</v>
      </c>
    </row>
    <row r="4390" spans="2:4" x14ac:dyDescent="0.25">
      <c r="B4390">
        <f t="shared" ca="1" si="206"/>
        <v>36092.602919089972</v>
      </c>
      <c r="C4390">
        <f t="shared" ca="1" si="204"/>
        <v>3907.3970809100283</v>
      </c>
      <c r="D4390">
        <f t="shared" ca="1" si="205"/>
        <v>0</v>
      </c>
    </row>
    <row r="4391" spans="2:4" x14ac:dyDescent="0.25">
      <c r="B4391">
        <f t="shared" ca="1" si="206"/>
        <v>44922.626356924935</v>
      </c>
      <c r="C4391">
        <f t="shared" ca="1" si="204"/>
        <v>0</v>
      </c>
      <c r="D4391">
        <f t="shared" ca="1" si="205"/>
        <v>4922.626356924935</v>
      </c>
    </row>
    <row r="4392" spans="2:4" x14ac:dyDescent="0.25">
      <c r="B4392">
        <f t="shared" ca="1" si="206"/>
        <v>42495.464930217051</v>
      </c>
      <c r="C4392">
        <f t="shared" ca="1" si="204"/>
        <v>0</v>
      </c>
      <c r="D4392">
        <f t="shared" ca="1" si="205"/>
        <v>2495.464930217051</v>
      </c>
    </row>
    <row r="4393" spans="2:4" x14ac:dyDescent="0.25">
      <c r="B4393">
        <f t="shared" ca="1" si="206"/>
        <v>40914.994263248765</v>
      </c>
      <c r="C4393">
        <f t="shared" ca="1" si="204"/>
        <v>0</v>
      </c>
      <c r="D4393">
        <f t="shared" ca="1" si="205"/>
        <v>914.99426324876549</v>
      </c>
    </row>
    <row r="4394" spans="2:4" x14ac:dyDescent="0.25">
      <c r="B4394">
        <f t="shared" ca="1" si="206"/>
        <v>41725.395046034333</v>
      </c>
      <c r="C4394">
        <f t="shared" ca="1" si="204"/>
        <v>0</v>
      </c>
      <c r="D4394">
        <f t="shared" ca="1" si="205"/>
        <v>1725.3950460343331</v>
      </c>
    </row>
    <row r="4395" spans="2:4" x14ac:dyDescent="0.25">
      <c r="B4395">
        <f t="shared" ca="1" si="206"/>
        <v>49022.061819301853</v>
      </c>
      <c r="C4395">
        <f t="shared" ca="1" si="204"/>
        <v>0</v>
      </c>
      <c r="D4395">
        <f t="shared" ca="1" si="205"/>
        <v>9022.0618193018527</v>
      </c>
    </row>
    <row r="4396" spans="2:4" x14ac:dyDescent="0.25">
      <c r="B4396">
        <f t="shared" ca="1" si="206"/>
        <v>39673.966500256363</v>
      </c>
      <c r="C4396">
        <f t="shared" ca="1" si="204"/>
        <v>326.03349974363664</v>
      </c>
      <c r="D4396">
        <f t="shared" ca="1" si="205"/>
        <v>0</v>
      </c>
    </row>
    <row r="4397" spans="2:4" x14ac:dyDescent="0.25">
      <c r="B4397">
        <f t="shared" ca="1" si="206"/>
        <v>50282.371524604532</v>
      </c>
      <c r="C4397">
        <f t="shared" ca="1" si="204"/>
        <v>0</v>
      </c>
      <c r="D4397">
        <f t="shared" ca="1" si="205"/>
        <v>10282.371524604532</v>
      </c>
    </row>
    <row r="4398" spans="2:4" x14ac:dyDescent="0.25">
      <c r="B4398">
        <f t="shared" ca="1" si="206"/>
        <v>48090.263177822933</v>
      </c>
      <c r="C4398">
        <f t="shared" ca="1" si="204"/>
        <v>0</v>
      </c>
      <c r="D4398">
        <f t="shared" ca="1" si="205"/>
        <v>8090.2631778229334</v>
      </c>
    </row>
    <row r="4399" spans="2:4" x14ac:dyDescent="0.25">
      <c r="B4399">
        <f t="shared" ca="1" si="206"/>
        <v>48507.544880909263</v>
      </c>
      <c r="C4399">
        <f t="shared" ca="1" si="204"/>
        <v>0</v>
      </c>
      <c r="D4399">
        <f t="shared" ca="1" si="205"/>
        <v>8507.5448809092632</v>
      </c>
    </row>
    <row r="4400" spans="2:4" x14ac:dyDescent="0.25">
      <c r="B4400">
        <f t="shared" ca="1" si="206"/>
        <v>47369.930053206102</v>
      </c>
      <c r="C4400">
        <f t="shared" ca="1" si="204"/>
        <v>0</v>
      </c>
      <c r="D4400">
        <f t="shared" ca="1" si="205"/>
        <v>7369.9300532061025</v>
      </c>
    </row>
    <row r="4401" spans="2:4" x14ac:dyDescent="0.25">
      <c r="B4401">
        <f t="shared" ca="1" si="206"/>
        <v>41024.63723509288</v>
      </c>
      <c r="C4401">
        <f t="shared" ca="1" si="204"/>
        <v>0</v>
      </c>
      <c r="D4401">
        <f t="shared" ca="1" si="205"/>
        <v>1024.6372350928796</v>
      </c>
    </row>
    <row r="4402" spans="2:4" x14ac:dyDescent="0.25">
      <c r="B4402">
        <f t="shared" ca="1" si="206"/>
        <v>42995.592174022429</v>
      </c>
      <c r="C4402">
        <f t="shared" ca="1" si="204"/>
        <v>0</v>
      </c>
      <c r="D4402">
        <f t="shared" ca="1" si="205"/>
        <v>2995.5921740224294</v>
      </c>
    </row>
    <row r="4403" spans="2:4" x14ac:dyDescent="0.25">
      <c r="B4403">
        <f t="shared" ca="1" si="206"/>
        <v>40638.59727036066</v>
      </c>
      <c r="C4403">
        <f t="shared" ca="1" si="204"/>
        <v>0</v>
      </c>
      <c r="D4403">
        <f t="shared" ca="1" si="205"/>
        <v>638.59727036066033</v>
      </c>
    </row>
    <row r="4404" spans="2:4" x14ac:dyDescent="0.25">
      <c r="B4404">
        <f t="shared" ca="1" si="206"/>
        <v>40736.205492691573</v>
      </c>
      <c r="C4404">
        <f t="shared" ca="1" si="204"/>
        <v>0</v>
      </c>
      <c r="D4404">
        <f t="shared" ca="1" si="205"/>
        <v>736.20549269157345</v>
      </c>
    </row>
    <row r="4405" spans="2:4" x14ac:dyDescent="0.25">
      <c r="B4405">
        <f t="shared" ca="1" si="206"/>
        <v>52370.227866091271</v>
      </c>
      <c r="C4405">
        <f t="shared" ca="1" si="204"/>
        <v>0</v>
      </c>
      <c r="D4405">
        <f t="shared" ca="1" si="205"/>
        <v>12370.227866091271</v>
      </c>
    </row>
    <row r="4406" spans="2:4" x14ac:dyDescent="0.25">
      <c r="B4406">
        <f t="shared" ca="1" si="206"/>
        <v>44218.73165740267</v>
      </c>
      <c r="C4406">
        <f t="shared" ca="1" si="204"/>
        <v>0</v>
      </c>
      <c r="D4406">
        <f t="shared" ca="1" si="205"/>
        <v>4218.73165740267</v>
      </c>
    </row>
    <row r="4407" spans="2:4" x14ac:dyDescent="0.25">
      <c r="B4407">
        <f t="shared" ca="1" si="206"/>
        <v>47694.420381451637</v>
      </c>
      <c r="C4407">
        <f t="shared" ca="1" si="204"/>
        <v>0</v>
      </c>
      <c r="D4407">
        <f t="shared" ca="1" si="205"/>
        <v>7694.4203814516368</v>
      </c>
    </row>
    <row r="4408" spans="2:4" x14ac:dyDescent="0.25">
      <c r="B4408">
        <f t="shared" ca="1" si="206"/>
        <v>39137.60788232652</v>
      </c>
      <c r="C4408">
        <f t="shared" ca="1" si="204"/>
        <v>862.39211767348024</v>
      </c>
      <c r="D4408">
        <f t="shared" ca="1" si="205"/>
        <v>0</v>
      </c>
    </row>
    <row r="4409" spans="2:4" x14ac:dyDescent="0.25">
      <c r="B4409">
        <f t="shared" ca="1" si="206"/>
        <v>42732.640448388091</v>
      </c>
      <c r="C4409">
        <f t="shared" ca="1" si="204"/>
        <v>0</v>
      </c>
      <c r="D4409">
        <f t="shared" ca="1" si="205"/>
        <v>2732.6404483880906</v>
      </c>
    </row>
    <row r="4410" spans="2:4" x14ac:dyDescent="0.25">
      <c r="B4410">
        <f t="shared" ca="1" si="206"/>
        <v>40222.951715832816</v>
      </c>
      <c r="C4410">
        <f t="shared" ca="1" si="204"/>
        <v>0</v>
      </c>
      <c r="D4410">
        <f t="shared" ca="1" si="205"/>
        <v>222.95171583281626</v>
      </c>
    </row>
    <row r="4411" spans="2:4" x14ac:dyDescent="0.25">
      <c r="B4411">
        <f t="shared" ca="1" si="206"/>
        <v>41342.00303066436</v>
      </c>
      <c r="C4411">
        <f t="shared" ca="1" si="204"/>
        <v>0</v>
      </c>
      <c r="D4411">
        <f t="shared" ca="1" si="205"/>
        <v>1342.0030306643603</v>
      </c>
    </row>
    <row r="4412" spans="2:4" x14ac:dyDescent="0.25">
      <c r="B4412">
        <f t="shared" ca="1" si="206"/>
        <v>45511.272082143536</v>
      </c>
      <c r="C4412">
        <f t="shared" ca="1" si="204"/>
        <v>0</v>
      </c>
      <c r="D4412">
        <f t="shared" ca="1" si="205"/>
        <v>5511.272082143536</v>
      </c>
    </row>
    <row r="4413" spans="2:4" x14ac:dyDescent="0.25">
      <c r="B4413">
        <f t="shared" ca="1" si="206"/>
        <v>42323.911687130116</v>
      </c>
      <c r="C4413">
        <f t="shared" ca="1" si="204"/>
        <v>0</v>
      </c>
      <c r="D4413">
        <f t="shared" ca="1" si="205"/>
        <v>2323.9116871301158</v>
      </c>
    </row>
    <row r="4414" spans="2:4" x14ac:dyDescent="0.25">
      <c r="B4414">
        <f t="shared" ca="1" si="206"/>
        <v>50609.953447972555</v>
      </c>
      <c r="C4414">
        <f t="shared" ca="1" si="204"/>
        <v>0</v>
      </c>
      <c r="D4414">
        <f t="shared" ca="1" si="205"/>
        <v>10609.953447972555</v>
      </c>
    </row>
    <row r="4415" spans="2:4" x14ac:dyDescent="0.25">
      <c r="B4415">
        <f t="shared" ca="1" si="206"/>
        <v>45081.160267665851</v>
      </c>
      <c r="C4415">
        <f t="shared" ca="1" si="204"/>
        <v>0</v>
      </c>
      <c r="D4415">
        <f t="shared" ca="1" si="205"/>
        <v>5081.1602676658513</v>
      </c>
    </row>
    <row r="4416" spans="2:4" x14ac:dyDescent="0.25">
      <c r="B4416">
        <f t="shared" ca="1" si="206"/>
        <v>41385.611444913855</v>
      </c>
      <c r="C4416">
        <f t="shared" ca="1" si="204"/>
        <v>0</v>
      </c>
      <c r="D4416">
        <f t="shared" ca="1" si="205"/>
        <v>1385.6114449138549</v>
      </c>
    </row>
    <row r="4417" spans="2:4" x14ac:dyDescent="0.25">
      <c r="B4417">
        <f t="shared" ca="1" si="206"/>
        <v>39915.591847845455</v>
      </c>
      <c r="C4417">
        <f t="shared" ca="1" si="204"/>
        <v>84.40815215454495</v>
      </c>
      <c r="D4417">
        <f t="shared" ca="1" si="205"/>
        <v>0</v>
      </c>
    </row>
    <row r="4418" spans="2:4" x14ac:dyDescent="0.25">
      <c r="B4418">
        <f t="shared" ca="1" si="206"/>
        <v>45523.663933441247</v>
      </c>
      <c r="C4418">
        <f t="shared" ca="1" si="204"/>
        <v>0</v>
      </c>
      <c r="D4418">
        <f t="shared" ca="1" si="205"/>
        <v>5523.6639334412466</v>
      </c>
    </row>
    <row r="4419" spans="2:4" x14ac:dyDescent="0.25">
      <c r="B4419">
        <f t="shared" ca="1" si="206"/>
        <v>45398.817143313128</v>
      </c>
      <c r="C4419">
        <f t="shared" ca="1" si="204"/>
        <v>0</v>
      </c>
      <c r="D4419">
        <f t="shared" ca="1" si="205"/>
        <v>5398.8171433131283</v>
      </c>
    </row>
    <row r="4420" spans="2:4" x14ac:dyDescent="0.25">
      <c r="B4420">
        <f t="shared" ca="1" si="206"/>
        <v>47445.483639448117</v>
      </c>
      <c r="C4420">
        <f t="shared" ca="1" si="204"/>
        <v>0</v>
      </c>
      <c r="D4420">
        <f t="shared" ca="1" si="205"/>
        <v>7445.4836394481172</v>
      </c>
    </row>
    <row r="4421" spans="2:4" x14ac:dyDescent="0.25">
      <c r="B4421">
        <f t="shared" ca="1" si="206"/>
        <v>43007.097054576894</v>
      </c>
      <c r="C4421">
        <f t="shared" ca="1" si="204"/>
        <v>0</v>
      </c>
      <c r="D4421">
        <f t="shared" ca="1" si="205"/>
        <v>3007.0970545768942</v>
      </c>
    </row>
    <row r="4422" spans="2:4" x14ac:dyDescent="0.25">
      <c r="B4422">
        <f t="shared" ca="1" si="206"/>
        <v>38981.344655448178</v>
      </c>
      <c r="C4422">
        <f t="shared" ca="1" si="204"/>
        <v>1018.6553445518221</v>
      </c>
      <c r="D4422">
        <f t="shared" ca="1" si="205"/>
        <v>0</v>
      </c>
    </row>
    <row r="4423" spans="2:4" x14ac:dyDescent="0.25">
      <c r="B4423">
        <f t="shared" ca="1" si="206"/>
        <v>43336.216109416608</v>
      </c>
      <c r="C4423">
        <f t="shared" ca="1" si="204"/>
        <v>0</v>
      </c>
      <c r="D4423">
        <f t="shared" ca="1" si="205"/>
        <v>3336.2161094166077</v>
      </c>
    </row>
    <row r="4424" spans="2:4" x14ac:dyDescent="0.25">
      <c r="B4424">
        <f t="shared" ca="1" si="206"/>
        <v>38496.075687498684</v>
      </c>
      <c r="C4424">
        <f t="shared" ca="1" si="204"/>
        <v>1503.9243125013163</v>
      </c>
      <c r="D4424">
        <f t="shared" ca="1" si="205"/>
        <v>0</v>
      </c>
    </row>
    <row r="4425" spans="2:4" x14ac:dyDescent="0.25">
      <c r="B4425">
        <f t="shared" ca="1" si="206"/>
        <v>38162.35846265898</v>
      </c>
      <c r="C4425">
        <f t="shared" ca="1" si="204"/>
        <v>1837.64153734102</v>
      </c>
      <c r="D4425">
        <f t="shared" ca="1" si="205"/>
        <v>0</v>
      </c>
    </row>
    <row r="4426" spans="2:4" x14ac:dyDescent="0.25">
      <c r="B4426">
        <f t="shared" ca="1" si="206"/>
        <v>46317.647627533515</v>
      </c>
      <c r="C4426">
        <f t="shared" ca="1" si="204"/>
        <v>0</v>
      </c>
      <c r="D4426">
        <f t="shared" ca="1" si="205"/>
        <v>6317.6476275335153</v>
      </c>
    </row>
    <row r="4427" spans="2:4" x14ac:dyDescent="0.25">
      <c r="B4427">
        <f t="shared" ca="1" si="206"/>
        <v>53725.138158799469</v>
      </c>
      <c r="C4427">
        <f t="shared" ca="1" si="204"/>
        <v>0</v>
      </c>
      <c r="D4427">
        <f t="shared" ca="1" si="205"/>
        <v>13725.138158799469</v>
      </c>
    </row>
    <row r="4428" spans="2:4" x14ac:dyDescent="0.25">
      <c r="B4428">
        <f t="shared" ca="1" si="206"/>
        <v>45519.755294194925</v>
      </c>
      <c r="C4428">
        <f t="shared" ref="C4428:C4491" ca="1" si="207">IF(MAX($B$2-B4428)&lt;0,0,$B$2-B4428)</f>
        <v>0</v>
      </c>
      <c r="D4428">
        <f t="shared" ref="D4428:D4491" ca="1" si="208">IF(MAX(B4428-$B$2)&lt;0,0,B4428-$B$2)</f>
        <v>5519.7552941949252</v>
      </c>
    </row>
    <row r="4429" spans="2:4" x14ac:dyDescent="0.25">
      <c r="B4429">
        <f t="shared" ref="B4429:B4492" ca="1" si="209">$B$1*EXP((($B$4-($B$3^2)/2)*$B$5+$B$3*SQRT($B$5)*NORMSINV(RAND())))</f>
        <v>42907.341898557846</v>
      </c>
      <c r="C4429">
        <f t="shared" ca="1" si="207"/>
        <v>0</v>
      </c>
      <c r="D4429">
        <f t="shared" ca="1" si="208"/>
        <v>2907.3418985578464</v>
      </c>
    </row>
    <row r="4430" spans="2:4" x14ac:dyDescent="0.25">
      <c r="B4430">
        <f t="shared" ca="1" si="209"/>
        <v>42291.679910746199</v>
      </c>
      <c r="C4430">
        <f t="shared" ca="1" si="207"/>
        <v>0</v>
      </c>
      <c r="D4430">
        <f t="shared" ca="1" si="208"/>
        <v>2291.6799107461993</v>
      </c>
    </row>
    <row r="4431" spans="2:4" x14ac:dyDescent="0.25">
      <c r="B4431">
        <f t="shared" ca="1" si="209"/>
        <v>52405.469669630598</v>
      </c>
      <c r="C4431">
        <f t="shared" ca="1" si="207"/>
        <v>0</v>
      </c>
      <c r="D4431">
        <f t="shared" ca="1" si="208"/>
        <v>12405.469669630598</v>
      </c>
    </row>
    <row r="4432" spans="2:4" x14ac:dyDescent="0.25">
      <c r="B4432">
        <f t="shared" ca="1" si="209"/>
        <v>48801.088141246837</v>
      </c>
      <c r="C4432">
        <f t="shared" ca="1" si="207"/>
        <v>0</v>
      </c>
      <c r="D4432">
        <f t="shared" ca="1" si="208"/>
        <v>8801.088141246837</v>
      </c>
    </row>
    <row r="4433" spans="2:4" x14ac:dyDescent="0.25">
      <c r="B4433">
        <f t="shared" ca="1" si="209"/>
        <v>44503.682328517549</v>
      </c>
      <c r="C4433">
        <f t="shared" ca="1" si="207"/>
        <v>0</v>
      </c>
      <c r="D4433">
        <f t="shared" ca="1" si="208"/>
        <v>4503.6823285175487</v>
      </c>
    </row>
    <row r="4434" spans="2:4" x14ac:dyDescent="0.25">
      <c r="B4434">
        <f t="shared" ca="1" si="209"/>
        <v>43285.668218787658</v>
      </c>
      <c r="C4434">
        <f t="shared" ca="1" si="207"/>
        <v>0</v>
      </c>
      <c r="D4434">
        <f t="shared" ca="1" si="208"/>
        <v>3285.6682187876577</v>
      </c>
    </row>
    <row r="4435" spans="2:4" x14ac:dyDescent="0.25">
      <c r="B4435">
        <f t="shared" ca="1" si="209"/>
        <v>41760.340467747876</v>
      </c>
      <c r="C4435">
        <f t="shared" ca="1" si="207"/>
        <v>0</v>
      </c>
      <c r="D4435">
        <f t="shared" ca="1" si="208"/>
        <v>1760.3404677478757</v>
      </c>
    </row>
    <row r="4436" spans="2:4" x14ac:dyDescent="0.25">
      <c r="B4436">
        <f t="shared" ca="1" si="209"/>
        <v>39277.455349934906</v>
      </c>
      <c r="C4436">
        <f t="shared" ca="1" si="207"/>
        <v>722.54465006509417</v>
      </c>
      <c r="D4436">
        <f t="shared" ca="1" si="208"/>
        <v>0</v>
      </c>
    </row>
    <row r="4437" spans="2:4" x14ac:dyDescent="0.25">
      <c r="B4437">
        <f t="shared" ca="1" si="209"/>
        <v>39349.670363385325</v>
      </c>
      <c r="C4437">
        <f t="shared" ca="1" si="207"/>
        <v>650.32963661467511</v>
      </c>
      <c r="D4437">
        <f t="shared" ca="1" si="208"/>
        <v>0</v>
      </c>
    </row>
    <row r="4438" spans="2:4" x14ac:dyDescent="0.25">
      <c r="B4438">
        <f t="shared" ca="1" si="209"/>
        <v>47052.563404104396</v>
      </c>
      <c r="C4438">
        <f t="shared" ca="1" si="207"/>
        <v>0</v>
      </c>
      <c r="D4438">
        <f t="shared" ca="1" si="208"/>
        <v>7052.5634041043959</v>
      </c>
    </row>
    <row r="4439" spans="2:4" x14ac:dyDescent="0.25">
      <c r="B4439">
        <f t="shared" ca="1" si="209"/>
        <v>53853.513818927175</v>
      </c>
      <c r="C4439">
        <f t="shared" ca="1" si="207"/>
        <v>0</v>
      </c>
      <c r="D4439">
        <f t="shared" ca="1" si="208"/>
        <v>13853.513818927175</v>
      </c>
    </row>
    <row r="4440" spans="2:4" x14ac:dyDescent="0.25">
      <c r="B4440">
        <f t="shared" ca="1" si="209"/>
        <v>41409.3070696348</v>
      </c>
      <c r="C4440">
        <f t="shared" ca="1" si="207"/>
        <v>0</v>
      </c>
      <c r="D4440">
        <f t="shared" ca="1" si="208"/>
        <v>1409.3070696348004</v>
      </c>
    </row>
    <row r="4441" spans="2:4" x14ac:dyDescent="0.25">
      <c r="B4441">
        <f t="shared" ca="1" si="209"/>
        <v>38367.152377162631</v>
      </c>
      <c r="C4441">
        <f t="shared" ca="1" si="207"/>
        <v>1632.8476228373693</v>
      </c>
      <c r="D4441">
        <f t="shared" ca="1" si="208"/>
        <v>0</v>
      </c>
    </row>
    <row r="4442" spans="2:4" x14ac:dyDescent="0.25">
      <c r="B4442">
        <f t="shared" ca="1" si="209"/>
        <v>42174.702010900488</v>
      </c>
      <c r="C4442">
        <f t="shared" ca="1" si="207"/>
        <v>0</v>
      </c>
      <c r="D4442">
        <f t="shared" ca="1" si="208"/>
        <v>2174.7020109004879</v>
      </c>
    </row>
    <row r="4443" spans="2:4" x14ac:dyDescent="0.25">
      <c r="B4443">
        <f t="shared" ca="1" si="209"/>
        <v>42222.950832341136</v>
      </c>
      <c r="C4443">
        <f t="shared" ca="1" si="207"/>
        <v>0</v>
      </c>
      <c r="D4443">
        <f t="shared" ca="1" si="208"/>
        <v>2222.9508323411355</v>
      </c>
    </row>
    <row r="4444" spans="2:4" x14ac:dyDescent="0.25">
      <c r="B4444">
        <f t="shared" ca="1" si="209"/>
        <v>40541.161645426735</v>
      </c>
      <c r="C4444">
        <f t="shared" ca="1" si="207"/>
        <v>0</v>
      </c>
      <c r="D4444">
        <f t="shared" ca="1" si="208"/>
        <v>541.16164542673505</v>
      </c>
    </row>
    <row r="4445" spans="2:4" x14ac:dyDescent="0.25">
      <c r="B4445">
        <f t="shared" ca="1" si="209"/>
        <v>42532.639777665747</v>
      </c>
      <c r="C4445">
        <f t="shared" ca="1" si="207"/>
        <v>0</v>
      </c>
      <c r="D4445">
        <f t="shared" ca="1" si="208"/>
        <v>2532.6397776657468</v>
      </c>
    </row>
    <row r="4446" spans="2:4" x14ac:dyDescent="0.25">
      <c r="B4446">
        <f t="shared" ca="1" si="209"/>
        <v>57833.26608240162</v>
      </c>
      <c r="C4446">
        <f t="shared" ca="1" si="207"/>
        <v>0</v>
      </c>
      <c r="D4446">
        <f t="shared" ca="1" si="208"/>
        <v>17833.26608240162</v>
      </c>
    </row>
    <row r="4447" spans="2:4" x14ac:dyDescent="0.25">
      <c r="B4447">
        <f t="shared" ca="1" si="209"/>
        <v>49613.766852383196</v>
      </c>
      <c r="C4447">
        <f t="shared" ca="1" si="207"/>
        <v>0</v>
      </c>
      <c r="D4447">
        <f t="shared" ca="1" si="208"/>
        <v>9613.7668523831962</v>
      </c>
    </row>
    <row r="4448" spans="2:4" x14ac:dyDescent="0.25">
      <c r="B4448">
        <f t="shared" ca="1" si="209"/>
        <v>49869.342884853257</v>
      </c>
      <c r="C4448">
        <f t="shared" ca="1" si="207"/>
        <v>0</v>
      </c>
      <c r="D4448">
        <f t="shared" ca="1" si="208"/>
        <v>9869.3428848532567</v>
      </c>
    </row>
    <row r="4449" spans="2:4" x14ac:dyDescent="0.25">
      <c r="B4449">
        <f t="shared" ca="1" si="209"/>
        <v>54523.242413159445</v>
      </c>
      <c r="C4449">
        <f t="shared" ca="1" si="207"/>
        <v>0</v>
      </c>
      <c r="D4449">
        <f t="shared" ca="1" si="208"/>
        <v>14523.242413159445</v>
      </c>
    </row>
    <row r="4450" spans="2:4" x14ac:dyDescent="0.25">
      <c r="B4450">
        <f t="shared" ca="1" si="209"/>
        <v>43466.078071436415</v>
      </c>
      <c r="C4450">
        <f t="shared" ca="1" si="207"/>
        <v>0</v>
      </c>
      <c r="D4450">
        <f t="shared" ca="1" si="208"/>
        <v>3466.0780714364155</v>
      </c>
    </row>
    <row r="4451" spans="2:4" x14ac:dyDescent="0.25">
      <c r="B4451">
        <f t="shared" ca="1" si="209"/>
        <v>42624.010635809209</v>
      </c>
      <c r="C4451">
        <f t="shared" ca="1" si="207"/>
        <v>0</v>
      </c>
      <c r="D4451">
        <f t="shared" ca="1" si="208"/>
        <v>2624.0106358092089</v>
      </c>
    </row>
    <row r="4452" spans="2:4" x14ac:dyDescent="0.25">
      <c r="B4452">
        <f t="shared" ca="1" si="209"/>
        <v>44875.879476833514</v>
      </c>
      <c r="C4452">
        <f t="shared" ca="1" si="207"/>
        <v>0</v>
      </c>
      <c r="D4452">
        <f t="shared" ca="1" si="208"/>
        <v>4875.8794768335138</v>
      </c>
    </row>
    <row r="4453" spans="2:4" x14ac:dyDescent="0.25">
      <c r="B4453">
        <f t="shared" ca="1" si="209"/>
        <v>44413.566653668531</v>
      </c>
      <c r="C4453">
        <f t="shared" ca="1" si="207"/>
        <v>0</v>
      </c>
      <c r="D4453">
        <f t="shared" ca="1" si="208"/>
        <v>4413.5666536685312</v>
      </c>
    </row>
    <row r="4454" spans="2:4" x14ac:dyDescent="0.25">
      <c r="B4454">
        <f t="shared" ca="1" si="209"/>
        <v>41766.015218482957</v>
      </c>
      <c r="C4454">
        <f t="shared" ca="1" si="207"/>
        <v>0</v>
      </c>
      <c r="D4454">
        <f t="shared" ca="1" si="208"/>
        <v>1766.0152184829567</v>
      </c>
    </row>
    <row r="4455" spans="2:4" x14ac:dyDescent="0.25">
      <c r="B4455">
        <f t="shared" ca="1" si="209"/>
        <v>38675.684727409644</v>
      </c>
      <c r="C4455">
        <f t="shared" ca="1" si="207"/>
        <v>1324.3152725903565</v>
      </c>
      <c r="D4455">
        <f t="shared" ca="1" si="208"/>
        <v>0</v>
      </c>
    </row>
    <row r="4456" spans="2:4" x14ac:dyDescent="0.25">
      <c r="B4456">
        <f t="shared" ca="1" si="209"/>
        <v>50033.561108964925</v>
      </c>
      <c r="C4456">
        <f t="shared" ca="1" si="207"/>
        <v>0</v>
      </c>
      <c r="D4456">
        <f t="shared" ca="1" si="208"/>
        <v>10033.561108964925</v>
      </c>
    </row>
    <row r="4457" spans="2:4" x14ac:dyDescent="0.25">
      <c r="B4457">
        <f t="shared" ca="1" si="209"/>
        <v>38841.971263368992</v>
      </c>
      <c r="C4457">
        <f t="shared" ca="1" si="207"/>
        <v>1158.0287366310076</v>
      </c>
      <c r="D4457">
        <f t="shared" ca="1" si="208"/>
        <v>0</v>
      </c>
    </row>
    <row r="4458" spans="2:4" x14ac:dyDescent="0.25">
      <c r="B4458">
        <f t="shared" ca="1" si="209"/>
        <v>50081.051951511399</v>
      </c>
      <c r="C4458">
        <f t="shared" ca="1" si="207"/>
        <v>0</v>
      </c>
      <c r="D4458">
        <f t="shared" ca="1" si="208"/>
        <v>10081.051951511399</v>
      </c>
    </row>
    <row r="4459" spans="2:4" x14ac:dyDescent="0.25">
      <c r="B4459">
        <f t="shared" ca="1" si="209"/>
        <v>49939.410459302198</v>
      </c>
      <c r="C4459">
        <f t="shared" ca="1" si="207"/>
        <v>0</v>
      </c>
      <c r="D4459">
        <f t="shared" ca="1" si="208"/>
        <v>9939.4104593021984</v>
      </c>
    </row>
    <row r="4460" spans="2:4" x14ac:dyDescent="0.25">
      <c r="B4460">
        <f t="shared" ca="1" si="209"/>
        <v>51385.086616565233</v>
      </c>
      <c r="C4460">
        <f t="shared" ca="1" si="207"/>
        <v>0</v>
      </c>
      <c r="D4460">
        <f t="shared" ca="1" si="208"/>
        <v>11385.086616565233</v>
      </c>
    </row>
    <row r="4461" spans="2:4" x14ac:dyDescent="0.25">
      <c r="B4461">
        <f t="shared" ca="1" si="209"/>
        <v>42408.551705027538</v>
      </c>
      <c r="C4461">
        <f t="shared" ca="1" si="207"/>
        <v>0</v>
      </c>
      <c r="D4461">
        <f t="shared" ca="1" si="208"/>
        <v>2408.5517050275375</v>
      </c>
    </row>
    <row r="4462" spans="2:4" x14ac:dyDescent="0.25">
      <c r="B4462">
        <f t="shared" ca="1" si="209"/>
        <v>44746.782281274442</v>
      </c>
      <c r="C4462">
        <f t="shared" ca="1" si="207"/>
        <v>0</v>
      </c>
      <c r="D4462">
        <f t="shared" ca="1" si="208"/>
        <v>4746.7822812744416</v>
      </c>
    </row>
    <row r="4463" spans="2:4" x14ac:dyDescent="0.25">
      <c r="B4463">
        <f t="shared" ca="1" si="209"/>
        <v>58476.479945035302</v>
      </c>
      <c r="C4463">
        <f t="shared" ca="1" si="207"/>
        <v>0</v>
      </c>
      <c r="D4463">
        <f t="shared" ca="1" si="208"/>
        <v>18476.479945035302</v>
      </c>
    </row>
    <row r="4464" spans="2:4" x14ac:dyDescent="0.25">
      <c r="B4464">
        <f t="shared" ca="1" si="209"/>
        <v>41872.087401652869</v>
      </c>
      <c r="C4464">
        <f t="shared" ca="1" si="207"/>
        <v>0</v>
      </c>
      <c r="D4464">
        <f t="shared" ca="1" si="208"/>
        <v>1872.0874016528687</v>
      </c>
    </row>
    <row r="4465" spans="2:4" x14ac:dyDescent="0.25">
      <c r="B4465">
        <f t="shared" ca="1" si="209"/>
        <v>52240.938567179655</v>
      </c>
      <c r="C4465">
        <f t="shared" ca="1" si="207"/>
        <v>0</v>
      </c>
      <c r="D4465">
        <f t="shared" ca="1" si="208"/>
        <v>12240.938567179655</v>
      </c>
    </row>
    <row r="4466" spans="2:4" x14ac:dyDescent="0.25">
      <c r="B4466">
        <f t="shared" ca="1" si="209"/>
        <v>45654.623594639816</v>
      </c>
      <c r="C4466">
        <f t="shared" ca="1" si="207"/>
        <v>0</v>
      </c>
      <c r="D4466">
        <f t="shared" ca="1" si="208"/>
        <v>5654.6235946398156</v>
      </c>
    </row>
    <row r="4467" spans="2:4" x14ac:dyDescent="0.25">
      <c r="B4467">
        <f t="shared" ca="1" si="209"/>
        <v>47751.319942601003</v>
      </c>
      <c r="C4467">
        <f t="shared" ca="1" si="207"/>
        <v>0</v>
      </c>
      <c r="D4467">
        <f t="shared" ca="1" si="208"/>
        <v>7751.3199426010033</v>
      </c>
    </row>
    <row r="4468" spans="2:4" x14ac:dyDescent="0.25">
      <c r="B4468">
        <f t="shared" ca="1" si="209"/>
        <v>40933.961184526466</v>
      </c>
      <c r="C4468">
        <f t="shared" ca="1" si="207"/>
        <v>0</v>
      </c>
      <c r="D4468">
        <f t="shared" ca="1" si="208"/>
        <v>933.96118452646624</v>
      </c>
    </row>
    <row r="4469" spans="2:4" x14ac:dyDescent="0.25">
      <c r="B4469">
        <f t="shared" ca="1" si="209"/>
        <v>49672.257248972179</v>
      </c>
      <c r="C4469">
        <f t="shared" ca="1" si="207"/>
        <v>0</v>
      </c>
      <c r="D4469">
        <f t="shared" ca="1" si="208"/>
        <v>9672.2572489721788</v>
      </c>
    </row>
    <row r="4470" spans="2:4" x14ac:dyDescent="0.25">
      <c r="B4470">
        <f t="shared" ca="1" si="209"/>
        <v>40096.667136961805</v>
      </c>
      <c r="C4470">
        <f t="shared" ca="1" si="207"/>
        <v>0</v>
      </c>
      <c r="D4470">
        <f t="shared" ca="1" si="208"/>
        <v>96.667136961805227</v>
      </c>
    </row>
    <row r="4471" spans="2:4" x14ac:dyDescent="0.25">
      <c r="B4471">
        <f t="shared" ca="1" si="209"/>
        <v>33102.111018097705</v>
      </c>
      <c r="C4471">
        <f t="shared" ca="1" si="207"/>
        <v>6897.8889819022952</v>
      </c>
      <c r="D4471">
        <f t="shared" ca="1" si="208"/>
        <v>0</v>
      </c>
    </row>
    <row r="4472" spans="2:4" x14ac:dyDescent="0.25">
      <c r="B4472">
        <f t="shared" ca="1" si="209"/>
        <v>44706.53090126934</v>
      </c>
      <c r="C4472">
        <f t="shared" ca="1" si="207"/>
        <v>0</v>
      </c>
      <c r="D4472">
        <f t="shared" ca="1" si="208"/>
        <v>4706.5309012693397</v>
      </c>
    </row>
    <row r="4473" spans="2:4" x14ac:dyDescent="0.25">
      <c r="B4473">
        <f t="shared" ca="1" si="209"/>
        <v>43567.126305620892</v>
      </c>
      <c r="C4473">
        <f t="shared" ca="1" si="207"/>
        <v>0</v>
      </c>
      <c r="D4473">
        <f t="shared" ca="1" si="208"/>
        <v>3567.1263056208918</v>
      </c>
    </row>
    <row r="4474" spans="2:4" x14ac:dyDescent="0.25">
      <c r="B4474">
        <f t="shared" ca="1" si="209"/>
        <v>43694.697192274602</v>
      </c>
      <c r="C4474">
        <f t="shared" ca="1" si="207"/>
        <v>0</v>
      </c>
      <c r="D4474">
        <f t="shared" ca="1" si="208"/>
        <v>3694.6971922746015</v>
      </c>
    </row>
    <row r="4475" spans="2:4" x14ac:dyDescent="0.25">
      <c r="B4475">
        <f t="shared" ca="1" si="209"/>
        <v>46119.38757990978</v>
      </c>
      <c r="C4475">
        <f t="shared" ca="1" si="207"/>
        <v>0</v>
      </c>
      <c r="D4475">
        <f t="shared" ca="1" si="208"/>
        <v>6119.3875799097805</v>
      </c>
    </row>
    <row r="4476" spans="2:4" x14ac:dyDescent="0.25">
      <c r="B4476">
        <f t="shared" ca="1" si="209"/>
        <v>47079.547357358431</v>
      </c>
      <c r="C4476">
        <f t="shared" ca="1" si="207"/>
        <v>0</v>
      </c>
      <c r="D4476">
        <f t="shared" ca="1" si="208"/>
        <v>7079.5473573584313</v>
      </c>
    </row>
    <row r="4477" spans="2:4" x14ac:dyDescent="0.25">
      <c r="B4477">
        <f t="shared" ca="1" si="209"/>
        <v>35804.584037715991</v>
      </c>
      <c r="C4477">
        <f t="shared" ca="1" si="207"/>
        <v>4195.4159622840089</v>
      </c>
      <c r="D4477">
        <f t="shared" ca="1" si="208"/>
        <v>0</v>
      </c>
    </row>
    <row r="4478" spans="2:4" x14ac:dyDescent="0.25">
      <c r="B4478">
        <f t="shared" ca="1" si="209"/>
        <v>47099.108731958477</v>
      </c>
      <c r="C4478">
        <f t="shared" ca="1" si="207"/>
        <v>0</v>
      </c>
      <c r="D4478">
        <f t="shared" ca="1" si="208"/>
        <v>7099.1087319584767</v>
      </c>
    </row>
    <row r="4479" spans="2:4" x14ac:dyDescent="0.25">
      <c r="B4479">
        <f t="shared" ca="1" si="209"/>
        <v>43414.483530830214</v>
      </c>
      <c r="C4479">
        <f t="shared" ca="1" si="207"/>
        <v>0</v>
      </c>
      <c r="D4479">
        <f t="shared" ca="1" si="208"/>
        <v>3414.4835308302136</v>
      </c>
    </row>
    <row r="4480" spans="2:4" x14ac:dyDescent="0.25">
      <c r="B4480">
        <f t="shared" ca="1" si="209"/>
        <v>46428.3649074571</v>
      </c>
      <c r="C4480">
        <f t="shared" ca="1" si="207"/>
        <v>0</v>
      </c>
      <c r="D4480">
        <f t="shared" ca="1" si="208"/>
        <v>6428.3649074571003</v>
      </c>
    </row>
    <row r="4481" spans="2:4" x14ac:dyDescent="0.25">
      <c r="B4481">
        <f t="shared" ca="1" si="209"/>
        <v>41465.021988172426</v>
      </c>
      <c r="C4481">
        <f t="shared" ca="1" si="207"/>
        <v>0</v>
      </c>
      <c r="D4481">
        <f t="shared" ca="1" si="208"/>
        <v>1465.0219881724261</v>
      </c>
    </row>
    <row r="4482" spans="2:4" x14ac:dyDescent="0.25">
      <c r="B4482">
        <f t="shared" ca="1" si="209"/>
        <v>48068.654587555509</v>
      </c>
      <c r="C4482">
        <f t="shared" ca="1" si="207"/>
        <v>0</v>
      </c>
      <c r="D4482">
        <f t="shared" ca="1" si="208"/>
        <v>8068.6545875555094</v>
      </c>
    </row>
    <row r="4483" spans="2:4" x14ac:dyDescent="0.25">
      <c r="B4483">
        <f t="shared" ca="1" si="209"/>
        <v>36796.002395773765</v>
      </c>
      <c r="C4483">
        <f t="shared" ca="1" si="207"/>
        <v>3203.9976042262351</v>
      </c>
      <c r="D4483">
        <f t="shared" ca="1" si="208"/>
        <v>0</v>
      </c>
    </row>
    <row r="4484" spans="2:4" x14ac:dyDescent="0.25">
      <c r="B4484">
        <f t="shared" ca="1" si="209"/>
        <v>44066.997769121663</v>
      </c>
      <c r="C4484">
        <f t="shared" ca="1" si="207"/>
        <v>0</v>
      </c>
      <c r="D4484">
        <f t="shared" ca="1" si="208"/>
        <v>4066.9977691216627</v>
      </c>
    </row>
    <row r="4485" spans="2:4" x14ac:dyDescent="0.25">
      <c r="B4485">
        <f t="shared" ca="1" si="209"/>
        <v>49669.476054894629</v>
      </c>
      <c r="C4485">
        <f t="shared" ca="1" si="207"/>
        <v>0</v>
      </c>
      <c r="D4485">
        <f t="shared" ca="1" si="208"/>
        <v>9669.4760548946288</v>
      </c>
    </row>
    <row r="4486" spans="2:4" x14ac:dyDescent="0.25">
      <c r="B4486">
        <f t="shared" ca="1" si="209"/>
        <v>34975.463199913458</v>
      </c>
      <c r="C4486">
        <f t="shared" ca="1" si="207"/>
        <v>5024.5368000865419</v>
      </c>
      <c r="D4486">
        <f t="shared" ca="1" si="208"/>
        <v>0</v>
      </c>
    </row>
    <row r="4487" spans="2:4" x14ac:dyDescent="0.25">
      <c r="B4487">
        <f t="shared" ca="1" si="209"/>
        <v>43661.906469724505</v>
      </c>
      <c r="C4487">
        <f t="shared" ca="1" si="207"/>
        <v>0</v>
      </c>
      <c r="D4487">
        <f t="shared" ca="1" si="208"/>
        <v>3661.9064697245049</v>
      </c>
    </row>
    <row r="4488" spans="2:4" x14ac:dyDescent="0.25">
      <c r="B4488">
        <f t="shared" ca="1" si="209"/>
        <v>47848.408198486788</v>
      </c>
      <c r="C4488">
        <f t="shared" ca="1" si="207"/>
        <v>0</v>
      </c>
      <c r="D4488">
        <f t="shared" ca="1" si="208"/>
        <v>7848.408198486788</v>
      </c>
    </row>
    <row r="4489" spans="2:4" x14ac:dyDescent="0.25">
      <c r="B4489">
        <f t="shared" ca="1" si="209"/>
        <v>49236.148630978336</v>
      </c>
      <c r="C4489">
        <f t="shared" ca="1" si="207"/>
        <v>0</v>
      </c>
      <c r="D4489">
        <f t="shared" ca="1" si="208"/>
        <v>9236.1486309783359</v>
      </c>
    </row>
    <row r="4490" spans="2:4" x14ac:dyDescent="0.25">
      <c r="B4490">
        <f t="shared" ca="1" si="209"/>
        <v>46557.082886309348</v>
      </c>
      <c r="C4490">
        <f t="shared" ca="1" si="207"/>
        <v>0</v>
      </c>
      <c r="D4490">
        <f t="shared" ca="1" si="208"/>
        <v>6557.0828863093484</v>
      </c>
    </row>
    <row r="4491" spans="2:4" x14ac:dyDescent="0.25">
      <c r="B4491">
        <f t="shared" ca="1" si="209"/>
        <v>39938.666351029358</v>
      </c>
      <c r="C4491">
        <f t="shared" ca="1" si="207"/>
        <v>61.333648970641661</v>
      </c>
      <c r="D4491">
        <f t="shared" ca="1" si="208"/>
        <v>0</v>
      </c>
    </row>
    <row r="4492" spans="2:4" x14ac:dyDescent="0.25">
      <c r="B4492">
        <f t="shared" ca="1" si="209"/>
        <v>46980.130919942923</v>
      </c>
      <c r="C4492">
        <f t="shared" ref="C4492:C4555" ca="1" si="210">IF(MAX($B$2-B4492)&lt;0,0,$B$2-B4492)</f>
        <v>0</v>
      </c>
      <c r="D4492">
        <f t="shared" ref="D4492:D4555" ca="1" si="211">IF(MAX(B4492-$B$2)&lt;0,0,B4492-$B$2)</f>
        <v>6980.1309199429234</v>
      </c>
    </row>
    <row r="4493" spans="2:4" x14ac:dyDescent="0.25">
      <c r="B4493">
        <f t="shared" ref="B4493:B4556" ca="1" si="212">$B$1*EXP((($B$4-($B$3^2)/2)*$B$5+$B$3*SQRT($B$5)*NORMSINV(RAND())))</f>
        <v>48451.514829521155</v>
      </c>
      <c r="C4493">
        <f t="shared" ca="1" si="210"/>
        <v>0</v>
      </c>
      <c r="D4493">
        <f t="shared" ca="1" si="211"/>
        <v>8451.5148295211548</v>
      </c>
    </row>
    <row r="4494" spans="2:4" x14ac:dyDescent="0.25">
      <c r="B4494">
        <f t="shared" ca="1" si="212"/>
        <v>45239.109726725677</v>
      </c>
      <c r="C4494">
        <f t="shared" ca="1" si="210"/>
        <v>0</v>
      </c>
      <c r="D4494">
        <f t="shared" ca="1" si="211"/>
        <v>5239.1097267256773</v>
      </c>
    </row>
    <row r="4495" spans="2:4" x14ac:dyDescent="0.25">
      <c r="B4495">
        <f t="shared" ca="1" si="212"/>
        <v>45301.891185980501</v>
      </c>
      <c r="C4495">
        <f t="shared" ca="1" si="210"/>
        <v>0</v>
      </c>
      <c r="D4495">
        <f t="shared" ca="1" si="211"/>
        <v>5301.8911859805012</v>
      </c>
    </row>
    <row r="4496" spans="2:4" x14ac:dyDescent="0.25">
      <c r="B4496">
        <f t="shared" ca="1" si="212"/>
        <v>39796.702287639775</v>
      </c>
      <c r="C4496">
        <f t="shared" ca="1" si="210"/>
        <v>203.29771236022498</v>
      </c>
      <c r="D4496">
        <f t="shared" ca="1" si="211"/>
        <v>0</v>
      </c>
    </row>
    <row r="4497" spans="2:4" x14ac:dyDescent="0.25">
      <c r="B4497">
        <f t="shared" ca="1" si="212"/>
        <v>47484.579572357186</v>
      </c>
      <c r="C4497">
        <f t="shared" ca="1" si="210"/>
        <v>0</v>
      </c>
      <c r="D4497">
        <f t="shared" ca="1" si="211"/>
        <v>7484.5795723571864</v>
      </c>
    </row>
    <row r="4498" spans="2:4" x14ac:dyDescent="0.25">
      <c r="B4498">
        <f t="shared" ca="1" si="212"/>
        <v>44561.865267503781</v>
      </c>
      <c r="C4498">
        <f t="shared" ca="1" si="210"/>
        <v>0</v>
      </c>
      <c r="D4498">
        <f t="shared" ca="1" si="211"/>
        <v>4561.8652675037811</v>
      </c>
    </row>
    <row r="4499" spans="2:4" x14ac:dyDescent="0.25">
      <c r="B4499">
        <f t="shared" ca="1" si="212"/>
        <v>45492.636763713555</v>
      </c>
      <c r="C4499">
        <f t="shared" ca="1" si="210"/>
        <v>0</v>
      </c>
      <c r="D4499">
        <f t="shared" ca="1" si="211"/>
        <v>5492.6367637135554</v>
      </c>
    </row>
    <row r="4500" spans="2:4" x14ac:dyDescent="0.25">
      <c r="B4500">
        <f t="shared" ca="1" si="212"/>
        <v>45002.528344316677</v>
      </c>
      <c r="C4500">
        <f t="shared" ca="1" si="210"/>
        <v>0</v>
      </c>
      <c r="D4500">
        <f t="shared" ca="1" si="211"/>
        <v>5002.5283443166772</v>
      </c>
    </row>
    <row r="4501" spans="2:4" x14ac:dyDescent="0.25">
      <c r="B4501">
        <f t="shared" ca="1" si="212"/>
        <v>49928.271262968905</v>
      </c>
      <c r="C4501">
        <f t="shared" ca="1" si="210"/>
        <v>0</v>
      </c>
      <c r="D4501">
        <f t="shared" ca="1" si="211"/>
        <v>9928.2712629689049</v>
      </c>
    </row>
    <row r="4502" spans="2:4" x14ac:dyDescent="0.25">
      <c r="B4502">
        <f t="shared" ca="1" si="212"/>
        <v>52495.040668842914</v>
      </c>
      <c r="C4502">
        <f t="shared" ca="1" si="210"/>
        <v>0</v>
      </c>
      <c r="D4502">
        <f t="shared" ca="1" si="211"/>
        <v>12495.040668842914</v>
      </c>
    </row>
    <row r="4503" spans="2:4" x14ac:dyDescent="0.25">
      <c r="B4503">
        <f t="shared" ca="1" si="212"/>
        <v>46293.720815464243</v>
      </c>
      <c r="C4503">
        <f t="shared" ca="1" si="210"/>
        <v>0</v>
      </c>
      <c r="D4503">
        <f t="shared" ca="1" si="211"/>
        <v>6293.7208154642431</v>
      </c>
    </row>
    <row r="4504" spans="2:4" x14ac:dyDescent="0.25">
      <c r="B4504">
        <f t="shared" ca="1" si="212"/>
        <v>47242.848662996999</v>
      </c>
      <c r="C4504">
        <f t="shared" ca="1" si="210"/>
        <v>0</v>
      </c>
      <c r="D4504">
        <f t="shared" ca="1" si="211"/>
        <v>7242.8486629969993</v>
      </c>
    </row>
    <row r="4505" spans="2:4" x14ac:dyDescent="0.25">
      <c r="B4505">
        <f t="shared" ca="1" si="212"/>
        <v>61377.552625572302</v>
      </c>
      <c r="C4505">
        <f t="shared" ca="1" si="210"/>
        <v>0</v>
      </c>
      <c r="D4505">
        <f t="shared" ca="1" si="211"/>
        <v>21377.552625572302</v>
      </c>
    </row>
    <row r="4506" spans="2:4" x14ac:dyDescent="0.25">
      <c r="B4506">
        <f t="shared" ca="1" si="212"/>
        <v>40333.199046093425</v>
      </c>
      <c r="C4506">
        <f t="shared" ca="1" si="210"/>
        <v>0</v>
      </c>
      <c r="D4506">
        <f t="shared" ca="1" si="211"/>
        <v>333.19904609342484</v>
      </c>
    </row>
    <row r="4507" spans="2:4" x14ac:dyDescent="0.25">
      <c r="B4507">
        <f t="shared" ca="1" si="212"/>
        <v>43625.165581513771</v>
      </c>
      <c r="C4507">
        <f t="shared" ca="1" si="210"/>
        <v>0</v>
      </c>
      <c r="D4507">
        <f t="shared" ca="1" si="211"/>
        <v>3625.165581513771</v>
      </c>
    </row>
    <row r="4508" spans="2:4" x14ac:dyDescent="0.25">
      <c r="B4508">
        <f t="shared" ca="1" si="212"/>
        <v>44481.056179182648</v>
      </c>
      <c r="C4508">
        <f t="shared" ca="1" si="210"/>
        <v>0</v>
      </c>
      <c r="D4508">
        <f t="shared" ca="1" si="211"/>
        <v>4481.0561791826476</v>
      </c>
    </row>
    <row r="4509" spans="2:4" x14ac:dyDescent="0.25">
      <c r="B4509">
        <f t="shared" ca="1" si="212"/>
        <v>49849.558270801856</v>
      </c>
      <c r="C4509">
        <f t="shared" ca="1" si="210"/>
        <v>0</v>
      </c>
      <c r="D4509">
        <f t="shared" ca="1" si="211"/>
        <v>9849.5582708018555</v>
      </c>
    </row>
    <row r="4510" spans="2:4" x14ac:dyDescent="0.25">
      <c r="B4510">
        <f t="shared" ca="1" si="212"/>
        <v>57801.440277068294</v>
      </c>
      <c r="C4510">
        <f t="shared" ca="1" si="210"/>
        <v>0</v>
      </c>
      <c r="D4510">
        <f t="shared" ca="1" si="211"/>
        <v>17801.440277068294</v>
      </c>
    </row>
    <row r="4511" spans="2:4" x14ac:dyDescent="0.25">
      <c r="B4511">
        <f t="shared" ca="1" si="212"/>
        <v>44048.030241978107</v>
      </c>
      <c r="C4511">
        <f t="shared" ca="1" si="210"/>
        <v>0</v>
      </c>
      <c r="D4511">
        <f t="shared" ca="1" si="211"/>
        <v>4048.0302419781074</v>
      </c>
    </row>
    <row r="4512" spans="2:4" x14ac:dyDescent="0.25">
      <c r="B4512">
        <f t="shared" ca="1" si="212"/>
        <v>51613.167151363297</v>
      </c>
      <c r="C4512">
        <f t="shared" ca="1" si="210"/>
        <v>0</v>
      </c>
      <c r="D4512">
        <f t="shared" ca="1" si="211"/>
        <v>11613.167151363297</v>
      </c>
    </row>
    <row r="4513" spans="2:4" x14ac:dyDescent="0.25">
      <c r="B4513">
        <f t="shared" ca="1" si="212"/>
        <v>39560.837265995513</v>
      </c>
      <c r="C4513">
        <f t="shared" ca="1" si="210"/>
        <v>439.16273400448699</v>
      </c>
      <c r="D4513">
        <f t="shared" ca="1" si="211"/>
        <v>0</v>
      </c>
    </row>
    <row r="4514" spans="2:4" x14ac:dyDescent="0.25">
      <c r="B4514">
        <f t="shared" ca="1" si="212"/>
        <v>54999.76003548185</v>
      </c>
      <c r="C4514">
        <f t="shared" ca="1" si="210"/>
        <v>0</v>
      </c>
      <c r="D4514">
        <f t="shared" ca="1" si="211"/>
        <v>14999.76003548185</v>
      </c>
    </row>
    <row r="4515" spans="2:4" x14ac:dyDescent="0.25">
      <c r="B4515">
        <f t="shared" ca="1" si="212"/>
        <v>41085.424852998025</v>
      </c>
      <c r="C4515">
        <f t="shared" ca="1" si="210"/>
        <v>0</v>
      </c>
      <c r="D4515">
        <f t="shared" ca="1" si="211"/>
        <v>1085.424852998025</v>
      </c>
    </row>
    <row r="4516" spans="2:4" x14ac:dyDescent="0.25">
      <c r="B4516">
        <f t="shared" ca="1" si="212"/>
        <v>39040.36195039934</v>
      </c>
      <c r="C4516">
        <f t="shared" ca="1" si="210"/>
        <v>959.63804960066045</v>
      </c>
      <c r="D4516">
        <f t="shared" ca="1" si="211"/>
        <v>0</v>
      </c>
    </row>
    <row r="4517" spans="2:4" x14ac:dyDescent="0.25">
      <c r="B4517">
        <f t="shared" ca="1" si="212"/>
        <v>48473.441219636974</v>
      </c>
      <c r="C4517">
        <f t="shared" ca="1" si="210"/>
        <v>0</v>
      </c>
      <c r="D4517">
        <f t="shared" ca="1" si="211"/>
        <v>8473.441219636974</v>
      </c>
    </row>
    <row r="4518" spans="2:4" x14ac:dyDescent="0.25">
      <c r="B4518">
        <f t="shared" ca="1" si="212"/>
        <v>52597.526726331678</v>
      </c>
      <c r="C4518">
        <f t="shared" ca="1" si="210"/>
        <v>0</v>
      </c>
      <c r="D4518">
        <f t="shared" ca="1" si="211"/>
        <v>12597.526726331678</v>
      </c>
    </row>
    <row r="4519" spans="2:4" x14ac:dyDescent="0.25">
      <c r="B4519">
        <f t="shared" ca="1" si="212"/>
        <v>49879.676015595964</v>
      </c>
      <c r="C4519">
        <f t="shared" ca="1" si="210"/>
        <v>0</v>
      </c>
      <c r="D4519">
        <f t="shared" ca="1" si="211"/>
        <v>9879.6760155959637</v>
      </c>
    </row>
    <row r="4520" spans="2:4" x14ac:dyDescent="0.25">
      <c r="B4520">
        <f t="shared" ca="1" si="212"/>
        <v>45620.927272665002</v>
      </c>
      <c r="C4520">
        <f t="shared" ca="1" si="210"/>
        <v>0</v>
      </c>
      <c r="D4520">
        <f t="shared" ca="1" si="211"/>
        <v>5620.9272726650015</v>
      </c>
    </row>
    <row r="4521" spans="2:4" x14ac:dyDescent="0.25">
      <c r="B4521">
        <f t="shared" ca="1" si="212"/>
        <v>42144.974251640357</v>
      </c>
      <c r="C4521">
        <f t="shared" ca="1" si="210"/>
        <v>0</v>
      </c>
      <c r="D4521">
        <f t="shared" ca="1" si="211"/>
        <v>2144.9742516403567</v>
      </c>
    </row>
    <row r="4522" spans="2:4" x14ac:dyDescent="0.25">
      <c r="B4522">
        <f t="shared" ca="1" si="212"/>
        <v>47171.113593169255</v>
      </c>
      <c r="C4522">
        <f t="shared" ca="1" si="210"/>
        <v>0</v>
      </c>
      <c r="D4522">
        <f t="shared" ca="1" si="211"/>
        <v>7171.1135931692552</v>
      </c>
    </row>
    <row r="4523" spans="2:4" x14ac:dyDescent="0.25">
      <c r="B4523">
        <f t="shared" ca="1" si="212"/>
        <v>39716.552075801723</v>
      </c>
      <c r="C4523">
        <f t="shared" ca="1" si="210"/>
        <v>283.44792419827718</v>
      </c>
      <c r="D4523">
        <f t="shared" ca="1" si="211"/>
        <v>0</v>
      </c>
    </row>
    <row r="4524" spans="2:4" x14ac:dyDescent="0.25">
      <c r="B4524">
        <f t="shared" ca="1" si="212"/>
        <v>45296.796995073986</v>
      </c>
      <c r="C4524">
        <f t="shared" ca="1" si="210"/>
        <v>0</v>
      </c>
      <c r="D4524">
        <f t="shared" ca="1" si="211"/>
        <v>5296.7969950739862</v>
      </c>
    </row>
    <row r="4525" spans="2:4" x14ac:dyDescent="0.25">
      <c r="B4525">
        <f t="shared" ca="1" si="212"/>
        <v>49663.721114203276</v>
      </c>
      <c r="C4525">
        <f t="shared" ca="1" si="210"/>
        <v>0</v>
      </c>
      <c r="D4525">
        <f t="shared" ca="1" si="211"/>
        <v>9663.7211142032756</v>
      </c>
    </row>
    <row r="4526" spans="2:4" x14ac:dyDescent="0.25">
      <c r="B4526">
        <f t="shared" ca="1" si="212"/>
        <v>35651.595439056247</v>
      </c>
      <c r="C4526">
        <f t="shared" ca="1" si="210"/>
        <v>4348.4045609437526</v>
      </c>
      <c r="D4526">
        <f t="shared" ca="1" si="211"/>
        <v>0</v>
      </c>
    </row>
    <row r="4527" spans="2:4" x14ac:dyDescent="0.25">
      <c r="B4527">
        <f t="shared" ca="1" si="212"/>
        <v>44513.792355973143</v>
      </c>
      <c r="C4527">
        <f t="shared" ca="1" si="210"/>
        <v>0</v>
      </c>
      <c r="D4527">
        <f t="shared" ca="1" si="211"/>
        <v>4513.7923559731425</v>
      </c>
    </row>
    <row r="4528" spans="2:4" x14ac:dyDescent="0.25">
      <c r="B4528">
        <f t="shared" ca="1" si="212"/>
        <v>52110.202646818427</v>
      </c>
      <c r="C4528">
        <f t="shared" ca="1" si="210"/>
        <v>0</v>
      </c>
      <c r="D4528">
        <f t="shared" ca="1" si="211"/>
        <v>12110.202646818427</v>
      </c>
    </row>
    <row r="4529" spans="2:4" x14ac:dyDescent="0.25">
      <c r="B4529">
        <f t="shared" ca="1" si="212"/>
        <v>45562.638590062073</v>
      </c>
      <c r="C4529">
        <f t="shared" ca="1" si="210"/>
        <v>0</v>
      </c>
      <c r="D4529">
        <f t="shared" ca="1" si="211"/>
        <v>5562.6385900620735</v>
      </c>
    </row>
    <row r="4530" spans="2:4" x14ac:dyDescent="0.25">
      <c r="B4530">
        <f t="shared" ca="1" si="212"/>
        <v>42841.611881476209</v>
      </c>
      <c r="C4530">
        <f t="shared" ca="1" si="210"/>
        <v>0</v>
      </c>
      <c r="D4530">
        <f t="shared" ca="1" si="211"/>
        <v>2841.6118814762085</v>
      </c>
    </row>
    <row r="4531" spans="2:4" x14ac:dyDescent="0.25">
      <c r="B4531">
        <f t="shared" ca="1" si="212"/>
        <v>39304.344712233556</v>
      </c>
      <c r="C4531">
        <f t="shared" ca="1" si="210"/>
        <v>695.65528776644351</v>
      </c>
      <c r="D4531">
        <f t="shared" ca="1" si="211"/>
        <v>0</v>
      </c>
    </row>
    <row r="4532" spans="2:4" x14ac:dyDescent="0.25">
      <c r="B4532">
        <f t="shared" ca="1" si="212"/>
        <v>45285.113473619349</v>
      </c>
      <c r="C4532">
        <f t="shared" ca="1" si="210"/>
        <v>0</v>
      </c>
      <c r="D4532">
        <f t="shared" ca="1" si="211"/>
        <v>5285.113473619349</v>
      </c>
    </row>
    <row r="4533" spans="2:4" x14ac:dyDescent="0.25">
      <c r="B4533">
        <f t="shared" ca="1" si="212"/>
        <v>50492.690608834811</v>
      </c>
      <c r="C4533">
        <f t="shared" ca="1" si="210"/>
        <v>0</v>
      </c>
      <c r="D4533">
        <f t="shared" ca="1" si="211"/>
        <v>10492.690608834811</v>
      </c>
    </row>
    <row r="4534" spans="2:4" x14ac:dyDescent="0.25">
      <c r="B4534">
        <f t="shared" ca="1" si="212"/>
        <v>37996.88307725569</v>
      </c>
      <c r="C4534">
        <f t="shared" ca="1" si="210"/>
        <v>2003.1169227443097</v>
      </c>
      <c r="D4534">
        <f t="shared" ca="1" si="211"/>
        <v>0</v>
      </c>
    </row>
    <row r="4535" spans="2:4" x14ac:dyDescent="0.25">
      <c r="B4535">
        <f t="shared" ca="1" si="212"/>
        <v>37350.329681229516</v>
      </c>
      <c r="C4535">
        <f t="shared" ca="1" si="210"/>
        <v>2649.6703187704843</v>
      </c>
      <c r="D4535">
        <f t="shared" ca="1" si="211"/>
        <v>0</v>
      </c>
    </row>
    <row r="4536" spans="2:4" x14ac:dyDescent="0.25">
      <c r="B4536">
        <f t="shared" ca="1" si="212"/>
        <v>52971.655683341829</v>
      </c>
      <c r="C4536">
        <f t="shared" ca="1" si="210"/>
        <v>0</v>
      </c>
      <c r="D4536">
        <f t="shared" ca="1" si="211"/>
        <v>12971.655683341829</v>
      </c>
    </row>
    <row r="4537" spans="2:4" x14ac:dyDescent="0.25">
      <c r="B4537">
        <f t="shared" ca="1" si="212"/>
        <v>52274.135546755824</v>
      </c>
      <c r="C4537">
        <f t="shared" ca="1" si="210"/>
        <v>0</v>
      </c>
      <c r="D4537">
        <f t="shared" ca="1" si="211"/>
        <v>12274.135546755824</v>
      </c>
    </row>
    <row r="4538" spans="2:4" x14ac:dyDescent="0.25">
      <c r="B4538">
        <f t="shared" ca="1" si="212"/>
        <v>46051.419439093013</v>
      </c>
      <c r="C4538">
        <f t="shared" ca="1" si="210"/>
        <v>0</v>
      </c>
      <c r="D4538">
        <f t="shared" ca="1" si="211"/>
        <v>6051.4194390930134</v>
      </c>
    </row>
    <row r="4539" spans="2:4" x14ac:dyDescent="0.25">
      <c r="B4539">
        <f t="shared" ca="1" si="212"/>
        <v>40716.860885689428</v>
      </c>
      <c r="C4539">
        <f t="shared" ca="1" si="210"/>
        <v>0</v>
      </c>
      <c r="D4539">
        <f t="shared" ca="1" si="211"/>
        <v>716.86088568942796</v>
      </c>
    </row>
    <row r="4540" spans="2:4" x14ac:dyDescent="0.25">
      <c r="B4540">
        <f t="shared" ca="1" si="212"/>
        <v>44470.78311148475</v>
      </c>
      <c r="C4540">
        <f t="shared" ca="1" si="210"/>
        <v>0</v>
      </c>
      <c r="D4540">
        <f t="shared" ca="1" si="211"/>
        <v>4470.7831114847504</v>
      </c>
    </row>
    <row r="4541" spans="2:4" x14ac:dyDescent="0.25">
      <c r="B4541">
        <f t="shared" ca="1" si="212"/>
        <v>53233.680090090871</v>
      </c>
      <c r="C4541">
        <f t="shared" ca="1" si="210"/>
        <v>0</v>
      </c>
      <c r="D4541">
        <f t="shared" ca="1" si="211"/>
        <v>13233.680090090871</v>
      </c>
    </row>
    <row r="4542" spans="2:4" x14ac:dyDescent="0.25">
      <c r="B4542">
        <f t="shared" ca="1" si="212"/>
        <v>48528.258800702526</v>
      </c>
      <c r="C4542">
        <f t="shared" ca="1" si="210"/>
        <v>0</v>
      </c>
      <c r="D4542">
        <f t="shared" ca="1" si="211"/>
        <v>8528.2588007025261</v>
      </c>
    </row>
    <row r="4543" spans="2:4" x14ac:dyDescent="0.25">
      <c r="B4543">
        <f t="shared" ca="1" si="212"/>
        <v>43972.639763033076</v>
      </c>
      <c r="C4543">
        <f t="shared" ca="1" si="210"/>
        <v>0</v>
      </c>
      <c r="D4543">
        <f t="shared" ca="1" si="211"/>
        <v>3972.6397630330757</v>
      </c>
    </row>
    <row r="4544" spans="2:4" x14ac:dyDescent="0.25">
      <c r="B4544">
        <f t="shared" ca="1" si="212"/>
        <v>45871.076983600855</v>
      </c>
      <c r="C4544">
        <f t="shared" ca="1" si="210"/>
        <v>0</v>
      </c>
      <c r="D4544">
        <f t="shared" ca="1" si="211"/>
        <v>5871.0769836008549</v>
      </c>
    </row>
    <row r="4545" spans="2:4" x14ac:dyDescent="0.25">
      <c r="B4545">
        <f t="shared" ca="1" si="212"/>
        <v>48488.834854292414</v>
      </c>
      <c r="C4545">
        <f t="shared" ca="1" si="210"/>
        <v>0</v>
      </c>
      <c r="D4545">
        <f t="shared" ca="1" si="211"/>
        <v>8488.8348542924141</v>
      </c>
    </row>
    <row r="4546" spans="2:4" x14ac:dyDescent="0.25">
      <c r="B4546">
        <f t="shared" ca="1" si="212"/>
        <v>39227.521347881935</v>
      </c>
      <c r="C4546">
        <f t="shared" ca="1" si="210"/>
        <v>772.47865211806493</v>
      </c>
      <c r="D4546">
        <f t="shared" ca="1" si="211"/>
        <v>0</v>
      </c>
    </row>
    <row r="4547" spans="2:4" x14ac:dyDescent="0.25">
      <c r="B4547">
        <f t="shared" ca="1" si="212"/>
        <v>34290.298270705862</v>
      </c>
      <c r="C4547">
        <f t="shared" ca="1" si="210"/>
        <v>5709.7017292941382</v>
      </c>
      <c r="D4547">
        <f t="shared" ca="1" si="211"/>
        <v>0</v>
      </c>
    </row>
    <row r="4548" spans="2:4" x14ac:dyDescent="0.25">
      <c r="B4548">
        <f t="shared" ca="1" si="212"/>
        <v>45715.51278871984</v>
      </c>
      <c r="C4548">
        <f t="shared" ca="1" si="210"/>
        <v>0</v>
      </c>
      <c r="D4548">
        <f t="shared" ca="1" si="211"/>
        <v>5715.5127887198396</v>
      </c>
    </row>
    <row r="4549" spans="2:4" x14ac:dyDescent="0.25">
      <c r="B4549">
        <f t="shared" ca="1" si="212"/>
        <v>42675.083336972595</v>
      </c>
      <c r="C4549">
        <f t="shared" ca="1" si="210"/>
        <v>0</v>
      </c>
      <c r="D4549">
        <f t="shared" ca="1" si="211"/>
        <v>2675.0833369725951</v>
      </c>
    </row>
    <row r="4550" spans="2:4" x14ac:dyDescent="0.25">
      <c r="B4550">
        <f t="shared" ca="1" si="212"/>
        <v>42194.931313296285</v>
      </c>
      <c r="C4550">
        <f t="shared" ca="1" si="210"/>
        <v>0</v>
      </c>
      <c r="D4550">
        <f t="shared" ca="1" si="211"/>
        <v>2194.9313132962852</v>
      </c>
    </row>
    <row r="4551" spans="2:4" x14ac:dyDescent="0.25">
      <c r="B4551">
        <f t="shared" ca="1" si="212"/>
        <v>39989.331656354399</v>
      </c>
      <c r="C4551">
        <f t="shared" ca="1" si="210"/>
        <v>10.668343645600544</v>
      </c>
      <c r="D4551">
        <f t="shared" ca="1" si="211"/>
        <v>0</v>
      </c>
    </row>
    <row r="4552" spans="2:4" x14ac:dyDescent="0.25">
      <c r="B4552">
        <f t="shared" ca="1" si="212"/>
        <v>54609.12158306007</v>
      </c>
      <c r="C4552">
        <f t="shared" ca="1" si="210"/>
        <v>0</v>
      </c>
      <c r="D4552">
        <f t="shared" ca="1" si="211"/>
        <v>14609.12158306007</v>
      </c>
    </row>
    <row r="4553" spans="2:4" x14ac:dyDescent="0.25">
      <c r="B4553">
        <f t="shared" ca="1" si="212"/>
        <v>51818.818520957633</v>
      </c>
      <c r="C4553">
        <f t="shared" ca="1" si="210"/>
        <v>0</v>
      </c>
      <c r="D4553">
        <f t="shared" ca="1" si="211"/>
        <v>11818.818520957633</v>
      </c>
    </row>
    <row r="4554" spans="2:4" x14ac:dyDescent="0.25">
      <c r="B4554">
        <f t="shared" ca="1" si="212"/>
        <v>44226.785027884944</v>
      </c>
      <c r="C4554">
        <f t="shared" ca="1" si="210"/>
        <v>0</v>
      </c>
      <c r="D4554">
        <f t="shared" ca="1" si="211"/>
        <v>4226.7850278849437</v>
      </c>
    </row>
    <row r="4555" spans="2:4" x14ac:dyDescent="0.25">
      <c r="B4555">
        <f t="shared" ca="1" si="212"/>
        <v>41796.293378267837</v>
      </c>
      <c r="C4555">
        <f t="shared" ca="1" si="210"/>
        <v>0</v>
      </c>
      <c r="D4555">
        <f t="shared" ca="1" si="211"/>
        <v>1796.2933782678374</v>
      </c>
    </row>
    <row r="4556" spans="2:4" x14ac:dyDescent="0.25">
      <c r="B4556">
        <f t="shared" ca="1" si="212"/>
        <v>52091.266234206872</v>
      </c>
      <c r="C4556">
        <f t="shared" ref="C4556:C4619" ca="1" si="213">IF(MAX($B$2-B4556)&lt;0,0,$B$2-B4556)</f>
        <v>0</v>
      </c>
      <c r="D4556">
        <f t="shared" ref="D4556:D4619" ca="1" si="214">IF(MAX(B4556-$B$2)&lt;0,0,B4556-$B$2)</f>
        <v>12091.266234206872</v>
      </c>
    </row>
    <row r="4557" spans="2:4" x14ac:dyDescent="0.25">
      <c r="B4557">
        <f t="shared" ref="B4557:B4620" ca="1" si="215">$B$1*EXP((($B$4-($B$3^2)/2)*$B$5+$B$3*SQRT($B$5)*NORMSINV(RAND())))</f>
        <v>45343.908509333211</v>
      </c>
      <c r="C4557">
        <f t="shared" ca="1" si="213"/>
        <v>0</v>
      </c>
      <c r="D4557">
        <f t="shared" ca="1" si="214"/>
        <v>5343.9085093332105</v>
      </c>
    </row>
    <row r="4558" spans="2:4" x14ac:dyDescent="0.25">
      <c r="B4558">
        <f t="shared" ca="1" si="215"/>
        <v>37682.377307113537</v>
      </c>
      <c r="C4558">
        <f t="shared" ca="1" si="213"/>
        <v>2317.6226928864635</v>
      </c>
      <c r="D4558">
        <f t="shared" ca="1" si="214"/>
        <v>0</v>
      </c>
    </row>
    <row r="4559" spans="2:4" x14ac:dyDescent="0.25">
      <c r="B4559">
        <f t="shared" ca="1" si="215"/>
        <v>47982.425182955085</v>
      </c>
      <c r="C4559">
        <f t="shared" ca="1" si="213"/>
        <v>0</v>
      </c>
      <c r="D4559">
        <f t="shared" ca="1" si="214"/>
        <v>7982.4251829550849</v>
      </c>
    </row>
    <row r="4560" spans="2:4" x14ac:dyDescent="0.25">
      <c r="B4560">
        <f t="shared" ca="1" si="215"/>
        <v>37920.98604080535</v>
      </c>
      <c r="C4560">
        <f t="shared" ca="1" si="213"/>
        <v>2079.0139591946499</v>
      </c>
      <c r="D4560">
        <f t="shared" ca="1" si="214"/>
        <v>0</v>
      </c>
    </row>
    <row r="4561" spans="2:4" x14ac:dyDescent="0.25">
      <c r="B4561">
        <f t="shared" ca="1" si="215"/>
        <v>46241.400382485728</v>
      </c>
      <c r="C4561">
        <f t="shared" ca="1" si="213"/>
        <v>0</v>
      </c>
      <c r="D4561">
        <f t="shared" ca="1" si="214"/>
        <v>6241.4003824857282</v>
      </c>
    </row>
    <row r="4562" spans="2:4" x14ac:dyDescent="0.25">
      <c r="B4562">
        <f t="shared" ca="1" si="215"/>
        <v>38348.179998672495</v>
      </c>
      <c r="C4562">
        <f t="shared" ca="1" si="213"/>
        <v>1651.8200013275055</v>
      </c>
      <c r="D4562">
        <f t="shared" ca="1" si="214"/>
        <v>0</v>
      </c>
    </row>
    <row r="4563" spans="2:4" x14ac:dyDescent="0.25">
      <c r="B4563">
        <f t="shared" ca="1" si="215"/>
        <v>54336.379351146672</v>
      </c>
      <c r="C4563">
        <f t="shared" ca="1" si="213"/>
        <v>0</v>
      </c>
      <c r="D4563">
        <f t="shared" ca="1" si="214"/>
        <v>14336.379351146672</v>
      </c>
    </row>
    <row r="4564" spans="2:4" x14ac:dyDescent="0.25">
      <c r="B4564">
        <f t="shared" ca="1" si="215"/>
        <v>49716.622251328568</v>
      </c>
      <c r="C4564">
        <f t="shared" ca="1" si="213"/>
        <v>0</v>
      </c>
      <c r="D4564">
        <f t="shared" ca="1" si="214"/>
        <v>9716.6222513285684</v>
      </c>
    </row>
    <row r="4565" spans="2:4" x14ac:dyDescent="0.25">
      <c r="B4565">
        <f t="shared" ca="1" si="215"/>
        <v>45445.627034300844</v>
      </c>
      <c r="C4565">
        <f t="shared" ca="1" si="213"/>
        <v>0</v>
      </c>
      <c r="D4565">
        <f t="shared" ca="1" si="214"/>
        <v>5445.6270343008437</v>
      </c>
    </row>
    <row r="4566" spans="2:4" x14ac:dyDescent="0.25">
      <c r="B4566">
        <f t="shared" ca="1" si="215"/>
        <v>49510.571112817088</v>
      </c>
      <c r="C4566">
        <f t="shared" ca="1" si="213"/>
        <v>0</v>
      </c>
      <c r="D4566">
        <f t="shared" ca="1" si="214"/>
        <v>9510.5711128170879</v>
      </c>
    </row>
    <row r="4567" spans="2:4" x14ac:dyDescent="0.25">
      <c r="B4567">
        <f t="shared" ca="1" si="215"/>
        <v>52445.235834992993</v>
      </c>
      <c r="C4567">
        <f t="shared" ca="1" si="213"/>
        <v>0</v>
      </c>
      <c r="D4567">
        <f t="shared" ca="1" si="214"/>
        <v>12445.235834992993</v>
      </c>
    </row>
    <row r="4568" spans="2:4" x14ac:dyDescent="0.25">
      <c r="B4568">
        <f t="shared" ca="1" si="215"/>
        <v>43498.046721709041</v>
      </c>
      <c r="C4568">
        <f t="shared" ca="1" si="213"/>
        <v>0</v>
      </c>
      <c r="D4568">
        <f t="shared" ca="1" si="214"/>
        <v>3498.0467217090409</v>
      </c>
    </row>
    <row r="4569" spans="2:4" x14ac:dyDescent="0.25">
      <c r="B4569">
        <f t="shared" ca="1" si="215"/>
        <v>50912.275402864696</v>
      </c>
      <c r="C4569">
        <f t="shared" ca="1" si="213"/>
        <v>0</v>
      </c>
      <c r="D4569">
        <f t="shared" ca="1" si="214"/>
        <v>10912.275402864696</v>
      </c>
    </row>
    <row r="4570" spans="2:4" x14ac:dyDescent="0.25">
      <c r="B4570">
        <f t="shared" ca="1" si="215"/>
        <v>41632.247301502284</v>
      </c>
      <c r="C4570">
        <f t="shared" ca="1" si="213"/>
        <v>0</v>
      </c>
      <c r="D4570">
        <f t="shared" ca="1" si="214"/>
        <v>1632.2473015022842</v>
      </c>
    </row>
    <row r="4571" spans="2:4" x14ac:dyDescent="0.25">
      <c r="B4571">
        <f t="shared" ca="1" si="215"/>
        <v>35726.312965980178</v>
      </c>
      <c r="C4571">
        <f t="shared" ca="1" si="213"/>
        <v>4273.687034019822</v>
      </c>
      <c r="D4571">
        <f t="shared" ca="1" si="214"/>
        <v>0</v>
      </c>
    </row>
    <row r="4572" spans="2:4" x14ac:dyDescent="0.25">
      <c r="B4572">
        <f t="shared" ca="1" si="215"/>
        <v>38966.843107979053</v>
      </c>
      <c r="C4572">
        <f t="shared" ca="1" si="213"/>
        <v>1033.1568920209465</v>
      </c>
      <c r="D4572">
        <f t="shared" ca="1" si="214"/>
        <v>0</v>
      </c>
    </row>
    <row r="4573" spans="2:4" x14ac:dyDescent="0.25">
      <c r="B4573">
        <f t="shared" ca="1" si="215"/>
        <v>53376.573625600773</v>
      </c>
      <c r="C4573">
        <f t="shared" ca="1" si="213"/>
        <v>0</v>
      </c>
      <c r="D4573">
        <f t="shared" ca="1" si="214"/>
        <v>13376.573625600773</v>
      </c>
    </row>
    <row r="4574" spans="2:4" x14ac:dyDescent="0.25">
      <c r="B4574">
        <f t="shared" ca="1" si="215"/>
        <v>45878.064950359701</v>
      </c>
      <c r="C4574">
        <f t="shared" ca="1" si="213"/>
        <v>0</v>
      </c>
      <c r="D4574">
        <f t="shared" ca="1" si="214"/>
        <v>5878.0649503597015</v>
      </c>
    </row>
    <row r="4575" spans="2:4" x14ac:dyDescent="0.25">
      <c r="B4575">
        <f t="shared" ca="1" si="215"/>
        <v>48925.880783999761</v>
      </c>
      <c r="C4575">
        <f t="shared" ca="1" si="213"/>
        <v>0</v>
      </c>
      <c r="D4575">
        <f t="shared" ca="1" si="214"/>
        <v>8925.8807839997608</v>
      </c>
    </row>
    <row r="4576" spans="2:4" x14ac:dyDescent="0.25">
      <c r="B4576">
        <f t="shared" ca="1" si="215"/>
        <v>42038.980924725533</v>
      </c>
      <c r="C4576">
        <f t="shared" ca="1" si="213"/>
        <v>0</v>
      </c>
      <c r="D4576">
        <f t="shared" ca="1" si="214"/>
        <v>2038.9809247255325</v>
      </c>
    </row>
    <row r="4577" spans="2:4" x14ac:dyDescent="0.25">
      <c r="B4577">
        <f t="shared" ca="1" si="215"/>
        <v>46629.739180606826</v>
      </c>
      <c r="C4577">
        <f t="shared" ca="1" si="213"/>
        <v>0</v>
      </c>
      <c r="D4577">
        <f t="shared" ca="1" si="214"/>
        <v>6629.7391806068263</v>
      </c>
    </row>
    <row r="4578" spans="2:4" x14ac:dyDescent="0.25">
      <c r="B4578">
        <f t="shared" ca="1" si="215"/>
        <v>52131.873432902205</v>
      </c>
      <c r="C4578">
        <f t="shared" ca="1" si="213"/>
        <v>0</v>
      </c>
      <c r="D4578">
        <f t="shared" ca="1" si="214"/>
        <v>12131.873432902205</v>
      </c>
    </row>
    <row r="4579" spans="2:4" x14ac:dyDescent="0.25">
      <c r="B4579">
        <f t="shared" ca="1" si="215"/>
        <v>45903.42470538745</v>
      </c>
      <c r="C4579">
        <f t="shared" ca="1" si="213"/>
        <v>0</v>
      </c>
      <c r="D4579">
        <f t="shared" ca="1" si="214"/>
        <v>5903.4247053874496</v>
      </c>
    </row>
    <row r="4580" spans="2:4" x14ac:dyDescent="0.25">
      <c r="B4580">
        <f t="shared" ca="1" si="215"/>
        <v>41522.831500986715</v>
      </c>
      <c r="C4580">
        <f t="shared" ca="1" si="213"/>
        <v>0</v>
      </c>
      <c r="D4580">
        <f t="shared" ca="1" si="214"/>
        <v>1522.8315009867147</v>
      </c>
    </row>
    <row r="4581" spans="2:4" x14ac:dyDescent="0.25">
      <c r="B4581">
        <f t="shared" ca="1" si="215"/>
        <v>50380.607750843141</v>
      </c>
      <c r="C4581">
        <f t="shared" ca="1" si="213"/>
        <v>0</v>
      </c>
      <c r="D4581">
        <f t="shared" ca="1" si="214"/>
        <v>10380.607750843141</v>
      </c>
    </row>
    <row r="4582" spans="2:4" x14ac:dyDescent="0.25">
      <c r="B4582">
        <f t="shared" ca="1" si="215"/>
        <v>43883.012687570394</v>
      </c>
      <c r="C4582">
        <f t="shared" ca="1" si="213"/>
        <v>0</v>
      </c>
      <c r="D4582">
        <f t="shared" ca="1" si="214"/>
        <v>3883.0126875703936</v>
      </c>
    </row>
    <row r="4583" spans="2:4" x14ac:dyDescent="0.25">
      <c r="B4583">
        <f t="shared" ca="1" si="215"/>
        <v>44128.287530409376</v>
      </c>
      <c r="C4583">
        <f t="shared" ca="1" si="213"/>
        <v>0</v>
      </c>
      <c r="D4583">
        <f t="shared" ca="1" si="214"/>
        <v>4128.2875304093759</v>
      </c>
    </row>
    <row r="4584" spans="2:4" x14ac:dyDescent="0.25">
      <c r="B4584">
        <f t="shared" ca="1" si="215"/>
        <v>40398.73384573061</v>
      </c>
      <c r="C4584">
        <f t="shared" ca="1" si="213"/>
        <v>0</v>
      </c>
      <c r="D4584">
        <f t="shared" ca="1" si="214"/>
        <v>398.73384573061048</v>
      </c>
    </row>
    <row r="4585" spans="2:4" x14ac:dyDescent="0.25">
      <c r="B4585">
        <f t="shared" ca="1" si="215"/>
        <v>53748.953077111364</v>
      </c>
      <c r="C4585">
        <f t="shared" ca="1" si="213"/>
        <v>0</v>
      </c>
      <c r="D4585">
        <f t="shared" ca="1" si="214"/>
        <v>13748.953077111364</v>
      </c>
    </row>
    <row r="4586" spans="2:4" x14ac:dyDescent="0.25">
      <c r="B4586">
        <f t="shared" ca="1" si="215"/>
        <v>49513.012293736771</v>
      </c>
      <c r="C4586">
        <f t="shared" ca="1" si="213"/>
        <v>0</v>
      </c>
      <c r="D4586">
        <f t="shared" ca="1" si="214"/>
        <v>9513.0122937367705</v>
      </c>
    </row>
    <row r="4587" spans="2:4" x14ac:dyDescent="0.25">
      <c r="B4587">
        <f t="shared" ca="1" si="215"/>
        <v>47619.162786402492</v>
      </c>
      <c r="C4587">
        <f t="shared" ca="1" si="213"/>
        <v>0</v>
      </c>
      <c r="D4587">
        <f t="shared" ca="1" si="214"/>
        <v>7619.1627864024922</v>
      </c>
    </row>
    <row r="4588" spans="2:4" x14ac:dyDescent="0.25">
      <c r="B4588">
        <f t="shared" ca="1" si="215"/>
        <v>44536.18912670439</v>
      </c>
      <c r="C4588">
        <f t="shared" ca="1" si="213"/>
        <v>0</v>
      </c>
      <c r="D4588">
        <f t="shared" ca="1" si="214"/>
        <v>4536.1891267043902</v>
      </c>
    </row>
    <row r="4589" spans="2:4" x14ac:dyDescent="0.25">
      <c r="B4589">
        <f t="shared" ca="1" si="215"/>
        <v>46941.191735185923</v>
      </c>
      <c r="C4589">
        <f t="shared" ca="1" si="213"/>
        <v>0</v>
      </c>
      <c r="D4589">
        <f t="shared" ca="1" si="214"/>
        <v>6941.1917351859229</v>
      </c>
    </row>
    <row r="4590" spans="2:4" x14ac:dyDescent="0.25">
      <c r="B4590">
        <f t="shared" ca="1" si="215"/>
        <v>47158.508192393463</v>
      </c>
      <c r="C4590">
        <f t="shared" ca="1" si="213"/>
        <v>0</v>
      </c>
      <c r="D4590">
        <f t="shared" ca="1" si="214"/>
        <v>7158.5081923934631</v>
      </c>
    </row>
    <row r="4591" spans="2:4" x14ac:dyDescent="0.25">
      <c r="B4591">
        <f t="shared" ca="1" si="215"/>
        <v>38055.164175264428</v>
      </c>
      <c r="C4591">
        <f t="shared" ca="1" si="213"/>
        <v>1944.8358247355718</v>
      </c>
      <c r="D4591">
        <f t="shared" ca="1" si="214"/>
        <v>0</v>
      </c>
    </row>
    <row r="4592" spans="2:4" x14ac:dyDescent="0.25">
      <c r="B4592">
        <f t="shared" ca="1" si="215"/>
        <v>44109.968510157036</v>
      </c>
      <c r="C4592">
        <f t="shared" ca="1" si="213"/>
        <v>0</v>
      </c>
      <c r="D4592">
        <f t="shared" ca="1" si="214"/>
        <v>4109.9685101570358</v>
      </c>
    </row>
    <row r="4593" spans="2:4" x14ac:dyDescent="0.25">
      <c r="B4593">
        <f t="shared" ca="1" si="215"/>
        <v>37806.336988246818</v>
      </c>
      <c r="C4593">
        <f t="shared" ca="1" si="213"/>
        <v>2193.6630117531822</v>
      </c>
      <c r="D4593">
        <f t="shared" ca="1" si="214"/>
        <v>0</v>
      </c>
    </row>
    <row r="4594" spans="2:4" x14ac:dyDescent="0.25">
      <c r="B4594">
        <f t="shared" ca="1" si="215"/>
        <v>47148.917512175511</v>
      </c>
      <c r="C4594">
        <f t="shared" ca="1" si="213"/>
        <v>0</v>
      </c>
      <c r="D4594">
        <f t="shared" ca="1" si="214"/>
        <v>7148.9175121755106</v>
      </c>
    </row>
    <row r="4595" spans="2:4" x14ac:dyDescent="0.25">
      <c r="B4595">
        <f t="shared" ca="1" si="215"/>
        <v>47110.609749456708</v>
      </c>
      <c r="C4595">
        <f t="shared" ca="1" si="213"/>
        <v>0</v>
      </c>
      <c r="D4595">
        <f t="shared" ca="1" si="214"/>
        <v>7110.6097494567075</v>
      </c>
    </row>
    <row r="4596" spans="2:4" x14ac:dyDescent="0.25">
      <c r="B4596">
        <f t="shared" ca="1" si="215"/>
        <v>44452.126841870966</v>
      </c>
      <c r="C4596">
        <f t="shared" ca="1" si="213"/>
        <v>0</v>
      </c>
      <c r="D4596">
        <f t="shared" ca="1" si="214"/>
        <v>4452.126841870966</v>
      </c>
    </row>
    <row r="4597" spans="2:4" x14ac:dyDescent="0.25">
      <c r="B4597">
        <f t="shared" ca="1" si="215"/>
        <v>39897.949287926756</v>
      </c>
      <c r="C4597">
        <f t="shared" ca="1" si="213"/>
        <v>102.05071207324363</v>
      </c>
      <c r="D4597">
        <f t="shared" ca="1" si="214"/>
        <v>0</v>
      </c>
    </row>
    <row r="4598" spans="2:4" x14ac:dyDescent="0.25">
      <c r="B4598">
        <f t="shared" ca="1" si="215"/>
        <v>50641.207411103751</v>
      </c>
      <c r="C4598">
        <f t="shared" ca="1" si="213"/>
        <v>0</v>
      </c>
      <c r="D4598">
        <f t="shared" ca="1" si="214"/>
        <v>10641.207411103751</v>
      </c>
    </row>
    <row r="4599" spans="2:4" x14ac:dyDescent="0.25">
      <c r="B4599">
        <f t="shared" ca="1" si="215"/>
        <v>48120.220698636418</v>
      </c>
      <c r="C4599">
        <f t="shared" ca="1" si="213"/>
        <v>0</v>
      </c>
      <c r="D4599">
        <f t="shared" ca="1" si="214"/>
        <v>8120.2206986364181</v>
      </c>
    </row>
    <row r="4600" spans="2:4" x14ac:dyDescent="0.25">
      <c r="B4600">
        <f t="shared" ca="1" si="215"/>
        <v>49383.917524416902</v>
      </c>
      <c r="C4600">
        <f t="shared" ca="1" si="213"/>
        <v>0</v>
      </c>
      <c r="D4600">
        <f t="shared" ca="1" si="214"/>
        <v>9383.9175244169019</v>
      </c>
    </row>
    <row r="4601" spans="2:4" x14ac:dyDescent="0.25">
      <c r="B4601">
        <f t="shared" ca="1" si="215"/>
        <v>38564.173355080107</v>
      </c>
      <c r="C4601">
        <f t="shared" ca="1" si="213"/>
        <v>1435.8266449198927</v>
      </c>
      <c r="D4601">
        <f t="shared" ca="1" si="214"/>
        <v>0</v>
      </c>
    </row>
    <row r="4602" spans="2:4" x14ac:dyDescent="0.25">
      <c r="B4602">
        <f t="shared" ca="1" si="215"/>
        <v>47559.411542665533</v>
      </c>
      <c r="C4602">
        <f t="shared" ca="1" si="213"/>
        <v>0</v>
      </c>
      <c r="D4602">
        <f t="shared" ca="1" si="214"/>
        <v>7559.4115426655335</v>
      </c>
    </row>
    <row r="4603" spans="2:4" x14ac:dyDescent="0.25">
      <c r="B4603">
        <f t="shared" ca="1" si="215"/>
        <v>43384.295916633972</v>
      </c>
      <c r="C4603">
        <f t="shared" ca="1" si="213"/>
        <v>0</v>
      </c>
      <c r="D4603">
        <f t="shared" ca="1" si="214"/>
        <v>3384.2959166339715</v>
      </c>
    </row>
    <row r="4604" spans="2:4" x14ac:dyDescent="0.25">
      <c r="B4604">
        <f t="shared" ca="1" si="215"/>
        <v>38235.858022202745</v>
      </c>
      <c r="C4604">
        <f t="shared" ca="1" si="213"/>
        <v>1764.1419777972551</v>
      </c>
      <c r="D4604">
        <f t="shared" ca="1" si="214"/>
        <v>0</v>
      </c>
    </row>
    <row r="4605" spans="2:4" x14ac:dyDescent="0.25">
      <c r="B4605">
        <f t="shared" ca="1" si="215"/>
        <v>48496.867962675678</v>
      </c>
      <c r="C4605">
        <f t="shared" ca="1" si="213"/>
        <v>0</v>
      </c>
      <c r="D4605">
        <f t="shared" ca="1" si="214"/>
        <v>8496.8679626756784</v>
      </c>
    </row>
    <row r="4606" spans="2:4" x14ac:dyDescent="0.25">
      <c r="B4606">
        <f t="shared" ca="1" si="215"/>
        <v>38348.079265207038</v>
      </c>
      <c r="C4606">
        <f t="shared" ca="1" si="213"/>
        <v>1651.9207347929623</v>
      </c>
      <c r="D4606">
        <f t="shared" ca="1" si="214"/>
        <v>0</v>
      </c>
    </row>
    <row r="4607" spans="2:4" x14ac:dyDescent="0.25">
      <c r="B4607">
        <f t="shared" ca="1" si="215"/>
        <v>46689.622367794218</v>
      </c>
      <c r="C4607">
        <f t="shared" ca="1" si="213"/>
        <v>0</v>
      </c>
      <c r="D4607">
        <f t="shared" ca="1" si="214"/>
        <v>6689.622367794218</v>
      </c>
    </row>
    <row r="4608" spans="2:4" x14ac:dyDescent="0.25">
      <c r="B4608">
        <f t="shared" ca="1" si="215"/>
        <v>37044.013635359806</v>
      </c>
      <c r="C4608">
        <f t="shared" ca="1" si="213"/>
        <v>2955.9863646401936</v>
      </c>
      <c r="D4608">
        <f t="shared" ca="1" si="214"/>
        <v>0</v>
      </c>
    </row>
    <row r="4609" spans="2:4" x14ac:dyDescent="0.25">
      <c r="B4609">
        <f t="shared" ca="1" si="215"/>
        <v>43709.205363236149</v>
      </c>
      <c r="C4609">
        <f t="shared" ca="1" si="213"/>
        <v>0</v>
      </c>
      <c r="D4609">
        <f t="shared" ca="1" si="214"/>
        <v>3709.2053632361494</v>
      </c>
    </row>
    <row r="4610" spans="2:4" x14ac:dyDescent="0.25">
      <c r="B4610">
        <f t="shared" ca="1" si="215"/>
        <v>46441.057217683468</v>
      </c>
      <c r="C4610">
        <f t="shared" ca="1" si="213"/>
        <v>0</v>
      </c>
      <c r="D4610">
        <f t="shared" ca="1" si="214"/>
        <v>6441.0572176834685</v>
      </c>
    </row>
    <row r="4611" spans="2:4" x14ac:dyDescent="0.25">
      <c r="B4611">
        <f t="shared" ca="1" si="215"/>
        <v>48406.452768348376</v>
      </c>
      <c r="C4611">
        <f t="shared" ca="1" si="213"/>
        <v>0</v>
      </c>
      <c r="D4611">
        <f t="shared" ca="1" si="214"/>
        <v>8406.4527683483757</v>
      </c>
    </row>
    <row r="4612" spans="2:4" x14ac:dyDescent="0.25">
      <c r="B4612">
        <f t="shared" ca="1" si="215"/>
        <v>44836.293813912409</v>
      </c>
      <c r="C4612">
        <f t="shared" ca="1" si="213"/>
        <v>0</v>
      </c>
      <c r="D4612">
        <f t="shared" ca="1" si="214"/>
        <v>4836.293813912409</v>
      </c>
    </row>
    <row r="4613" spans="2:4" x14ac:dyDescent="0.25">
      <c r="B4613">
        <f t="shared" ca="1" si="215"/>
        <v>49459.376646507495</v>
      </c>
      <c r="C4613">
        <f t="shared" ca="1" si="213"/>
        <v>0</v>
      </c>
      <c r="D4613">
        <f t="shared" ca="1" si="214"/>
        <v>9459.376646507495</v>
      </c>
    </row>
    <row r="4614" spans="2:4" x14ac:dyDescent="0.25">
      <c r="B4614">
        <f t="shared" ca="1" si="215"/>
        <v>52134.030488088472</v>
      </c>
      <c r="C4614">
        <f t="shared" ca="1" si="213"/>
        <v>0</v>
      </c>
      <c r="D4614">
        <f t="shared" ca="1" si="214"/>
        <v>12134.030488088472</v>
      </c>
    </row>
    <row r="4615" spans="2:4" x14ac:dyDescent="0.25">
      <c r="B4615">
        <f t="shared" ca="1" si="215"/>
        <v>50342.159997577284</v>
      </c>
      <c r="C4615">
        <f t="shared" ca="1" si="213"/>
        <v>0</v>
      </c>
      <c r="D4615">
        <f t="shared" ca="1" si="214"/>
        <v>10342.159997577284</v>
      </c>
    </row>
    <row r="4616" spans="2:4" x14ac:dyDescent="0.25">
      <c r="B4616">
        <f t="shared" ca="1" si="215"/>
        <v>42580.153186063741</v>
      </c>
      <c r="C4616">
        <f t="shared" ca="1" si="213"/>
        <v>0</v>
      </c>
      <c r="D4616">
        <f t="shared" ca="1" si="214"/>
        <v>2580.1531860637406</v>
      </c>
    </row>
    <row r="4617" spans="2:4" x14ac:dyDescent="0.25">
      <c r="B4617">
        <f t="shared" ca="1" si="215"/>
        <v>42602.338113400117</v>
      </c>
      <c r="C4617">
        <f t="shared" ca="1" si="213"/>
        <v>0</v>
      </c>
      <c r="D4617">
        <f t="shared" ca="1" si="214"/>
        <v>2602.3381134001174</v>
      </c>
    </row>
    <row r="4618" spans="2:4" x14ac:dyDescent="0.25">
      <c r="B4618">
        <f t="shared" ca="1" si="215"/>
        <v>41884.078447407635</v>
      </c>
      <c r="C4618">
        <f t="shared" ca="1" si="213"/>
        <v>0</v>
      </c>
      <c r="D4618">
        <f t="shared" ca="1" si="214"/>
        <v>1884.0784474076354</v>
      </c>
    </row>
    <row r="4619" spans="2:4" x14ac:dyDescent="0.25">
      <c r="B4619">
        <f t="shared" ca="1" si="215"/>
        <v>40909.239255883745</v>
      </c>
      <c r="C4619">
        <f t="shared" ca="1" si="213"/>
        <v>0</v>
      </c>
      <c r="D4619">
        <f t="shared" ca="1" si="214"/>
        <v>909.2392558837455</v>
      </c>
    </row>
    <row r="4620" spans="2:4" x14ac:dyDescent="0.25">
      <c r="B4620">
        <f t="shared" ca="1" si="215"/>
        <v>50034.929714553968</v>
      </c>
      <c r="C4620">
        <f t="shared" ref="C4620:C4683" ca="1" si="216">IF(MAX($B$2-B4620)&lt;0,0,$B$2-B4620)</f>
        <v>0</v>
      </c>
      <c r="D4620">
        <f t="shared" ref="D4620:D4683" ca="1" si="217">IF(MAX(B4620-$B$2)&lt;0,0,B4620-$B$2)</f>
        <v>10034.929714553968</v>
      </c>
    </row>
    <row r="4621" spans="2:4" x14ac:dyDescent="0.25">
      <c r="B4621">
        <f t="shared" ref="B4621:B4684" ca="1" si="218">$B$1*EXP((($B$4-($B$3^2)/2)*$B$5+$B$3*SQRT($B$5)*NORMSINV(RAND())))</f>
        <v>44193.711628706253</v>
      </c>
      <c r="C4621">
        <f t="shared" ca="1" si="216"/>
        <v>0</v>
      </c>
      <c r="D4621">
        <f t="shared" ca="1" si="217"/>
        <v>4193.7116287062527</v>
      </c>
    </row>
    <row r="4622" spans="2:4" x14ac:dyDescent="0.25">
      <c r="B4622">
        <f t="shared" ca="1" si="218"/>
        <v>45402.467281099911</v>
      </c>
      <c r="C4622">
        <f t="shared" ca="1" si="216"/>
        <v>0</v>
      </c>
      <c r="D4622">
        <f t="shared" ca="1" si="217"/>
        <v>5402.4672810999109</v>
      </c>
    </row>
    <row r="4623" spans="2:4" x14ac:dyDescent="0.25">
      <c r="B4623">
        <f t="shared" ca="1" si="218"/>
        <v>37656.200431905432</v>
      </c>
      <c r="C4623">
        <f t="shared" ca="1" si="216"/>
        <v>2343.7995680945678</v>
      </c>
      <c r="D4623">
        <f t="shared" ca="1" si="217"/>
        <v>0</v>
      </c>
    </row>
    <row r="4624" spans="2:4" x14ac:dyDescent="0.25">
      <c r="B4624">
        <f t="shared" ca="1" si="218"/>
        <v>48326.350899160148</v>
      </c>
      <c r="C4624">
        <f t="shared" ca="1" si="216"/>
        <v>0</v>
      </c>
      <c r="D4624">
        <f t="shared" ca="1" si="217"/>
        <v>8326.3508991601484</v>
      </c>
    </row>
    <row r="4625" spans="2:4" x14ac:dyDescent="0.25">
      <c r="B4625">
        <f t="shared" ca="1" si="218"/>
        <v>46544.066022061772</v>
      </c>
      <c r="C4625">
        <f t="shared" ca="1" si="216"/>
        <v>0</v>
      </c>
      <c r="D4625">
        <f t="shared" ca="1" si="217"/>
        <v>6544.0660220617719</v>
      </c>
    </row>
    <row r="4626" spans="2:4" x14ac:dyDescent="0.25">
      <c r="B4626">
        <f t="shared" ca="1" si="218"/>
        <v>50485.209538010538</v>
      </c>
      <c r="C4626">
        <f t="shared" ca="1" si="216"/>
        <v>0</v>
      </c>
      <c r="D4626">
        <f t="shared" ca="1" si="217"/>
        <v>10485.209538010538</v>
      </c>
    </row>
    <row r="4627" spans="2:4" x14ac:dyDescent="0.25">
      <c r="B4627">
        <f t="shared" ca="1" si="218"/>
        <v>40364.910703824593</v>
      </c>
      <c r="C4627">
        <f t="shared" ca="1" si="216"/>
        <v>0</v>
      </c>
      <c r="D4627">
        <f t="shared" ca="1" si="217"/>
        <v>364.91070382459293</v>
      </c>
    </row>
    <row r="4628" spans="2:4" x14ac:dyDescent="0.25">
      <c r="B4628">
        <f t="shared" ca="1" si="218"/>
        <v>40802.105525011968</v>
      </c>
      <c r="C4628">
        <f t="shared" ca="1" si="216"/>
        <v>0</v>
      </c>
      <c r="D4628">
        <f t="shared" ca="1" si="217"/>
        <v>802.10552501196798</v>
      </c>
    </row>
    <row r="4629" spans="2:4" x14ac:dyDescent="0.25">
      <c r="B4629">
        <f t="shared" ca="1" si="218"/>
        <v>43191.399272032984</v>
      </c>
      <c r="C4629">
        <f t="shared" ca="1" si="216"/>
        <v>0</v>
      </c>
      <c r="D4629">
        <f t="shared" ca="1" si="217"/>
        <v>3191.3992720329843</v>
      </c>
    </row>
    <row r="4630" spans="2:4" x14ac:dyDescent="0.25">
      <c r="B4630">
        <f t="shared" ca="1" si="218"/>
        <v>43052.182312983874</v>
      </c>
      <c r="C4630">
        <f t="shared" ca="1" si="216"/>
        <v>0</v>
      </c>
      <c r="D4630">
        <f t="shared" ca="1" si="217"/>
        <v>3052.182312983874</v>
      </c>
    </row>
    <row r="4631" spans="2:4" x14ac:dyDescent="0.25">
      <c r="B4631">
        <f t="shared" ca="1" si="218"/>
        <v>38412.624481037732</v>
      </c>
      <c r="C4631">
        <f t="shared" ca="1" si="216"/>
        <v>1587.375518962268</v>
      </c>
      <c r="D4631">
        <f t="shared" ca="1" si="217"/>
        <v>0</v>
      </c>
    </row>
    <row r="4632" spans="2:4" x14ac:dyDescent="0.25">
      <c r="B4632">
        <f t="shared" ca="1" si="218"/>
        <v>39991.252878952924</v>
      </c>
      <c r="C4632">
        <f t="shared" ca="1" si="216"/>
        <v>8.7471210470757796</v>
      </c>
      <c r="D4632">
        <f t="shared" ca="1" si="217"/>
        <v>0</v>
      </c>
    </row>
    <row r="4633" spans="2:4" x14ac:dyDescent="0.25">
      <c r="B4633">
        <f t="shared" ca="1" si="218"/>
        <v>47411.003061802061</v>
      </c>
      <c r="C4633">
        <f t="shared" ca="1" si="216"/>
        <v>0</v>
      </c>
      <c r="D4633">
        <f t="shared" ca="1" si="217"/>
        <v>7411.003061802061</v>
      </c>
    </row>
    <row r="4634" spans="2:4" x14ac:dyDescent="0.25">
      <c r="B4634">
        <f t="shared" ca="1" si="218"/>
        <v>44005.066171441809</v>
      </c>
      <c r="C4634">
        <f t="shared" ca="1" si="216"/>
        <v>0</v>
      </c>
      <c r="D4634">
        <f t="shared" ca="1" si="217"/>
        <v>4005.0661714418093</v>
      </c>
    </row>
    <row r="4635" spans="2:4" x14ac:dyDescent="0.25">
      <c r="B4635">
        <f t="shared" ca="1" si="218"/>
        <v>46587.440168472618</v>
      </c>
      <c r="C4635">
        <f t="shared" ca="1" si="216"/>
        <v>0</v>
      </c>
      <c r="D4635">
        <f t="shared" ca="1" si="217"/>
        <v>6587.4401684726181</v>
      </c>
    </row>
    <row r="4636" spans="2:4" x14ac:dyDescent="0.25">
      <c r="B4636">
        <f t="shared" ca="1" si="218"/>
        <v>44049.156615379194</v>
      </c>
      <c r="C4636">
        <f t="shared" ca="1" si="216"/>
        <v>0</v>
      </c>
      <c r="D4636">
        <f t="shared" ca="1" si="217"/>
        <v>4049.1566153791937</v>
      </c>
    </row>
    <row r="4637" spans="2:4" x14ac:dyDescent="0.25">
      <c r="B4637">
        <f t="shared" ca="1" si="218"/>
        <v>46779.257008561603</v>
      </c>
      <c r="C4637">
        <f t="shared" ca="1" si="216"/>
        <v>0</v>
      </c>
      <c r="D4637">
        <f t="shared" ca="1" si="217"/>
        <v>6779.2570085616026</v>
      </c>
    </row>
    <row r="4638" spans="2:4" x14ac:dyDescent="0.25">
      <c r="B4638">
        <f t="shared" ca="1" si="218"/>
        <v>45013.69417659544</v>
      </c>
      <c r="C4638">
        <f t="shared" ca="1" si="216"/>
        <v>0</v>
      </c>
      <c r="D4638">
        <f t="shared" ca="1" si="217"/>
        <v>5013.6941765954398</v>
      </c>
    </row>
    <row r="4639" spans="2:4" x14ac:dyDescent="0.25">
      <c r="B4639">
        <f t="shared" ca="1" si="218"/>
        <v>45031.642729950741</v>
      </c>
      <c r="C4639">
        <f t="shared" ca="1" si="216"/>
        <v>0</v>
      </c>
      <c r="D4639">
        <f t="shared" ca="1" si="217"/>
        <v>5031.6427299507413</v>
      </c>
    </row>
    <row r="4640" spans="2:4" x14ac:dyDescent="0.25">
      <c r="B4640">
        <f t="shared" ca="1" si="218"/>
        <v>51529.139544883408</v>
      </c>
      <c r="C4640">
        <f t="shared" ca="1" si="216"/>
        <v>0</v>
      </c>
      <c r="D4640">
        <f t="shared" ca="1" si="217"/>
        <v>11529.139544883408</v>
      </c>
    </row>
    <row r="4641" spans="2:4" x14ac:dyDescent="0.25">
      <c r="B4641">
        <f t="shared" ca="1" si="218"/>
        <v>44556.170089639076</v>
      </c>
      <c r="C4641">
        <f t="shared" ca="1" si="216"/>
        <v>0</v>
      </c>
      <c r="D4641">
        <f t="shared" ca="1" si="217"/>
        <v>4556.1700896390757</v>
      </c>
    </row>
    <row r="4642" spans="2:4" x14ac:dyDescent="0.25">
      <c r="B4642">
        <f t="shared" ca="1" si="218"/>
        <v>43884.121506584364</v>
      </c>
      <c r="C4642">
        <f t="shared" ca="1" si="216"/>
        <v>0</v>
      </c>
      <c r="D4642">
        <f t="shared" ca="1" si="217"/>
        <v>3884.1215065843644</v>
      </c>
    </row>
    <row r="4643" spans="2:4" x14ac:dyDescent="0.25">
      <c r="B4643">
        <f t="shared" ca="1" si="218"/>
        <v>44911.765334363074</v>
      </c>
      <c r="C4643">
        <f t="shared" ca="1" si="216"/>
        <v>0</v>
      </c>
      <c r="D4643">
        <f t="shared" ca="1" si="217"/>
        <v>4911.7653343630736</v>
      </c>
    </row>
    <row r="4644" spans="2:4" x14ac:dyDescent="0.25">
      <c r="B4644">
        <f t="shared" ca="1" si="218"/>
        <v>45686.236821439634</v>
      </c>
      <c r="C4644">
        <f t="shared" ca="1" si="216"/>
        <v>0</v>
      </c>
      <c r="D4644">
        <f t="shared" ca="1" si="217"/>
        <v>5686.2368214396338</v>
      </c>
    </row>
    <row r="4645" spans="2:4" x14ac:dyDescent="0.25">
      <c r="B4645">
        <f t="shared" ca="1" si="218"/>
        <v>37925.855774652286</v>
      </c>
      <c r="C4645">
        <f t="shared" ca="1" si="216"/>
        <v>2074.1442253477144</v>
      </c>
      <c r="D4645">
        <f t="shared" ca="1" si="217"/>
        <v>0</v>
      </c>
    </row>
    <row r="4646" spans="2:4" x14ac:dyDescent="0.25">
      <c r="B4646">
        <f t="shared" ca="1" si="218"/>
        <v>39735.675620181697</v>
      </c>
      <c r="C4646">
        <f t="shared" ca="1" si="216"/>
        <v>264.32437981830299</v>
      </c>
      <c r="D4646">
        <f t="shared" ca="1" si="217"/>
        <v>0</v>
      </c>
    </row>
    <row r="4647" spans="2:4" x14ac:dyDescent="0.25">
      <c r="B4647">
        <f t="shared" ca="1" si="218"/>
        <v>44921.720880558234</v>
      </c>
      <c r="C4647">
        <f t="shared" ca="1" si="216"/>
        <v>0</v>
      </c>
      <c r="D4647">
        <f t="shared" ca="1" si="217"/>
        <v>4921.7208805582341</v>
      </c>
    </row>
    <row r="4648" spans="2:4" x14ac:dyDescent="0.25">
      <c r="B4648">
        <f t="shared" ca="1" si="218"/>
        <v>51875.291993125284</v>
      </c>
      <c r="C4648">
        <f t="shared" ca="1" si="216"/>
        <v>0</v>
      </c>
      <c r="D4648">
        <f t="shared" ca="1" si="217"/>
        <v>11875.291993125284</v>
      </c>
    </row>
    <row r="4649" spans="2:4" x14ac:dyDescent="0.25">
      <c r="B4649">
        <f t="shared" ca="1" si="218"/>
        <v>47879.5163594818</v>
      </c>
      <c r="C4649">
        <f t="shared" ca="1" si="216"/>
        <v>0</v>
      </c>
      <c r="D4649">
        <f t="shared" ca="1" si="217"/>
        <v>7879.5163594818005</v>
      </c>
    </row>
    <row r="4650" spans="2:4" x14ac:dyDescent="0.25">
      <c r="B4650">
        <f t="shared" ca="1" si="218"/>
        <v>50051.053738939736</v>
      </c>
      <c r="C4650">
        <f t="shared" ca="1" si="216"/>
        <v>0</v>
      </c>
      <c r="D4650">
        <f t="shared" ca="1" si="217"/>
        <v>10051.053738939736</v>
      </c>
    </row>
    <row r="4651" spans="2:4" x14ac:dyDescent="0.25">
      <c r="B4651">
        <f t="shared" ca="1" si="218"/>
        <v>54413.535369626836</v>
      </c>
      <c r="C4651">
        <f t="shared" ca="1" si="216"/>
        <v>0</v>
      </c>
      <c r="D4651">
        <f t="shared" ca="1" si="217"/>
        <v>14413.535369626836</v>
      </c>
    </row>
    <row r="4652" spans="2:4" x14ac:dyDescent="0.25">
      <c r="B4652">
        <f t="shared" ca="1" si="218"/>
        <v>42604.487674149277</v>
      </c>
      <c r="C4652">
        <f t="shared" ca="1" si="216"/>
        <v>0</v>
      </c>
      <c r="D4652">
        <f t="shared" ca="1" si="217"/>
        <v>2604.4876741492772</v>
      </c>
    </row>
    <row r="4653" spans="2:4" x14ac:dyDescent="0.25">
      <c r="B4653">
        <f t="shared" ca="1" si="218"/>
        <v>43743.699089966052</v>
      </c>
      <c r="C4653">
        <f t="shared" ca="1" si="216"/>
        <v>0</v>
      </c>
      <c r="D4653">
        <f t="shared" ca="1" si="217"/>
        <v>3743.6990899660523</v>
      </c>
    </row>
    <row r="4654" spans="2:4" x14ac:dyDescent="0.25">
      <c r="B4654">
        <f t="shared" ca="1" si="218"/>
        <v>48081.567880427683</v>
      </c>
      <c r="C4654">
        <f t="shared" ca="1" si="216"/>
        <v>0</v>
      </c>
      <c r="D4654">
        <f t="shared" ca="1" si="217"/>
        <v>8081.5678804276831</v>
      </c>
    </row>
    <row r="4655" spans="2:4" x14ac:dyDescent="0.25">
      <c r="B4655">
        <f t="shared" ca="1" si="218"/>
        <v>46365.686739231693</v>
      </c>
      <c r="C4655">
        <f t="shared" ca="1" si="216"/>
        <v>0</v>
      </c>
      <c r="D4655">
        <f t="shared" ca="1" si="217"/>
        <v>6365.6867392316926</v>
      </c>
    </row>
    <row r="4656" spans="2:4" x14ac:dyDescent="0.25">
      <c r="B4656">
        <f t="shared" ca="1" si="218"/>
        <v>40524.502368933368</v>
      </c>
      <c r="C4656">
        <f t="shared" ca="1" si="216"/>
        <v>0</v>
      </c>
      <c r="D4656">
        <f t="shared" ca="1" si="217"/>
        <v>524.50236893336842</v>
      </c>
    </row>
    <row r="4657" spans="2:4" x14ac:dyDescent="0.25">
      <c r="B4657">
        <f t="shared" ca="1" si="218"/>
        <v>39559.313942568217</v>
      </c>
      <c r="C4657">
        <f t="shared" ca="1" si="216"/>
        <v>440.68605743178341</v>
      </c>
      <c r="D4657">
        <f t="shared" ca="1" si="217"/>
        <v>0</v>
      </c>
    </row>
    <row r="4658" spans="2:4" x14ac:dyDescent="0.25">
      <c r="B4658">
        <f t="shared" ca="1" si="218"/>
        <v>46236.739120037666</v>
      </c>
      <c r="C4658">
        <f t="shared" ca="1" si="216"/>
        <v>0</v>
      </c>
      <c r="D4658">
        <f t="shared" ca="1" si="217"/>
        <v>6236.739120037666</v>
      </c>
    </row>
    <row r="4659" spans="2:4" x14ac:dyDescent="0.25">
      <c r="B4659">
        <f t="shared" ca="1" si="218"/>
        <v>42816.89161011581</v>
      </c>
      <c r="C4659">
        <f t="shared" ca="1" si="216"/>
        <v>0</v>
      </c>
      <c r="D4659">
        <f t="shared" ca="1" si="217"/>
        <v>2816.8916101158102</v>
      </c>
    </row>
    <row r="4660" spans="2:4" x14ac:dyDescent="0.25">
      <c r="B4660">
        <f t="shared" ca="1" si="218"/>
        <v>40859.828289465695</v>
      </c>
      <c r="C4660">
        <f t="shared" ca="1" si="216"/>
        <v>0</v>
      </c>
      <c r="D4660">
        <f t="shared" ca="1" si="217"/>
        <v>859.82828946569498</v>
      </c>
    </row>
    <row r="4661" spans="2:4" x14ac:dyDescent="0.25">
      <c r="B4661">
        <f t="shared" ca="1" si="218"/>
        <v>51403.083340608959</v>
      </c>
      <c r="C4661">
        <f t="shared" ca="1" si="216"/>
        <v>0</v>
      </c>
      <c r="D4661">
        <f t="shared" ca="1" si="217"/>
        <v>11403.083340608959</v>
      </c>
    </row>
    <row r="4662" spans="2:4" x14ac:dyDescent="0.25">
      <c r="B4662">
        <f t="shared" ca="1" si="218"/>
        <v>41079.870283297474</v>
      </c>
      <c r="C4662">
        <f t="shared" ca="1" si="216"/>
        <v>0</v>
      </c>
      <c r="D4662">
        <f t="shared" ca="1" si="217"/>
        <v>1079.8702832974741</v>
      </c>
    </row>
    <row r="4663" spans="2:4" x14ac:dyDescent="0.25">
      <c r="B4663">
        <f t="shared" ca="1" si="218"/>
        <v>54681.056032757508</v>
      </c>
      <c r="C4663">
        <f t="shared" ca="1" si="216"/>
        <v>0</v>
      </c>
      <c r="D4663">
        <f t="shared" ca="1" si="217"/>
        <v>14681.056032757508</v>
      </c>
    </row>
    <row r="4664" spans="2:4" x14ac:dyDescent="0.25">
      <c r="B4664">
        <f t="shared" ca="1" si="218"/>
        <v>41485.652617283253</v>
      </c>
      <c r="C4664">
        <f t="shared" ca="1" si="216"/>
        <v>0</v>
      </c>
      <c r="D4664">
        <f t="shared" ca="1" si="217"/>
        <v>1485.6526172832528</v>
      </c>
    </row>
    <row r="4665" spans="2:4" x14ac:dyDescent="0.25">
      <c r="B4665">
        <f t="shared" ca="1" si="218"/>
        <v>42281.012234355134</v>
      </c>
      <c r="C4665">
        <f t="shared" ca="1" si="216"/>
        <v>0</v>
      </c>
      <c r="D4665">
        <f t="shared" ca="1" si="217"/>
        <v>2281.0122343551338</v>
      </c>
    </row>
    <row r="4666" spans="2:4" x14ac:dyDescent="0.25">
      <c r="B4666">
        <f t="shared" ca="1" si="218"/>
        <v>44273.036364709616</v>
      </c>
      <c r="C4666">
        <f t="shared" ca="1" si="216"/>
        <v>0</v>
      </c>
      <c r="D4666">
        <f t="shared" ca="1" si="217"/>
        <v>4273.0363647096165</v>
      </c>
    </row>
    <row r="4667" spans="2:4" x14ac:dyDescent="0.25">
      <c r="B4667">
        <f t="shared" ca="1" si="218"/>
        <v>42119.651706874196</v>
      </c>
      <c r="C4667">
        <f t="shared" ca="1" si="216"/>
        <v>0</v>
      </c>
      <c r="D4667">
        <f t="shared" ca="1" si="217"/>
        <v>2119.651706874196</v>
      </c>
    </row>
    <row r="4668" spans="2:4" x14ac:dyDescent="0.25">
      <c r="B4668">
        <f t="shared" ca="1" si="218"/>
        <v>44494.32701069062</v>
      </c>
      <c r="C4668">
        <f t="shared" ca="1" si="216"/>
        <v>0</v>
      </c>
      <c r="D4668">
        <f t="shared" ca="1" si="217"/>
        <v>4494.3270106906202</v>
      </c>
    </row>
    <row r="4669" spans="2:4" x14ac:dyDescent="0.25">
      <c r="B4669">
        <f t="shared" ca="1" si="218"/>
        <v>43939.843278440756</v>
      </c>
      <c r="C4669">
        <f t="shared" ca="1" si="216"/>
        <v>0</v>
      </c>
      <c r="D4669">
        <f t="shared" ca="1" si="217"/>
        <v>3939.843278440756</v>
      </c>
    </row>
    <row r="4670" spans="2:4" x14ac:dyDescent="0.25">
      <c r="B4670">
        <f t="shared" ca="1" si="218"/>
        <v>49300.187450170801</v>
      </c>
      <c r="C4670">
        <f t="shared" ca="1" si="216"/>
        <v>0</v>
      </c>
      <c r="D4670">
        <f t="shared" ca="1" si="217"/>
        <v>9300.1874501708007</v>
      </c>
    </row>
    <row r="4671" spans="2:4" x14ac:dyDescent="0.25">
      <c r="B4671">
        <f t="shared" ca="1" si="218"/>
        <v>42550.07468718967</v>
      </c>
      <c r="C4671">
        <f t="shared" ca="1" si="216"/>
        <v>0</v>
      </c>
      <c r="D4671">
        <f t="shared" ca="1" si="217"/>
        <v>2550.0746871896699</v>
      </c>
    </row>
    <row r="4672" spans="2:4" x14ac:dyDescent="0.25">
      <c r="B4672">
        <f t="shared" ca="1" si="218"/>
        <v>49470.733164146666</v>
      </c>
      <c r="C4672">
        <f t="shared" ca="1" si="216"/>
        <v>0</v>
      </c>
      <c r="D4672">
        <f t="shared" ca="1" si="217"/>
        <v>9470.7331641466662</v>
      </c>
    </row>
    <row r="4673" spans="2:4" x14ac:dyDescent="0.25">
      <c r="B4673">
        <f t="shared" ca="1" si="218"/>
        <v>50586.32558028584</v>
      </c>
      <c r="C4673">
        <f t="shared" ca="1" si="216"/>
        <v>0</v>
      </c>
      <c r="D4673">
        <f t="shared" ca="1" si="217"/>
        <v>10586.32558028584</v>
      </c>
    </row>
    <row r="4674" spans="2:4" x14ac:dyDescent="0.25">
      <c r="B4674">
        <f t="shared" ca="1" si="218"/>
        <v>44096.799177564018</v>
      </c>
      <c r="C4674">
        <f t="shared" ca="1" si="216"/>
        <v>0</v>
      </c>
      <c r="D4674">
        <f t="shared" ca="1" si="217"/>
        <v>4096.7991775640185</v>
      </c>
    </row>
    <row r="4675" spans="2:4" x14ac:dyDescent="0.25">
      <c r="B4675">
        <f t="shared" ca="1" si="218"/>
        <v>46428.717394476596</v>
      </c>
      <c r="C4675">
        <f t="shared" ca="1" si="216"/>
        <v>0</v>
      </c>
      <c r="D4675">
        <f t="shared" ca="1" si="217"/>
        <v>6428.7173944765964</v>
      </c>
    </row>
    <row r="4676" spans="2:4" x14ac:dyDescent="0.25">
      <c r="B4676">
        <f t="shared" ca="1" si="218"/>
        <v>44271.661819623689</v>
      </c>
      <c r="C4676">
        <f t="shared" ca="1" si="216"/>
        <v>0</v>
      </c>
      <c r="D4676">
        <f t="shared" ca="1" si="217"/>
        <v>4271.6618196236886</v>
      </c>
    </row>
    <row r="4677" spans="2:4" x14ac:dyDescent="0.25">
      <c r="B4677">
        <f t="shared" ca="1" si="218"/>
        <v>48873.659633853604</v>
      </c>
      <c r="C4677">
        <f t="shared" ca="1" si="216"/>
        <v>0</v>
      </c>
      <c r="D4677">
        <f t="shared" ca="1" si="217"/>
        <v>8873.6596338536037</v>
      </c>
    </row>
    <row r="4678" spans="2:4" x14ac:dyDescent="0.25">
      <c r="B4678">
        <f t="shared" ca="1" si="218"/>
        <v>43686.942660399967</v>
      </c>
      <c r="C4678">
        <f t="shared" ca="1" si="216"/>
        <v>0</v>
      </c>
      <c r="D4678">
        <f t="shared" ca="1" si="217"/>
        <v>3686.9426603999673</v>
      </c>
    </row>
    <row r="4679" spans="2:4" x14ac:dyDescent="0.25">
      <c r="B4679">
        <f t="shared" ca="1" si="218"/>
        <v>58111.892962094425</v>
      </c>
      <c r="C4679">
        <f t="shared" ca="1" si="216"/>
        <v>0</v>
      </c>
      <c r="D4679">
        <f t="shared" ca="1" si="217"/>
        <v>18111.892962094425</v>
      </c>
    </row>
    <row r="4680" spans="2:4" x14ac:dyDescent="0.25">
      <c r="B4680">
        <f t="shared" ca="1" si="218"/>
        <v>36169.812685348879</v>
      </c>
      <c r="C4680">
        <f t="shared" ca="1" si="216"/>
        <v>3830.1873146511207</v>
      </c>
      <c r="D4680">
        <f t="shared" ca="1" si="217"/>
        <v>0</v>
      </c>
    </row>
    <row r="4681" spans="2:4" x14ac:dyDescent="0.25">
      <c r="B4681">
        <f t="shared" ca="1" si="218"/>
        <v>47575.038517053079</v>
      </c>
      <c r="C4681">
        <f t="shared" ca="1" si="216"/>
        <v>0</v>
      </c>
      <c r="D4681">
        <f t="shared" ca="1" si="217"/>
        <v>7575.038517053079</v>
      </c>
    </row>
    <row r="4682" spans="2:4" x14ac:dyDescent="0.25">
      <c r="B4682">
        <f t="shared" ca="1" si="218"/>
        <v>39927.779337151827</v>
      </c>
      <c r="C4682">
        <f t="shared" ca="1" si="216"/>
        <v>72.220662848172651</v>
      </c>
      <c r="D4682">
        <f t="shared" ca="1" si="217"/>
        <v>0</v>
      </c>
    </row>
    <row r="4683" spans="2:4" x14ac:dyDescent="0.25">
      <c r="B4683">
        <f t="shared" ca="1" si="218"/>
        <v>41443.052659445675</v>
      </c>
      <c r="C4683">
        <f t="shared" ca="1" si="216"/>
        <v>0</v>
      </c>
      <c r="D4683">
        <f t="shared" ca="1" si="217"/>
        <v>1443.0526594456751</v>
      </c>
    </row>
    <row r="4684" spans="2:4" x14ac:dyDescent="0.25">
      <c r="B4684">
        <f t="shared" ca="1" si="218"/>
        <v>44758.098266798981</v>
      </c>
      <c r="C4684">
        <f t="shared" ref="C4684:C4747" ca="1" si="219">IF(MAX($B$2-B4684)&lt;0,0,$B$2-B4684)</f>
        <v>0</v>
      </c>
      <c r="D4684">
        <f t="shared" ref="D4684:D4747" ca="1" si="220">IF(MAX(B4684-$B$2)&lt;0,0,B4684-$B$2)</f>
        <v>4758.0982667989811</v>
      </c>
    </row>
    <row r="4685" spans="2:4" x14ac:dyDescent="0.25">
      <c r="B4685">
        <f t="shared" ref="B4685:B4748" ca="1" si="221">$B$1*EXP((($B$4-($B$3^2)/2)*$B$5+$B$3*SQRT($B$5)*NORMSINV(RAND())))</f>
        <v>38713.55217879152</v>
      </c>
      <c r="C4685">
        <f t="shared" ca="1" si="219"/>
        <v>1286.4478212084796</v>
      </c>
      <c r="D4685">
        <f t="shared" ca="1" si="220"/>
        <v>0</v>
      </c>
    </row>
    <row r="4686" spans="2:4" x14ac:dyDescent="0.25">
      <c r="B4686">
        <f t="shared" ca="1" si="221"/>
        <v>48756.067649006582</v>
      </c>
      <c r="C4686">
        <f t="shared" ca="1" si="219"/>
        <v>0</v>
      </c>
      <c r="D4686">
        <f t="shared" ca="1" si="220"/>
        <v>8756.0676490065816</v>
      </c>
    </row>
    <row r="4687" spans="2:4" x14ac:dyDescent="0.25">
      <c r="B4687">
        <f t="shared" ca="1" si="221"/>
        <v>41144.555981148231</v>
      </c>
      <c r="C4687">
        <f t="shared" ca="1" si="219"/>
        <v>0</v>
      </c>
      <c r="D4687">
        <f t="shared" ca="1" si="220"/>
        <v>1144.5559811482308</v>
      </c>
    </row>
    <row r="4688" spans="2:4" x14ac:dyDescent="0.25">
      <c r="B4688">
        <f t="shared" ca="1" si="221"/>
        <v>48954.557277613647</v>
      </c>
      <c r="C4688">
        <f t="shared" ca="1" si="219"/>
        <v>0</v>
      </c>
      <c r="D4688">
        <f t="shared" ca="1" si="220"/>
        <v>8954.5572776136469</v>
      </c>
    </row>
    <row r="4689" spans="2:4" x14ac:dyDescent="0.25">
      <c r="B4689">
        <f t="shared" ca="1" si="221"/>
        <v>48965.531335224259</v>
      </c>
      <c r="C4689">
        <f t="shared" ca="1" si="219"/>
        <v>0</v>
      </c>
      <c r="D4689">
        <f t="shared" ca="1" si="220"/>
        <v>8965.5313352242592</v>
      </c>
    </row>
    <row r="4690" spans="2:4" x14ac:dyDescent="0.25">
      <c r="B4690">
        <f t="shared" ca="1" si="221"/>
        <v>41369.107433964353</v>
      </c>
      <c r="C4690">
        <f t="shared" ca="1" si="219"/>
        <v>0</v>
      </c>
      <c r="D4690">
        <f t="shared" ca="1" si="220"/>
        <v>1369.1074339643528</v>
      </c>
    </row>
    <row r="4691" spans="2:4" x14ac:dyDescent="0.25">
      <c r="B4691">
        <f t="shared" ca="1" si="221"/>
        <v>40455.645839903664</v>
      </c>
      <c r="C4691">
        <f t="shared" ca="1" si="219"/>
        <v>0</v>
      </c>
      <c r="D4691">
        <f t="shared" ca="1" si="220"/>
        <v>455.64583990366373</v>
      </c>
    </row>
    <row r="4692" spans="2:4" x14ac:dyDescent="0.25">
      <c r="B4692">
        <f t="shared" ca="1" si="221"/>
        <v>50074.98879894321</v>
      </c>
      <c r="C4692">
        <f t="shared" ca="1" si="219"/>
        <v>0</v>
      </c>
      <c r="D4692">
        <f t="shared" ca="1" si="220"/>
        <v>10074.98879894321</v>
      </c>
    </row>
    <row r="4693" spans="2:4" x14ac:dyDescent="0.25">
      <c r="B4693">
        <f t="shared" ca="1" si="221"/>
        <v>50417.026833451127</v>
      </c>
      <c r="C4693">
        <f t="shared" ca="1" si="219"/>
        <v>0</v>
      </c>
      <c r="D4693">
        <f t="shared" ca="1" si="220"/>
        <v>10417.026833451127</v>
      </c>
    </row>
    <row r="4694" spans="2:4" x14ac:dyDescent="0.25">
      <c r="B4694">
        <f t="shared" ca="1" si="221"/>
        <v>42408.612165236642</v>
      </c>
      <c r="C4694">
        <f t="shared" ca="1" si="219"/>
        <v>0</v>
      </c>
      <c r="D4694">
        <f t="shared" ca="1" si="220"/>
        <v>2408.6121652366419</v>
      </c>
    </row>
    <row r="4695" spans="2:4" x14ac:dyDescent="0.25">
      <c r="B4695">
        <f t="shared" ca="1" si="221"/>
        <v>42879.223889152701</v>
      </c>
      <c r="C4695">
        <f t="shared" ca="1" si="219"/>
        <v>0</v>
      </c>
      <c r="D4695">
        <f t="shared" ca="1" si="220"/>
        <v>2879.2238891527013</v>
      </c>
    </row>
    <row r="4696" spans="2:4" x14ac:dyDescent="0.25">
      <c r="B4696">
        <f t="shared" ca="1" si="221"/>
        <v>40813.347662029504</v>
      </c>
      <c r="C4696">
        <f t="shared" ca="1" si="219"/>
        <v>0</v>
      </c>
      <c r="D4696">
        <f t="shared" ca="1" si="220"/>
        <v>813.34766202950414</v>
      </c>
    </row>
    <row r="4697" spans="2:4" x14ac:dyDescent="0.25">
      <c r="B4697">
        <f t="shared" ca="1" si="221"/>
        <v>40376.098932972294</v>
      </c>
      <c r="C4697">
        <f t="shared" ca="1" si="219"/>
        <v>0</v>
      </c>
      <c r="D4697">
        <f t="shared" ca="1" si="220"/>
        <v>376.09893297229428</v>
      </c>
    </row>
    <row r="4698" spans="2:4" x14ac:dyDescent="0.25">
      <c r="B4698">
        <f t="shared" ca="1" si="221"/>
        <v>47115.654539778421</v>
      </c>
      <c r="C4698">
        <f t="shared" ca="1" si="219"/>
        <v>0</v>
      </c>
      <c r="D4698">
        <f t="shared" ca="1" si="220"/>
        <v>7115.6545397784212</v>
      </c>
    </row>
    <row r="4699" spans="2:4" x14ac:dyDescent="0.25">
      <c r="B4699">
        <f t="shared" ca="1" si="221"/>
        <v>52081.616669971234</v>
      </c>
      <c r="C4699">
        <f t="shared" ca="1" si="219"/>
        <v>0</v>
      </c>
      <c r="D4699">
        <f t="shared" ca="1" si="220"/>
        <v>12081.616669971234</v>
      </c>
    </row>
    <row r="4700" spans="2:4" x14ac:dyDescent="0.25">
      <c r="B4700">
        <f t="shared" ca="1" si="221"/>
        <v>41965.058061878139</v>
      </c>
      <c r="C4700">
        <f t="shared" ca="1" si="219"/>
        <v>0</v>
      </c>
      <c r="D4700">
        <f t="shared" ca="1" si="220"/>
        <v>1965.0580618781387</v>
      </c>
    </row>
    <row r="4701" spans="2:4" x14ac:dyDescent="0.25">
      <c r="B4701">
        <f t="shared" ca="1" si="221"/>
        <v>45310.39613073803</v>
      </c>
      <c r="C4701">
        <f t="shared" ca="1" si="219"/>
        <v>0</v>
      </c>
      <c r="D4701">
        <f t="shared" ca="1" si="220"/>
        <v>5310.3961307380305</v>
      </c>
    </row>
    <row r="4702" spans="2:4" x14ac:dyDescent="0.25">
      <c r="B4702">
        <f t="shared" ca="1" si="221"/>
        <v>47145.192926219737</v>
      </c>
      <c r="C4702">
        <f t="shared" ca="1" si="219"/>
        <v>0</v>
      </c>
      <c r="D4702">
        <f t="shared" ca="1" si="220"/>
        <v>7145.1929262197373</v>
      </c>
    </row>
    <row r="4703" spans="2:4" x14ac:dyDescent="0.25">
      <c r="B4703">
        <f t="shared" ca="1" si="221"/>
        <v>41805.620806335304</v>
      </c>
      <c r="C4703">
        <f t="shared" ca="1" si="219"/>
        <v>0</v>
      </c>
      <c r="D4703">
        <f t="shared" ca="1" si="220"/>
        <v>1805.6208063353042</v>
      </c>
    </row>
    <row r="4704" spans="2:4" x14ac:dyDescent="0.25">
      <c r="B4704">
        <f t="shared" ca="1" si="221"/>
        <v>45938.556506629488</v>
      </c>
      <c r="C4704">
        <f t="shared" ca="1" si="219"/>
        <v>0</v>
      </c>
      <c r="D4704">
        <f t="shared" ca="1" si="220"/>
        <v>5938.5565066294876</v>
      </c>
    </row>
    <row r="4705" spans="2:4" x14ac:dyDescent="0.25">
      <c r="B4705">
        <f t="shared" ca="1" si="221"/>
        <v>45347.729059803249</v>
      </c>
      <c r="C4705">
        <f t="shared" ca="1" si="219"/>
        <v>0</v>
      </c>
      <c r="D4705">
        <f t="shared" ca="1" si="220"/>
        <v>5347.7290598032487</v>
      </c>
    </row>
    <row r="4706" spans="2:4" x14ac:dyDescent="0.25">
      <c r="B4706">
        <f t="shared" ca="1" si="221"/>
        <v>51870.07732414957</v>
      </c>
      <c r="C4706">
        <f t="shared" ca="1" si="219"/>
        <v>0</v>
      </c>
      <c r="D4706">
        <f t="shared" ca="1" si="220"/>
        <v>11870.07732414957</v>
      </c>
    </row>
    <row r="4707" spans="2:4" x14ac:dyDescent="0.25">
      <c r="B4707">
        <f t="shared" ca="1" si="221"/>
        <v>43065.969102259194</v>
      </c>
      <c r="C4707">
        <f t="shared" ca="1" si="219"/>
        <v>0</v>
      </c>
      <c r="D4707">
        <f t="shared" ca="1" si="220"/>
        <v>3065.9691022591942</v>
      </c>
    </row>
    <row r="4708" spans="2:4" x14ac:dyDescent="0.25">
      <c r="B4708">
        <f t="shared" ca="1" si="221"/>
        <v>41991.563192518915</v>
      </c>
      <c r="C4708">
        <f t="shared" ca="1" si="219"/>
        <v>0</v>
      </c>
      <c r="D4708">
        <f t="shared" ca="1" si="220"/>
        <v>1991.5631925189155</v>
      </c>
    </row>
    <row r="4709" spans="2:4" x14ac:dyDescent="0.25">
      <c r="B4709">
        <f t="shared" ca="1" si="221"/>
        <v>38745.536653311276</v>
      </c>
      <c r="C4709">
        <f t="shared" ca="1" si="219"/>
        <v>1254.4633466887244</v>
      </c>
      <c r="D4709">
        <f t="shared" ca="1" si="220"/>
        <v>0</v>
      </c>
    </row>
    <row r="4710" spans="2:4" x14ac:dyDescent="0.25">
      <c r="B4710">
        <f t="shared" ca="1" si="221"/>
        <v>42554.34448361105</v>
      </c>
      <c r="C4710">
        <f t="shared" ca="1" si="219"/>
        <v>0</v>
      </c>
      <c r="D4710">
        <f t="shared" ca="1" si="220"/>
        <v>2554.3444836110502</v>
      </c>
    </row>
    <row r="4711" spans="2:4" x14ac:dyDescent="0.25">
      <c r="B4711">
        <f t="shared" ca="1" si="221"/>
        <v>47621.661668131594</v>
      </c>
      <c r="C4711">
        <f t="shared" ca="1" si="219"/>
        <v>0</v>
      </c>
      <c r="D4711">
        <f t="shared" ca="1" si="220"/>
        <v>7621.6616681315936</v>
      </c>
    </row>
    <row r="4712" spans="2:4" x14ac:dyDescent="0.25">
      <c r="B4712">
        <f t="shared" ca="1" si="221"/>
        <v>50899.479030622344</v>
      </c>
      <c r="C4712">
        <f t="shared" ca="1" si="219"/>
        <v>0</v>
      </c>
      <c r="D4712">
        <f t="shared" ca="1" si="220"/>
        <v>10899.479030622344</v>
      </c>
    </row>
    <row r="4713" spans="2:4" x14ac:dyDescent="0.25">
      <c r="B4713">
        <f t="shared" ca="1" si="221"/>
        <v>38788.821280992503</v>
      </c>
      <c r="C4713">
        <f t="shared" ca="1" si="219"/>
        <v>1211.1787190074974</v>
      </c>
      <c r="D4713">
        <f t="shared" ca="1" si="220"/>
        <v>0</v>
      </c>
    </row>
    <row r="4714" spans="2:4" x14ac:dyDescent="0.25">
      <c r="B4714">
        <f t="shared" ca="1" si="221"/>
        <v>47037.28813998335</v>
      </c>
      <c r="C4714">
        <f t="shared" ca="1" si="219"/>
        <v>0</v>
      </c>
      <c r="D4714">
        <f t="shared" ca="1" si="220"/>
        <v>7037.2881399833495</v>
      </c>
    </row>
    <row r="4715" spans="2:4" x14ac:dyDescent="0.25">
      <c r="B4715">
        <f t="shared" ca="1" si="221"/>
        <v>55936.559129977417</v>
      </c>
      <c r="C4715">
        <f t="shared" ca="1" si="219"/>
        <v>0</v>
      </c>
      <c r="D4715">
        <f t="shared" ca="1" si="220"/>
        <v>15936.559129977417</v>
      </c>
    </row>
    <row r="4716" spans="2:4" x14ac:dyDescent="0.25">
      <c r="B4716">
        <f t="shared" ca="1" si="221"/>
        <v>36988.71010856155</v>
      </c>
      <c r="C4716">
        <f t="shared" ca="1" si="219"/>
        <v>3011.2898914384496</v>
      </c>
      <c r="D4716">
        <f t="shared" ca="1" si="220"/>
        <v>0</v>
      </c>
    </row>
    <row r="4717" spans="2:4" x14ac:dyDescent="0.25">
      <c r="B4717">
        <f t="shared" ca="1" si="221"/>
        <v>51627.204694285581</v>
      </c>
      <c r="C4717">
        <f t="shared" ca="1" si="219"/>
        <v>0</v>
      </c>
      <c r="D4717">
        <f t="shared" ca="1" si="220"/>
        <v>11627.204694285581</v>
      </c>
    </row>
    <row r="4718" spans="2:4" x14ac:dyDescent="0.25">
      <c r="B4718">
        <f t="shared" ca="1" si="221"/>
        <v>46095.092275014104</v>
      </c>
      <c r="C4718">
        <f t="shared" ca="1" si="219"/>
        <v>0</v>
      </c>
      <c r="D4718">
        <f t="shared" ca="1" si="220"/>
        <v>6095.0922750141035</v>
      </c>
    </row>
    <row r="4719" spans="2:4" x14ac:dyDescent="0.25">
      <c r="B4719">
        <f t="shared" ca="1" si="221"/>
        <v>49731.670081331802</v>
      </c>
      <c r="C4719">
        <f t="shared" ca="1" si="219"/>
        <v>0</v>
      </c>
      <c r="D4719">
        <f t="shared" ca="1" si="220"/>
        <v>9731.6700813318021</v>
      </c>
    </row>
    <row r="4720" spans="2:4" x14ac:dyDescent="0.25">
      <c r="B4720">
        <f t="shared" ca="1" si="221"/>
        <v>45471.013348286084</v>
      </c>
      <c r="C4720">
        <f t="shared" ca="1" si="219"/>
        <v>0</v>
      </c>
      <c r="D4720">
        <f t="shared" ca="1" si="220"/>
        <v>5471.0133482860838</v>
      </c>
    </row>
    <row r="4721" spans="2:4" x14ac:dyDescent="0.25">
      <c r="B4721">
        <f t="shared" ca="1" si="221"/>
        <v>43663.299985970254</v>
      </c>
      <c r="C4721">
        <f t="shared" ca="1" si="219"/>
        <v>0</v>
      </c>
      <c r="D4721">
        <f t="shared" ca="1" si="220"/>
        <v>3663.2999859702541</v>
      </c>
    </row>
    <row r="4722" spans="2:4" x14ac:dyDescent="0.25">
      <c r="B4722">
        <f t="shared" ca="1" si="221"/>
        <v>47126.209560995667</v>
      </c>
      <c r="C4722">
        <f t="shared" ca="1" si="219"/>
        <v>0</v>
      </c>
      <c r="D4722">
        <f t="shared" ca="1" si="220"/>
        <v>7126.2095609956668</v>
      </c>
    </row>
    <row r="4723" spans="2:4" x14ac:dyDescent="0.25">
      <c r="B4723">
        <f t="shared" ca="1" si="221"/>
        <v>43457.966389450208</v>
      </c>
      <c r="C4723">
        <f t="shared" ca="1" si="219"/>
        <v>0</v>
      </c>
      <c r="D4723">
        <f t="shared" ca="1" si="220"/>
        <v>3457.9663894502082</v>
      </c>
    </row>
    <row r="4724" spans="2:4" x14ac:dyDescent="0.25">
      <c r="B4724">
        <f t="shared" ca="1" si="221"/>
        <v>40378.171630407291</v>
      </c>
      <c r="C4724">
        <f t="shared" ca="1" si="219"/>
        <v>0</v>
      </c>
      <c r="D4724">
        <f t="shared" ca="1" si="220"/>
        <v>378.17163040729065</v>
      </c>
    </row>
    <row r="4725" spans="2:4" x14ac:dyDescent="0.25">
      <c r="B4725">
        <f t="shared" ca="1" si="221"/>
        <v>51915.736947757214</v>
      </c>
      <c r="C4725">
        <f t="shared" ca="1" si="219"/>
        <v>0</v>
      </c>
      <c r="D4725">
        <f t="shared" ca="1" si="220"/>
        <v>11915.736947757214</v>
      </c>
    </row>
    <row r="4726" spans="2:4" x14ac:dyDescent="0.25">
      <c r="B4726">
        <f t="shared" ca="1" si="221"/>
        <v>50258.224376318576</v>
      </c>
      <c r="C4726">
        <f t="shared" ca="1" si="219"/>
        <v>0</v>
      </c>
      <c r="D4726">
        <f t="shared" ca="1" si="220"/>
        <v>10258.224376318576</v>
      </c>
    </row>
    <row r="4727" spans="2:4" x14ac:dyDescent="0.25">
      <c r="B4727">
        <f t="shared" ca="1" si="221"/>
        <v>51612.207098848856</v>
      </c>
      <c r="C4727">
        <f t="shared" ca="1" si="219"/>
        <v>0</v>
      </c>
      <c r="D4727">
        <f t="shared" ca="1" si="220"/>
        <v>11612.207098848856</v>
      </c>
    </row>
    <row r="4728" spans="2:4" x14ac:dyDescent="0.25">
      <c r="B4728">
        <f t="shared" ca="1" si="221"/>
        <v>34566.117713000727</v>
      </c>
      <c r="C4728">
        <f t="shared" ca="1" si="219"/>
        <v>5433.8822869992728</v>
      </c>
      <c r="D4728">
        <f t="shared" ca="1" si="220"/>
        <v>0</v>
      </c>
    </row>
    <row r="4729" spans="2:4" x14ac:dyDescent="0.25">
      <c r="B4729">
        <f t="shared" ca="1" si="221"/>
        <v>38736.051910354712</v>
      </c>
      <c r="C4729">
        <f t="shared" ca="1" si="219"/>
        <v>1263.9480896452878</v>
      </c>
      <c r="D4729">
        <f t="shared" ca="1" si="220"/>
        <v>0</v>
      </c>
    </row>
    <row r="4730" spans="2:4" x14ac:dyDescent="0.25">
      <c r="B4730">
        <f t="shared" ca="1" si="221"/>
        <v>43587.786113204493</v>
      </c>
      <c r="C4730">
        <f t="shared" ca="1" si="219"/>
        <v>0</v>
      </c>
      <c r="D4730">
        <f t="shared" ca="1" si="220"/>
        <v>3587.7861132044927</v>
      </c>
    </row>
    <row r="4731" spans="2:4" x14ac:dyDescent="0.25">
      <c r="B4731">
        <f t="shared" ca="1" si="221"/>
        <v>37281.613785332789</v>
      </c>
      <c r="C4731">
        <f t="shared" ca="1" si="219"/>
        <v>2718.3862146672109</v>
      </c>
      <c r="D4731">
        <f t="shared" ca="1" si="220"/>
        <v>0</v>
      </c>
    </row>
    <row r="4732" spans="2:4" x14ac:dyDescent="0.25">
      <c r="B4732">
        <f t="shared" ca="1" si="221"/>
        <v>43863.853987613526</v>
      </c>
      <c r="C4732">
        <f t="shared" ca="1" si="219"/>
        <v>0</v>
      </c>
      <c r="D4732">
        <f t="shared" ca="1" si="220"/>
        <v>3863.8539876135255</v>
      </c>
    </row>
    <row r="4733" spans="2:4" x14ac:dyDescent="0.25">
      <c r="B4733">
        <f t="shared" ca="1" si="221"/>
        <v>37332.652844751377</v>
      </c>
      <c r="C4733">
        <f t="shared" ca="1" si="219"/>
        <v>2667.3471552486226</v>
      </c>
      <c r="D4733">
        <f t="shared" ca="1" si="220"/>
        <v>0</v>
      </c>
    </row>
    <row r="4734" spans="2:4" x14ac:dyDescent="0.25">
      <c r="B4734">
        <f t="shared" ca="1" si="221"/>
        <v>44510.410152843964</v>
      </c>
      <c r="C4734">
        <f t="shared" ca="1" si="219"/>
        <v>0</v>
      </c>
      <c r="D4734">
        <f t="shared" ca="1" si="220"/>
        <v>4510.4101528439642</v>
      </c>
    </row>
    <row r="4735" spans="2:4" x14ac:dyDescent="0.25">
      <c r="B4735">
        <f t="shared" ca="1" si="221"/>
        <v>47866.061569351798</v>
      </c>
      <c r="C4735">
        <f t="shared" ca="1" si="219"/>
        <v>0</v>
      </c>
      <c r="D4735">
        <f t="shared" ca="1" si="220"/>
        <v>7866.0615693517975</v>
      </c>
    </row>
    <row r="4736" spans="2:4" x14ac:dyDescent="0.25">
      <c r="B4736">
        <f t="shared" ca="1" si="221"/>
        <v>38076.060610913119</v>
      </c>
      <c r="C4736">
        <f t="shared" ca="1" si="219"/>
        <v>1923.9393890868814</v>
      </c>
      <c r="D4736">
        <f t="shared" ca="1" si="220"/>
        <v>0</v>
      </c>
    </row>
    <row r="4737" spans="2:4" x14ac:dyDescent="0.25">
      <c r="B4737">
        <f t="shared" ca="1" si="221"/>
        <v>41441.548515652532</v>
      </c>
      <c r="C4737">
        <f t="shared" ca="1" si="219"/>
        <v>0</v>
      </c>
      <c r="D4737">
        <f t="shared" ca="1" si="220"/>
        <v>1441.5485156525319</v>
      </c>
    </row>
    <row r="4738" spans="2:4" x14ac:dyDescent="0.25">
      <c r="B4738">
        <f t="shared" ca="1" si="221"/>
        <v>35698.880209524184</v>
      </c>
      <c r="C4738">
        <f t="shared" ca="1" si="219"/>
        <v>4301.1197904758155</v>
      </c>
      <c r="D4738">
        <f t="shared" ca="1" si="220"/>
        <v>0</v>
      </c>
    </row>
    <row r="4739" spans="2:4" x14ac:dyDescent="0.25">
      <c r="B4739">
        <f t="shared" ca="1" si="221"/>
        <v>44381.553651780443</v>
      </c>
      <c r="C4739">
        <f t="shared" ca="1" si="219"/>
        <v>0</v>
      </c>
      <c r="D4739">
        <f t="shared" ca="1" si="220"/>
        <v>4381.553651780443</v>
      </c>
    </row>
    <row r="4740" spans="2:4" x14ac:dyDescent="0.25">
      <c r="B4740">
        <f t="shared" ca="1" si="221"/>
        <v>52167.865188815282</v>
      </c>
      <c r="C4740">
        <f t="shared" ca="1" si="219"/>
        <v>0</v>
      </c>
      <c r="D4740">
        <f t="shared" ca="1" si="220"/>
        <v>12167.865188815282</v>
      </c>
    </row>
    <row r="4741" spans="2:4" x14ac:dyDescent="0.25">
      <c r="B4741">
        <f t="shared" ca="1" si="221"/>
        <v>38443.656724173044</v>
      </c>
      <c r="C4741">
        <f t="shared" ca="1" si="219"/>
        <v>1556.3432758269555</v>
      </c>
      <c r="D4741">
        <f t="shared" ca="1" si="220"/>
        <v>0</v>
      </c>
    </row>
    <row r="4742" spans="2:4" x14ac:dyDescent="0.25">
      <c r="B4742">
        <f t="shared" ca="1" si="221"/>
        <v>45052.681572648107</v>
      </c>
      <c r="C4742">
        <f t="shared" ca="1" si="219"/>
        <v>0</v>
      </c>
      <c r="D4742">
        <f t="shared" ca="1" si="220"/>
        <v>5052.6815726481072</v>
      </c>
    </row>
    <row r="4743" spans="2:4" x14ac:dyDescent="0.25">
      <c r="B4743">
        <f t="shared" ca="1" si="221"/>
        <v>45821.166510784758</v>
      </c>
      <c r="C4743">
        <f t="shared" ca="1" si="219"/>
        <v>0</v>
      </c>
      <c r="D4743">
        <f t="shared" ca="1" si="220"/>
        <v>5821.1665107847584</v>
      </c>
    </row>
    <row r="4744" spans="2:4" x14ac:dyDescent="0.25">
      <c r="B4744">
        <f t="shared" ca="1" si="221"/>
        <v>43427.651697300877</v>
      </c>
      <c r="C4744">
        <f t="shared" ca="1" si="219"/>
        <v>0</v>
      </c>
      <c r="D4744">
        <f t="shared" ca="1" si="220"/>
        <v>3427.6516973008765</v>
      </c>
    </row>
    <row r="4745" spans="2:4" x14ac:dyDescent="0.25">
      <c r="B4745">
        <f t="shared" ca="1" si="221"/>
        <v>48977.139090522549</v>
      </c>
      <c r="C4745">
        <f t="shared" ca="1" si="219"/>
        <v>0</v>
      </c>
      <c r="D4745">
        <f t="shared" ca="1" si="220"/>
        <v>8977.1390905225489</v>
      </c>
    </row>
    <row r="4746" spans="2:4" x14ac:dyDescent="0.25">
      <c r="B4746">
        <f t="shared" ca="1" si="221"/>
        <v>51783.909780074981</v>
      </c>
      <c r="C4746">
        <f t="shared" ca="1" si="219"/>
        <v>0</v>
      </c>
      <c r="D4746">
        <f t="shared" ca="1" si="220"/>
        <v>11783.909780074981</v>
      </c>
    </row>
    <row r="4747" spans="2:4" x14ac:dyDescent="0.25">
      <c r="B4747">
        <f t="shared" ca="1" si="221"/>
        <v>39010.139431587471</v>
      </c>
      <c r="C4747">
        <f t="shared" ca="1" si="219"/>
        <v>989.86056841252866</v>
      </c>
      <c r="D4747">
        <f t="shared" ca="1" si="220"/>
        <v>0</v>
      </c>
    </row>
    <row r="4748" spans="2:4" x14ac:dyDescent="0.25">
      <c r="B4748">
        <f t="shared" ca="1" si="221"/>
        <v>51415.089496026689</v>
      </c>
      <c r="C4748">
        <f t="shared" ref="C4748:C4811" ca="1" si="222">IF(MAX($B$2-B4748)&lt;0,0,$B$2-B4748)</f>
        <v>0</v>
      </c>
      <c r="D4748">
        <f t="shared" ref="D4748:D4811" ca="1" si="223">IF(MAX(B4748-$B$2)&lt;0,0,B4748-$B$2)</f>
        <v>11415.089496026689</v>
      </c>
    </row>
    <row r="4749" spans="2:4" x14ac:dyDescent="0.25">
      <c r="B4749">
        <f t="shared" ref="B4749:B4812" ca="1" si="224">$B$1*EXP((($B$4-($B$3^2)/2)*$B$5+$B$3*SQRT($B$5)*NORMSINV(RAND())))</f>
        <v>53217.632523308923</v>
      </c>
      <c r="C4749">
        <f t="shared" ca="1" si="222"/>
        <v>0</v>
      </c>
      <c r="D4749">
        <f t="shared" ca="1" si="223"/>
        <v>13217.632523308923</v>
      </c>
    </row>
    <row r="4750" spans="2:4" x14ac:dyDescent="0.25">
      <c r="B4750">
        <f t="shared" ca="1" si="224"/>
        <v>40854.752139854514</v>
      </c>
      <c r="C4750">
        <f t="shared" ca="1" si="222"/>
        <v>0</v>
      </c>
      <c r="D4750">
        <f t="shared" ca="1" si="223"/>
        <v>854.7521398545141</v>
      </c>
    </row>
    <row r="4751" spans="2:4" x14ac:dyDescent="0.25">
      <c r="B4751">
        <f t="shared" ca="1" si="224"/>
        <v>51886.910913888874</v>
      </c>
      <c r="C4751">
        <f t="shared" ca="1" si="222"/>
        <v>0</v>
      </c>
      <c r="D4751">
        <f t="shared" ca="1" si="223"/>
        <v>11886.910913888874</v>
      </c>
    </row>
    <row r="4752" spans="2:4" x14ac:dyDescent="0.25">
      <c r="B4752">
        <f t="shared" ca="1" si="224"/>
        <v>36376.251699574845</v>
      </c>
      <c r="C4752">
        <f t="shared" ca="1" si="222"/>
        <v>3623.7483004251553</v>
      </c>
      <c r="D4752">
        <f t="shared" ca="1" si="223"/>
        <v>0</v>
      </c>
    </row>
    <row r="4753" spans="2:4" x14ac:dyDescent="0.25">
      <c r="B4753">
        <f t="shared" ca="1" si="224"/>
        <v>44516.059400314116</v>
      </c>
      <c r="C4753">
        <f t="shared" ca="1" si="222"/>
        <v>0</v>
      </c>
      <c r="D4753">
        <f t="shared" ca="1" si="223"/>
        <v>4516.0594003141159</v>
      </c>
    </row>
    <row r="4754" spans="2:4" x14ac:dyDescent="0.25">
      <c r="B4754">
        <f t="shared" ca="1" si="224"/>
        <v>43425.825186393347</v>
      </c>
      <c r="C4754">
        <f t="shared" ca="1" si="222"/>
        <v>0</v>
      </c>
      <c r="D4754">
        <f t="shared" ca="1" si="223"/>
        <v>3425.8251863933474</v>
      </c>
    </row>
    <row r="4755" spans="2:4" x14ac:dyDescent="0.25">
      <c r="B4755">
        <f t="shared" ca="1" si="224"/>
        <v>49119.953507289283</v>
      </c>
      <c r="C4755">
        <f t="shared" ca="1" si="222"/>
        <v>0</v>
      </c>
      <c r="D4755">
        <f t="shared" ca="1" si="223"/>
        <v>9119.9535072892832</v>
      </c>
    </row>
    <row r="4756" spans="2:4" x14ac:dyDescent="0.25">
      <c r="B4756">
        <f t="shared" ca="1" si="224"/>
        <v>46505.05735825513</v>
      </c>
      <c r="C4756">
        <f t="shared" ca="1" si="222"/>
        <v>0</v>
      </c>
      <c r="D4756">
        <f t="shared" ca="1" si="223"/>
        <v>6505.0573582551297</v>
      </c>
    </row>
    <row r="4757" spans="2:4" x14ac:dyDescent="0.25">
      <c r="B4757">
        <f t="shared" ca="1" si="224"/>
        <v>50510.191913566356</v>
      </c>
      <c r="C4757">
        <f t="shared" ca="1" si="222"/>
        <v>0</v>
      </c>
      <c r="D4757">
        <f t="shared" ca="1" si="223"/>
        <v>10510.191913566356</v>
      </c>
    </row>
    <row r="4758" spans="2:4" x14ac:dyDescent="0.25">
      <c r="B4758">
        <f t="shared" ca="1" si="224"/>
        <v>44801.670466401338</v>
      </c>
      <c r="C4758">
        <f t="shared" ca="1" si="222"/>
        <v>0</v>
      </c>
      <c r="D4758">
        <f t="shared" ca="1" si="223"/>
        <v>4801.6704664013378</v>
      </c>
    </row>
    <row r="4759" spans="2:4" x14ac:dyDescent="0.25">
      <c r="B4759">
        <f t="shared" ca="1" si="224"/>
        <v>36709.407050974121</v>
      </c>
      <c r="C4759">
        <f t="shared" ca="1" si="222"/>
        <v>3290.5929490258786</v>
      </c>
      <c r="D4759">
        <f t="shared" ca="1" si="223"/>
        <v>0</v>
      </c>
    </row>
    <row r="4760" spans="2:4" x14ac:dyDescent="0.25">
      <c r="B4760">
        <f t="shared" ca="1" si="224"/>
        <v>42223.014684263348</v>
      </c>
      <c r="C4760">
        <f t="shared" ca="1" si="222"/>
        <v>0</v>
      </c>
      <c r="D4760">
        <f t="shared" ca="1" si="223"/>
        <v>2223.0146842633476</v>
      </c>
    </row>
    <row r="4761" spans="2:4" x14ac:dyDescent="0.25">
      <c r="B4761">
        <f t="shared" ca="1" si="224"/>
        <v>45020.122789154237</v>
      </c>
      <c r="C4761">
        <f t="shared" ca="1" si="222"/>
        <v>0</v>
      </c>
      <c r="D4761">
        <f t="shared" ca="1" si="223"/>
        <v>5020.1227891542367</v>
      </c>
    </row>
    <row r="4762" spans="2:4" x14ac:dyDescent="0.25">
      <c r="B4762">
        <f t="shared" ca="1" si="224"/>
        <v>39207.440647652773</v>
      </c>
      <c r="C4762">
        <f t="shared" ca="1" si="222"/>
        <v>792.5593523472271</v>
      </c>
      <c r="D4762">
        <f t="shared" ca="1" si="223"/>
        <v>0</v>
      </c>
    </row>
    <row r="4763" spans="2:4" x14ac:dyDescent="0.25">
      <c r="B4763">
        <f t="shared" ca="1" si="224"/>
        <v>47130.209459734266</v>
      </c>
      <c r="C4763">
        <f t="shared" ca="1" si="222"/>
        <v>0</v>
      </c>
      <c r="D4763">
        <f t="shared" ca="1" si="223"/>
        <v>7130.2094597342657</v>
      </c>
    </row>
    <row r="4764" spans="2:4" x14ac:dyDescent="0.25">
      <c r="B4764">
        <f t="shared" ca="1" si="224"/>
        <v>52135.983941076891</v>
      </c>
      <c r="C4764">
        <f t="shared" ca="1" si="222"/>
        <v>0</v>
      </c>
      <c r="D4764">
        <f t="shared" ca="1" si="223"/>
        <v>12135.983941076891</v>
      </c>
    </row>
    <row r="4765" spans="2:4" x14ac:dyDescent="0.25">
      <c r="B4765">
        <f t="shared" ca="1" si="224"/>
        <v>43219.033023502096</v>
      </c>
      <c r="C4765">
        <f t="shared" ca="1" si="222"/>
        <v>0</v>
      </c>
      <c r="D4765">
        <f t="shared" ca="1" si="223"/>
        <v>3219.0330235020956</v>
      </c>
    </row>
    <row r="4766" spans="2:4" x14ac:dyDescent="0.25">
      <c r="B4766">
        <f t="shared" ca="1" si="224"/>
        <v>47236.440685697104</v>
      </c>
      <c r="C4766">
        <f t="shared" ca="1" si="222"/>
        <v>0</v>
      </c>
      <c r="D4766">
        <f t="shared" ca="1" si="223"/>
        <v>7236.4406856971036</v>
      </c>
    </row>
    <row r="4767" spans="2:4" x14ac:dyDescent="0.25">
      <c r="B4767">
        <f t="shared" ca="1" si="224"/>
        <v>42401.425869985724</v>
      </c>
      <c r="C4767">
        <f t="shared" ca="1" si="222"/>
        <v>0</v>
      </c>
      <c r="D4767">
        <f t="shared" ca="1" si="223"/>
        <v>2401.4258699857237</v>
      </c>
    </row>
    <row r="4768" spans="2:4" x14ac:dyDescent="0.25">
      <c r="B4768">
        <f t="shared" ca="1" si="224"/>
        <v>41396.610138861142</v>
      </c>
      <c r="C4768">
        <f t="shared" ca="1" si="222"/>
        <v>0</v>
      </c>
      <c r="D4768">
        <f t="shared" ca="1" si="223"/>
        <v>1396.6101388611423</v>
      </c>
    </row>
    <row r="4769" spans="2:4" x14ac:dyDescent="0.25">
      <c r="B4769">
        <f t="shared" ca="1" si="224"/>
        <v>53865.087462241652</v>
      </c>
      <c r="C4769">
        <f t="shared" ca="1" si="222"/>
        <v>0</v>
      </c>
      <c r="D4769">
        <f t="shared" ca="1" si="223"/>
        <v>13865.087462241652</v>
      </c>
    </row>
    <row r="4770" spans="2:4" x14ac:dyDescent="0.25">
      <c r="B4770">
        <f t="shared" ca="1" si="224"/>
        <v>42664.77073477739</v>
      </c>
      <c r="C4770">
        <f t="shared" ca="1" si="222"/>
        <v>0</v>
      </c>
      <c r="D4770">
        <f t="shared" ca="1" si="223"/>
        <v>2664.7707347773903</v>
      </c>
    </row>
    <row r="4771" spans="2:4" x14ac:dyDescent="0.25">
      <c r="B4771">
        <f t="shared" ca="1" si="224"/>
        <v>43946.706235738158</v>
      </c>
      <c r="C4771">
        <f t="shared" ca="1" si="222"/>
        <v>0</v>
      </c>
      <c r="D4771">
        <f t="shared" ca="1" si="223"/>
        <v>3946.7062357381583</v>
      </c>
    </row>
    <row r="4772" spans="2:4" x14ac:dyDescent="0.25">
      <c r="B4772">
        <f t="shared" ca="1" si="224"/>
        <v>38163.189895031894</v>
      </c>
      <c r="C4772">
        <f t="shared" ca="1" si="222"/>
        <v>1836.8101049681063</v>
      </c>
      <c r="D4772">
        <f t="shared" ca="1" si="223"/>
        <v>0</v>
      </c>
    </row>
    <row r="4773" spans="2:4" x14ac:dyDescent="0.25">
      <c r="B4773">
        <f t="shared" ca="1" si="224"/>
        <v>46269.526091007661</v>
      </c>
      <c r="C4773">
        <f t="shared" ca="1" si="222"/>
        <v>0</v>
      </c>
      <c r="D4773">
        <f t="shared" ca="1" si="223"/>
        <v>6269.5260910076613</v>
      </c>
    </row>
    <row r="4774" spans="2:4" x14ac:dyDescent="0.25">
      <c r="B4774">
        <f t="shared" ca="1" si="224"/>
        <v>42561.684902065819</v>
      </c>
      <c r="C4774">
        <f t="shared" ca="1" si="222"/>
        <v>0</v>
      </c>
      <c r="D4774">
        <f t="shared" ca="1" si="223"/>
        <v>2561.6849020658192</v>
      </c>
    </row>
    <row r="4775" spans="2:4" x14ac:dyDescent="0.25">
      <c r="B4775">
        <f t="shared" ca="1" si="224"/>
        <v>45225.669281351868</v>
      </c>
      <c r="C4775">
        <f t="shared" ca="1" si="222"/>
        <v>0</v>
      </c>
      <c r="D4775">
        <f t="shared" ca="1" si="223"/>
        <v>5225.6692813518675</v>
      </c>
    </row>
    <row r="4776" spans="2:4" x14ac:dyDescent="0.25">
      <c r="B4776">
        <f t="shared" ca="1" si="224"/>
        <v>42785.899622516496</v>
      </c>
      <c r="C4776">
        <f t="shared" ca="1" si="222"/>
        <v>0</v>
      </c>
      <c r="D4776">
        <f t="shared" ca="1" si="223"/>
        <v>2785.8996225164956</v>
      </c>
    </row>
    <row r="4777" spans="2:4" x14ac:dyDescent="0.25">
      <c r="B4777">
        <f t="shared" ca="1" si="224"/>
        <v>48606.950498865226</v>
      </c>
      <c r="C4777">
        <f t="shared" ca="1" si="222"/>
        <v>0</v>
      </c>
      <c r="D4777">
        <f t="shared" ca="1" si="223"/>
        <v>8606.9504988652261</v>
      </c>
    </row>
    <row r="4778" spans="2:4" x14ac:dyDescent="0.25">
      <c r="B4778">
        <f t="shared" ca="1" si="224"/>
        <v>46237.63394199709</v>
      </c>
      <c r="C4778">
        <f t="shared" ca="1" si="222"/>
        <v>0</v>
      </c>
      <c r="D4778">
        <f t="shared" ca="1" si="223"/>
        <v>6237.63394199709</v>
      </c>
    </row>
    <row r="4779" spans="2:4" x14ac:dyDescent="0.25">
      <c r="B4779">
        <f t="shared" ca="1" si="224"/>
        <v>46520.687184512666</v>
      </c>
      <c r="C4779">
        <f t="shared" ca="1" si="222"/>
        <v>0</v>
      </c>
      <c r="D4779">
        <f t="shared" ca="1" si="223"/>
        <v>6520.6871845126661</v>
      </c>
    </row>
    <row r="4780" spans="2:4" x14ac:dyDescent="0.25">
      <c r="B4780">
        <f t="shared" ca="1" si="224"/>
        <v>56045.00711485256</v>
      </c>
      <c r="C4780">
        <f t="shared" ca="1" si="222"/>
        <v>0</v>
      </c>
      <c r="D4780">
        <f t="shared" ca="1" si="223"/>
        <v>16045.00711485256</v>
      </c>
    </row>
    <row r="4781" spans="2:4" x14ac:dyDescent="0.25">
      <c r="B4781">
        <f t="shared" ca="1" si="224"/>
        <v>41139.594664345699</v>
      </c>
      <c r="C4781">
        <f t="shared" ca="1" si="222"/>
        <v>0</v>
      </c>
      <c r="D4781">
        <f t="shared" ca="1" si="223"/>
        <v>1139.5946643456991</v>
      </c>
    </row>
    <row r="4782" spans="2:4" x14ac:dyDescent="0.25">
      <c r="B4782">
        <f t="shared" ca="1" si="224"/>
        <v>52304.046626135794</v>
      </c>
      <c r="C4782">
        <f t="shared" ca="1" si="222"/>
        <v>0</v>
      </c>
      <c r="D4782">
        <f t="shared" ca="1" si="223"/>
        <v>12304.046626135794</v>
      </c>
    </row>
    <row r="4783" spans="2:4" x14ac:dyDescent="0.25">
      <c r="B4783">
        <f t="shared" ca="1" si="224"/>
        <v>44131.580746960237</v>
      </c>
      <c r="C4783">
        <f t="shared" ca="1" si="222"/>
        <v>0</v>
      </c>
      <c r="D4783">
        <f t="shared" ca="1" si="223"/>
        <v>4131.5807469602369</v>
      </c>
    </row>
    <row r="4784" spans="2:4" x14ac:dyDescent="0.25">
      <c r="B4784">
        <f t="shared" ca="1" si="224"/>
        <v>45944.921352687481</v>
      </c>
      <c r="C4784">
        <f t="shared" ca="1" si="222"/>
        <v>0</v>
      </c>
      <c r="D4784">
        <f t="shared" ca="1" si="223"/>
        <v>5944.921352687481</v>
      </c>
    </row>
    <row r="4785" spans="2:4" x14ac:dyDescent="0.25">
      <c r="B4785">
        <f t="shared" ca="1" si="224"/>
        <v>45127.163737523158</v>
      </c>
      <c r="C4785">
        <f t="shared" ca="1" si="222"/>
        <v>0</v>
      </c>
      <c r="D4785">
        <f t="shared" ca="1" si="223"/>
        <v>5127.1637375231585</v>
      </c>
    </row>
    <row r="4786" spans="2:4" x14ac:dyDescent="0.25">
      <c r="B4786">
        <f t="shared" ca="1" si="224"/>
        <v>41771.54481753453</v>
      </c>
      <c r="C4786">
        <f t="shared" ca="1" si="222"/>
        <v>0</v>
      </c>
      <c r="D4786">
        <f t="shared" ca="1" si="223"/>
        <v>1771.54481753453</v>
      </c>
    </row>
    <row r="4787" spans="2:4" x14ac:dyDescent="0.25">
      <c r="B4787">
        <f t="shared" ca="1" si="224"/>
        <v>48023.790587017538</v>
      </c>
      <c r="C4787">
        <f t="shared" ca="1" si="222"/>
        <v>0</v>
      </c>
      <c r="D4787">
        <f t="shared" ca="1" si="223"/>
        <v>8023.7905870175382</v>
      </c>
    </row>
    <row r="4788" spans="2:4" x14ac:dyDescent="0.25">
      <c r="B4788">
        <f t="shared" ca="1" si="224"/>
        <v>44088.512262754622</v>
      </c>
      <c r="C4788">
        <f t="shared" ca="1" si="222"/>
        <v>0</v>
      </c>
      <c r="D4788">
        <f t="shared" ca="1" si="223"/>
        <v>4088.5122627546225</v>
      </c>
    </row>
    <row r="4789" spans="2:4" x14ac:dyDescent="0.25">
      <c r="B4789">
        <f t="shared" ca="1" si="224"/>
        <v>55960.448669349375</v>
      </c>
      <c r="C4789">
        <f t="shared" ca="1" si="222"/>
        <v>0</v>
      </c>
      <c r="D4789">
        <f t="shared" ca="1" si="223"/>
        <v>15960.448669349375</v>
      </c>
    </row>
    <row r="4790" spans="2:4" x14ac:dyDescent="0.25">
      <c r="B4790">
        <f t="shared" ca="1" si="224"/>
        <v>55065.94014227271</v>
      </c>
      <c r="C4790">
        <f t="shared" ca="1" si="222"/>
        <v>0</v>
      </c>
      <c r="D4790">
        <f t="shared" ca="1" si="223"/>
        <v>15065.94014227271</v>
      </c>
    </row>
    <row r="4791" spans="2:4" x14ac:dyDescent="0.25">
      <c r="B4791">
        <f t="shared" ca="1" si="224"/>
        <v>48390.142702325247</v>
      </c>
      <c r="C4791">
        <f t="shared" ca="1" si="222"/>
        <v>0</v>
      </c>
      <c r="D4791">
        <f t="shared" ca="1" si="223"/>
        <v>8390.1427023252472</v>
      </c>
    </row>
    <row r="4792" spans="2:4" x14ac:dyDescent="0.25">
      <c r="B4792">
        <f t="shared" ca="1" si="224"/>
        <v>45652.983069295609</v>
      </c>
      <c r="C4792">
        <f t="shared" ca="1" si="222"/>
        <v>0</v>
      </c>
      <c r="D4792">
        <f t="shared" ca="1" si="223"/>
        <v>5652.9830692956093</v>
      </c>
    </row>
    <row r="4793" spans="2:4" x14ac:dyDescent="0.25">
      <c r="B4793">
        <f t="shared" ca="1" si="224"/>
        <v>57545.959712167336</v>
      </c>
      <c r="C4793">
        <f t="shared" ca="1" si="222"/>
        <v>0</v>
      </c>
      <c r="D4793">
        <f t="shared" ca="1" si="223"/>
        <v>17545.959712167336</v>
      </c>
    </row>
    <row r="4794" spans="2:4" x14ac:dyDescent="0.25">
      <c r="B4794">
        <f t="shared" ca="1" si="224"/>
        <v>44908.60499776392</v>
      </c>
      <c r="C4794">
        <f t="shared" ca="1" si="222"/>
        <v>0</v>
      </c>
      <c r="D4794">
        <f t="shared" ca="1" si="223"/>
        <v>4908.6049977639195</v>
      </c>
    </row>
    <row r="4795" spans="2:4" x14ac:dyDescent="0.25">
      <c r="B4795">
        <f t="shared" ca="1" si="224"/>
        <v>48785.013238573229</v>
      </c>
      <c r="C4795">
        <f t="shared" ca="1" si="222"/>
        <v>0</v>
      </c>
      <c r="D4795">
        <f t="shared" ca="1" si="223"/>
        <v>8785.0132385732286</v>
      </c>
    </row>
    <row r="4796" spans="2:4" x14ac:dyDescent="0.25">
      <c r="B4796">
        <f t="shared" ca="1" si="224"/>
        <v>48343.081705362667</v>
      </c>
      <c r="C4796">
        <f t="shared" ca="1" si="222"/>
        <v>0</v>
      </c>
      <c r="D4796">
        <f t="shared" ca="1" si="223"/>
        <v>8343.081705362667</v>
      </c>
    </row>
    <row r="4797" spans="2:4" x14ac:dyDescent="0.25">
      <c r="B4797">
        <f t="shared" ca="1" si="224"/>
        <v>45383.05988059676</v>
      </c>
      <c r="C4797">
        <f t="shared" ca="1" si="222"/>
        <v>0</v>
      </c>
      <c r="D4797">
        <f t="shared" ca="1" si="223"/>
        <v>5383.0598805967602</v>
      </c>
    </row>
    <row r="4798" spans="2:4" x14ac:dyDescent="0.25">
      <c r="B4798">
        <f t="shared" ca="1" si="224"/>
        <v>42564.250767484162</v>
      </c>
      <c r="C4798">
        <f t="shared" ca="1" si="222"/>
        <v>0</v>
      </c>
      <c r="D4798">
        <f t="shared" ca="1" si="223"/>
        <v>2564.2507674841618</v>
      </c>
    </row>
    <row r="4799" spans="2:4" x14ac:dyDescent="0.25">
      <c r="B4799">
        <f t="shared" ca="1" si="224"/>
        <v>44207.214617254234</v>
      </c>
      <c r="C4799">
        <f t="shared" ca="1" si="222"/>
        <v>0</v>
      </c>
      <c r="D4799">
        <f t="shared" ca="1" si="223"/>
        <v>4207.2146172542343</v>
      </c>
    </row>
    <row r="4800" spans="2:4" x14ac:dyDescent="0.25">
      <c r="B4800">
        <f t="shared" ca="1" si="224"/>
        <v>39729.377511233244</v>
      </c>
      <c r="C4800">
        <f t="shared" ca="1" si="222"/>
        <v>270.62248876675585</v>
      </c>
      <c r="D4800">
        <f t="shared" ca="1" si="223"/>
        <v>0</v>
      </c>
    </row>
    <row r="4801" spans="2:4" x14ac:dyDescent="0.25">
      <c r="B4801">
        <f t="shared" ca="1" si="224"/>
        <v>62353.406254610425</v>
      </c>
      <c r="C4801">
        <f t="shared" ca="1" si="222"/>
        <v>0</v>
      </c>
      <c r="D4801">
        <f t="shared" ca="1" si="223"/>
        <v>22353.406254610425</v>
      </c>
    </row>
    <row r="4802" spans="2:4" x14ac:dyDescent="0.25">
      <c r="B4802">
        <f t="shared" ca="1" si="224"/>
        <v>46414.620665476941</v>
      </c>
      <c r="C4802">
        <f t="shared" ca="1" si="222"/>
        <v>0</v>
      </c>
      <c r="D4802">
        <f t="shared" ca="1" si="223"/>
        <v>6414.6206654769412</v>
      </c>
    </row>
    <row r="4803" spans="2:4" x14ac:dyDescent="0.25">
      <c r="B4803">
        <f t="shared" ca="1" si="224"/>
        <v>44741.708581946448</v>
      </c>
      <c r="C4803">
        <f t="shared" ca="1" si="222"/>
        <v>0</v>
      </c>
      <c r="D4803">
        <f t="shared" ca="1" si="223"/>
        <v>4741.7085819464482</v>
      </c>
    </row>
    <row r="4804" spans="2:4" x14ac:dyDescent="0.25">
      <c r="B4804">
        <f t="shared" ca="1" si="224"/>
        <v>45594.137773318318</v>
      </c>
      <c r="C4804">
        <f t="shared" ca="1" si="222"/>
        <v>0</v>
      </c>
      <c r="D4804">
        <f t="shared" ca="1" si="223"/>
        <v>5594.1377733183181</v>
      </c>
    </row>
    <row r="4805" spans="2:4" x14ac:dyDescent="0.25">
      <c r="B4805">
        <f t="shared" ca="1" si="224"/>
        <v>48424.829603657818</v>
      </c>
      <c r="C4805">
        <f t="shared" ca="1" si="222"/>
        <v>0</v>
      </c>
      <c r="D4805">
        <f t="shared" ca="1" si="223"/>
        <v>8424.8296036578176</v>
      </c>
    </row>
    <row r="4806" spans="2:4" x14ac:dyDescent="0.25">
      <c r="B4806">
        <f t="shared" ca="1" si="224"/>
        <v>48418.252593632555</v>
      </c>
      <c r="C4806">
        <f t="shared" ca="1" si="222"/>
        <v>0</v>
      </c>
      <c r="D4806">
        <f t="shared" ca="1" si="223"/>
        <v>8418.2525936325546</v>
      </c>
    </row>
    <row r="4807" spans="2:4" x14ac:dyDescent="0.25">
      <c r="B4807">
        <f t="shared" ca="1" si="224"/>
        <v>44011.71528016455</v>
      </c>
      <c r="C4807">
        <f t="shared" ca="1" si="222"/>
        <v>0</v>
      </c>
      <c r="D4807">
        <f t="shared" ca="1" si="223"/>
        <v>4011.7152801645498</v>
      </c>
    </row>
    <row r="4808" spans="2:4" x14ac:dyDescent="0.25">
      <c r="B4808">
        <f t="shared" ca="1" si="224"/>
        <v>44862.90211516073</v>
      </c>
      <c r="C4808">
        <f t="shared" ca="1" si="222"/>
        <v>0</v>
      </c>
      <c r="D4808">
        <f t="shared" ca="1" si="223"/>
        <v>4862.9021151607303</v>
      </c>
    </row>
    <row r="4809" spans="2:4" x14ac:dyDescent="0.25">
      <c r="B4809">
        <f t="shared" ca="1" si="224"/>
        <v>47913.501699285458</v>
      </c>
      <c r="C4809">
        <f t="shared" ca="1" si="222"/>
        <v>0</v>
      </c>
      <c r="D4809">
        <f t="shared" ca="1" si="223"/>
        <v>7913.501699285458</v>
      </c>
    </row>
    <row r="4810" spans="2:4" x14ac:dyDescent="0.25">
      <c r="B4810">
        <f t="shared" ca="1" si="224"/>
        <v>51072.519690510722</v>
      </c>
      <c r="C4810">
        <f t="shared" ca="1" si="222"/>
        <v>0</v>
      </c>
      <c r="D4810">
        <f t="shared" ca="1" si="223"/>
        <v>11072.519690510722</v>
      </c>
    </row>
    <row r="4811" spans="2:4" x14ac:dyDescent="0.25">
      <c r="B4811">
        <f t="shared" ca="1" si="224"/>
        <v>49498.552352428735</v>
      </c>
      <c r="C4811">
        <f t="shared" ca="1" si="222"/>
        <v>0</v>
      </c>
      <c r="D4811">
        <f t="shared" ca="1" si="223"/>
        <v>9498.5523524287346</v>
      </c>
    </row>
    <row r="4812" spans="2:4" x14ac:dyDescent="0.25">
      <c r="B4812">
        <f t="shared" ca="1" si="224"/>
        <v>43512.786889528485</v>
      </c>
      <c r="C4812">
        <f t="shared" ref="C4812:C4875" ca="1" si="225">IF(MAX($B$2-B4812)&lt;0,0,$B$2-B4812)</f>
        <v>0</v>
      </c>
      <c r="D4812">
        <f t="shared" ref="D4812:D4875" ca="1" si="226">IF(MAX(B4812-$B$2)&lt;0,0,B4812-$B$2)</f>
        <v>3512.7868895284846</v>
      </c>
    </row>
    <row r="4813" spans="2:4" x14ac:dyDescent="0.25">
      <c r="B4813">
        <f t="shared" ref="B4813:B4876" ca="1" si="227">$B$1*EXP((($B$4-($B$3^2)/2)*$B$5+$B$3*SQRT($B$5)*NORMSINV(RAND())))</f>
        <v>42444.02983860996</v>
      </c>
      <c r="C4813">
        <f t="shared" ca="1" si="225"/>
        <v>0</v>
      </c>
      <c r="D4813">
        <f t="shared" ca="1" si="226"/>
        <v>2444.0298386099603</v>
      </c>
    </row>
    <row r="4814" spans="2:4" x14ac:dyDescent="0.25">
      <c r="B4814">
        <f t="shared" ca="1" si="227"/>
        <v>44138.955443981518</v>
      </c>
      <c r="C4814">
        <f t="shared" ca="1" si="225"/>
        <v>0</v>
      </c>
      <c r="D4814">
        <f t="shared" ca="1" si="226"/>
        <v>4138.9554439815183</v>
      </c>
    </row>
    <row r="4815" spans="2:4" x14ac:dyDescent="0.25">
      <c r="B4815">
        <f t="shared" ca="1" si="227"/>
        <v>40139.978619645713</v>
      </c>
      <c r="C4815">
        <f t="shared" ca="1" si="225"/>
        <v>0</v>
      </c>
      <c r="D4815">
        <f t="shared" ca="1" si="226"/>
        <v>139.97861964571348</v>
      </c>
    </row>
    <row r="4816" spans="2:4" x14ac:dyDescent="0.25">
      <c r="B4816">
        <f t="shared" ca="1" si="227"/>
        <v>39888.631269181758</v>
      </c>
      <c r="C4816">
        <f t="shared" ca="1" si="225"/>
        <v>111.3687308182416</v>
      </c>
      <c r="D4816">
        <f t="shared" ca="1" si="226"/>
        <v>0</v>
      </c>
    </row>
    <row r="4817" spans="2:4" x14ac:dyDescent="0.25">
      <c r="B4817">
        <f t="shared" ca="1" si="227"/>
        <v>44486.017479750983</v>
      </c>
      <c r="C4817">
        <f t="shared" ca="1" si="225"/>
        <v>0</v>
      </c>
      <c r="D4817">
        <f t="shared" ca="1" si="226"/>
        <v>4486.0174797509826</v>
      </c>
    </row>
    <row r="4818" spans="2:4" x14ac:dyDescent="0.25">
      <c r="B4818">
        <f t="shared" ca="1" si="227"/>
        <v>47902.377719847485</v>
      </c>
      <c r="C4818">
        <f t="shared" ca="1" si="225"/>
        <v>0</v>
      </c>
      <c r="D4818">
        <f t="shared" ca="1" si="226"/>
        <v>7902.3777198474854</v>
      </c>
    </row>
    <row r="4819" spans="2:4" x14ac:dyDescent="0.25">
      <c r="B4819">
        <f t="shared" ca="1" si="227"/>
        <v>40480.168999998205</v>
      </c>
      <c r="C4819">
        <f t="shared" ca="1" si="225"/>
        <v>0</v>
      </c>
      <c r="D4819">
        <f t="shared" ca="1" si="226"/>
        <v>480.16899999820453</v>
      </c>
    </row>
    <row r="4820" spans="2:4" x14ac:dyDescent="0.25">
      <c r="B4820">
        <f t="shared" ca="1" si="227"/>
        <v>47352.033149509982</v>
      </c>
      <c r="C4820">
        <f t="shared" ca="1" si="225"/>
        <v>0</v>
      </c>
      <c r="D4820">
        <f t="shared" ca="1" si="226"/>
        <v>7352.0331495099817</v>
      </c>
    </row>
    <row r="4821" spans="2:4" x14ac:dyDescent="0.25">
      <c r="B4821">
        <f t="shared" ca="1" si="227"/>
        <v>44098.410113584585</v>
      </c>
      <c r="C4821">
        <f t="shared" ca="1" si="225"/>
        <v>0</v>
      </c>
      <c r="D4821">
        <f t="shared" ca="1" si="226"/>
        <v>4098.4101135845849</v>
      </c>
    </row>
    <row r="4822" spans="2:4" x14ac:dyDescent="0.25">
      <c r="B4822">
        <f t="shared" ca="1" si="227"/>
        <v>42244.784913666233</v>
      </c>
      <c r="C4822">
        <f t="shared" ca="1" si="225"/>
        <v>0</v>
      </c>
      <c r="D4822">
        <f t="shared" ca="1" si="226"/>
        <v>2244.7849136662335</v>
      </c>
    </row>
    <row r="4823" spans="2:4" x14ac:dyDescent="0.25">
      <c r="B4823">
        <f t="shared" ca="1" si="227"/>
        <v>46596.050829752559</v>
      </c>
      <c r="C4823">
        <f t="shared" ca="1" si="225"/>
        <v>0</v>
      </c>
      <c r="D4823">
        <f t="shared" ca="1" si="226"/>
        <v>6596.0508297525594</v>
      </c>
    </row>
    <row r="4824" spans="2:4" x14ac:dyDescent="0.25">
      <c r="B4824">
        <f t="shared" ca="1" si="227"/>
        <v>36884.625284413982</v>
      </c>
      <c r="C4824">
        <f t="shared" ca="1" si="225"/>
        <v>3115.3747155860183</v>
      </c>
      <c r="D4824">
        <f t="shared" ca="1" si="226"/>
        <v>0</v>
      </c>
    </row>
    <row r="4825" spans="2:4" x14ac:dyDescent="0.25">
      <c r="B4825">
        <f t="shared" ca="1" si="227"/>
        <v>45397.822276990053</v>
      </c>
      <c r="C4825">
        <f t="shared" ca="1" si="225"/>
        <v>0</v>
      </c>
      <c r="D4825">
        <f t="shared" ca="1" si="226"/>
        <v>5397.8222769900531</v>
      </c>
    </row>
    <row r="4826" spans="2:4" x14ac:dyDescent="0.25">
      <c r="B4826">
        <f t="shared" ca="1" si="227"/>
        <v>48332.486468082207</v>
      </c>
      <c r="C4826">
        <f t="shared" ca="1" si="225"/>
        <v>0</v>
      </c>
      <c r="D4826">
        <f t="shared" ca="1" si="226"/>
        <v>8332.4864680822066</v>
      </c>
    </row>
    <row r="4827" spans="2:4" x14ac:dyDescent="0.25">
      <c r="B4827">
        <f t="shared" ca="1" si="227"/>
        <v>44770.932272402257</v>
      </c>
      <c r="C4827">
        <f t="shared" ca="1" si="225"/>
        <v>0</v>
      </c>
      <c r="D4827">
        <f t="shared" ca="1" si="226"/>
        <v>4770.9322724022568</v>
      </c>
    </row>
    <row r="4828" spans="2:4" x14ac:dyDescent="0.25">
      <c r="B4828">
        <f t="shared" ca="1" si="227"/>
        <v>44274.78144290296</v>
      </c>
      <c r="C4828">
        <f t="shared" ca="1" si="225"/>
        <v>0</v>
      </c>
      <c r="D4828">
        <f t="shared" ca="1" si="226"/>
        <v>4274.7814429029604</v>
      </c>
    </row>
    <row r="4829" spans="2:4" x14ac:dyDescent="0.25">
      <c r="B4829">
        <f t="shared" ca="1" si="227"/>
        <v>46818.509360463933</v>
      </c>
      <c r="C4829">
        <f t="shared" ca="1" si="225"/>
        <v>0</v>
      </c>
      <c r="D4829">
        <f t="shared" ca="1" si="226"/>
        <v>6818.5093604639333</v>
      </c>
    </row>
    <row r="4830" spans="2:4" x14ac:dyDescent="0.25">
      <c r="B4830">
        <f t="shared" ca="1" si="227"/>
        <v>42594.520946156437</v>
      </c>
      <c r="C4830">
        <f t="shared" ca="1" si="225"/>
        <v>0</v>
      </c>
      <c r="D4830">
        <f t="shared" ca="1" si="226"/>
        <v>2594.5209461564373</v>
      </c>
    </row>
    <row r="4831" spans="2:4" x14ac:dyDescent="0.25">
      <c r="B4831">
        <f t="shared" ca="1" si="227"/>
        <v>53420.484966392876</v>
      </c>
      <c r="C4831">
        <f t="shared" ca="1" si="225"/>
        <v>0</v>
      </c>
      <c r="D4831">
        <f t="shared" ca="1" si="226"/>
        <v>13420.484966392876</v>
      </c>
    </row>
    <row r="4832" spans="2:4" x14ac:dyDescent="0.25">
      <c r="B4832">
        <f t="shared" ca="1" si="227"/>
        <v>45505.641876007663</v>
      </c>
      <c r="C4832">
        <f t="shared" ca="1" si="225"/>
        <v>0</v>
      </c>
      <c r="D4832">
        <f t="shared" ca="1" si="226"/>
        <v>5505.6418760076631</v>
      </c>
    </row>
    <row r="4833" spans="2:4" x14ac:dyDescent="0.25">
      <c r="B4833">
        <f t="shared" ca="1" si="227"/>
        <v>39987.315451957729</v>
      </c>
      <c r="C4833">
        <f t="shared" ca="1" si="225"/>
        <v>12.684548042270762</v>
      </c>
      <c r="D4833">
        <f t="shared" ca="1" si="226"/>
        <v>0</v>
      </c>
    </row>
    <row r="4834" spans="2:4" x14ac:dyDescent="0.25">
      <c r="B4834">
        <f t="shared" ca="1" si="227"/>
        <v>40802.608507966623</v>
      </c>
      <c r="C4834">
        <f t="shared" ca="1" si="225"/>
        <v>0</v>
      </c>
      <c r="D4834">
        <f t="shared" ca="1" si="226"/>
        <v>802.60850796662271</v>
      </c>
    </row>
    <row r="4835" spans="2:4" x14ac:dyDescent="0.25">
      <c r="B4835">
        <f t="shared" ca="1" si="227"/>
        <v>50639.730859607429</v>
      </c>
      <c r="C4835">
        <f t="shared" ca="1" si="225"/>
        <v>0</v>
      </c>
      <c r="D4835">
        <f t="shared" ca="1" si="226"/>
        <v>10639.730859607429</v>
      </c>
    </row>
    <row r="4836" spans="2:4" x14ac:dyDescent="0.25">
      <c r="B4836">
        <f t="shared" ca="1" si="227"/>
        <v>41105.762474201132</v>
      </c>
      <c r="C4836">
        <f t="shared" ca="1" si="225"/>
        <v>0</v>
      </c>
      <c r="D4836">
        <f t="shared" ca="1" si="226"/>
        <v>1105.7624742011321</v>
      </c>
    </row>
    <row r="4837" spans="2:4" x14ac:dyDescent="0.25">
      <c r="B4837">
        <f t="shared" ca="1" si="227"/>
        <v>55234.548266505226</v>
      </c>
      <c r="C4837">
        <f t="shared" ca="1" si="225"/>
        <v>0</v>
      </c>
      <c r="D4837">
        <f t="shared" ca="1" si="226"/>
        <v>15234.548266505226</v>
      </c>
    </row>
    <row r="4838" spans="2:4" x14ac:dyDescent="0.25">
      <c r="B4838">
        <f t="shared" ca="1" si="227"/>
        <v>45104.173431248026</v>
      </c>
      <c r="C4838">
        <f t="shared" ca="1" si="225"/>
        <v>0</v>
      </c>
      <c r="D4838">
        <f t="shared" ca="1" si="226"/>
        <v>5104.1734312480257</v>
      </c>
    </row>
    <row r="4839" spans="2:4" x14ac:dyDescent="0.25">
      <c r="B4839">
        <f t="shared" ca="1" si="227"/>
        <v>44891.132298995173</v>
      </c>
      <c r="C4839">
        <f t="shared" ca="1" si="225"/>
        <v>0</v>
      </c>
      <c r="D4839">
        <f t="shared" ca="1" si="226"/>
        <v>4891.1322989951732</v>
      </c>
    </row>
    <row r="4840" spans="2:4" x14ac:dyDescent="0.25">
      <c r="B4840">
        <f t="shared" ca="1" si="227"/>
        <v>46188.982573410154</v>
      </c>
      <c r="C4840">
        <f t="shared" ca="1" si="225"/>
        <v>0</v>
      </c>
      <c r="D4840">
        <f t="shared" ca="1" si="226"/>
        <v>6188.9825734101541</v>
      </c>
    </row>
    <row r="4841" spans="2:4" x14ac:dyDescent="0.25">
      <c r="B4841">
        <f t="shared" ca="1" si="227"/>
        <v>38661.132546166205</v>
      </c>
      <c r="C4841">
        <f t="shared" ca="1" si="225"/>
        <v>1338.8674538337946</v>
      </c>
      <c r="D4841">
        <f t="shared" ca="1" si="226"/>
        <v>0</v>
      </c>
    </row>
    <row r="4842" spans="2:4" x14ac:dyDescent="0.25">
      <c r="B4842">
        <f t="shared" ca="1" si="227"/>
        <v>45389.679751716249</v>
      </c>
      <c r="C4842">
        <f t="shared" ca="1" si="225"/>
        <v>0</v>
      </c>
      <c r="D4842">
        <f t="shared" ca="1" si="226"/>
        <v>5389.6797517162486</v>
      </c>
    </row>
    <row r="4843" spans="2:4" x14ac:dyDescent="0.25">
      <c r="B4843">
        <f t="shared" ca="1" si="227"/>
        <v>38151.387374871578</v>
      </c>
      <c r="C4843">
        <f t="shared" ca="1" si="225"/>
        <v>1848.6126251284222</v>
      </c>
      <c r="D4843">
        <f t="shared" ca="1" si="226"/>
        <v>0</v>
      </c>
    </row>
    <row r="4844" spans="2:4" x14ac:dyDescent="0.25">
      <c r="B4844">
        <f t="shared" ca="1" si="227"/>
        <v>46469.429282720506</v>
      </c>
      <c r="C4844">
        <f t="shared" ca="1" si="225"/>
        <v>0</v>
      </c>
      <c r="D4844">
        <f t="shared" ca="1" si="226"/>
        <v>6469.4292827205063</v>
      </c>
    </row>
    <row r="4845" spans="2:4" x14ac:dyDescent="0.25">
      <c r="B4845">
        <f t="shared" ca="1" si="227"/>
        <v>40449.561361733933</v>
      </c>
      <c r="C4845">
        <f t="shared" ca="1" si="225"/>
        <v>0</v>
      </c>
      <c r="D4845">
        <f t="shared" ca="1" si="226"/>
        <v>449.56136173393315</v>
      </c>
    </row>
    <row r="4846" spans="2:4" x14ac:dyDescent="0.25">
      <c r="B4846">
        <f t="shared" ca="1" si="227"/>
        <v>38360.658603643198</v>
      </c>
      <c r="C4846">
        <f t="shared" ca="1" si="225"/>
        <v>1639.3413963568019</v>
      </c>
      <c r="D4846">
        <f t="shared" ca="1" si="226"/>
        <v>0</v>
      </c>
    </row>
    <row r="4847" spans="2:4" x14ac:dyDescent="0.25">
      <c r="B4847">
        <f t="shared" ca="1" si="227"/>
        <v>43869.212497227156</v>
      </c>
      <c r="C4847">
        <f t="shared" ca="1" si="225"/>
        <v>0</v>
      </c>
      <c r="D4847">
        <f t="shared" ca="1" si="226"/>
        <v>3869.2124972271558</v>
      </c>
    </row>
    <row r="4848" spans="2:4" x14ac:dyDescent="0.25">
      <c r="B4848">
        <f t="shared" ca="1" si="227"/>
        <v>46642.173981456166</v>
      </c>
      <c r="C4848">
        <f t="shared" ca="1" si="225"/>
        <v>0</v>
      </c>
      <c r="D4848">
        <f t="shared" ca="1" si="226"/>
        <v>6642.1739814561661</v>
      </c>
    </row>
    <row r="4849" spans="2:4" x14ac:dyDescent="0.25">
      <c r="B4849">
        <f t="shared" ca="1" si="227"/>
        <v>44863.335475856555</v>
      </c>
      <c r="C4849">
        <f t="shared" ca="1" si="225"/>
        <v>0</v>
      </c>
      <c r="D4849">
        <f t="shared" ca="1" si="226"/>
        <v>4863.3354758565547</v>
      </c>
    </row>
    <row r="4850" spans="2:4" x14ac:dyDescent="0.25">
      <c r="B4850">
        <f t="shared" ca="1" si="227"/>
        <v>44779.851336664899</v>
      </c>
      <c r="C4850">
        <f t="shared" ca="1" si="225"/>
        <v>0</v>
      </c>
      <c r="D4850">
        <f t="shared" ca="1" si="226"/>
        <v>4779.8513366648986</v>
      </c>
    </row>
    <row r="4851" spans="2:4" x14ac:dyDescent="0.25">
      <c r="B4851">
        <f t="shared" ca="1" si="227"/>
        <v>48657.747298609582</v>
      </c>
      <c r="C4851">
        <f t="shared" ca="1" si="225"/>
        <v>0</v>
      </c>
      <c r="D4851">
        <f t="shared" ca="1" si="226"/>
        <v>8657.7472986095818</v>
      </c>
    </row>
    <row r="4852" spans="2:4" x14ac:dyDescent="0.25">
      <c r="B4852">
        <f t="shared" ca="1" si="227"/>
        <v>47016.458208545744</v>
      </c>
      <c r="C4852">
        <f t="shared" ca="1" si="225"/>
        <v>0</v>
      </c>
      <c r="D4852">
        <f t="shared" ca="1" si="226"/>
        <v>7016.4582085457441</v>
      </c>
    </row>
    <row r="4853" spans="2:4" x14ac:dyDescent="0.25">
      <c r="B4853">
        <f t="shared" ca="1" si="227"/>
        <v>47080.181724381342</v>
      </c>
      <c r="C4853">
        <f t="shared" ca="1" si="225"/>
        <v>0</v>
      </c>
      <c r="D4853">
        <f t="shared" ca="1" si="226"/>
        <v>7080.1817243813421</v>
      </c>
    </row>
    <row r="4854" spans="2:4" x14ac:dyDescent="0.25">
      <c r="B4854">
        <f t="shared" ca="1" si="227"/>
        <v>43877.818472885723</v>
      </c>
      <c r="C4854">
        <f t="shared" ca="1" si="225"/>
        <v>0</v>
      </c>
      <c r="D4854">
        <f t="shared" ca="1" si="226"/>
        <v>3877.8184728857232</v>
      </c>
    </row>
    <row r="4855" spans="2:4" x14ac:dyDescent="0.25">
      <c r="B4855">
        <f t="shared" ca="1" si="227"/>
        <v>47114.363522755652</v>
      </c>
      <c r="C4855">
        <f t="shared" ca="1" si="225"/>
        <v>0</v>
      </c>
      <c r="D4855">
        <f t="shared" ca="1" si="226"/>
        <v>7114.3635227556515</v>
      </c>
    </row>
    <row r="4856" spans="2:4" x14ac:dyDescent="0.25">
      <c r="B4856">
        <f t="shared" ca="1" si="227"/>
        <v>42743.428221115522</v>
      </c>
      <c r="C4856">
        <f t="shared" ca="1" si="225"/>
        <v>0</v>
      </c>
      <c r="D4856">
        <f t="shared" ca="1" si="226"/>
        <v>2743.4282211155223</v>
      </c>
    </row>
    <row r="4857" spans="2:4" x14ac:dyDescent="0.25">
      <c r="B4857">
        <f t="shared" ca="1" si="227"/>
        <v>49849.45425995392</v>
      </c>
      <c r="C4857">
        <f t="shared" ca="1" si="225"/>
        <v>0</v>
      </c>
      <c r="D4857">
        <f t="shared" ca="1" si="226"/>
        <v>9849.45425995392</v>
      </c>
    </row>
    <row r="4858" spans="2:4" x14ac:dyDescent="0.25">
      <c r="B4858">
        <f t="shared" ca="1" si="227"/>
        <v>43461.089020111816</v>
      </c>
      <c r="C4858">
        <f t="shared" ca="1" si="225"/>
        <v>0</v>
      </c>
      <c r="D4858">
        <f t="shared" ca="1" si="226"/>
        <v>3461.0890201118164</v>
      </c>
    </row>
    <row r="4859" spans="2:4" x14ac:dyDescent="0.25">
      <c r="B4859">
        <f t="shared" ca="1" si="227"/>
        <v>43083.945064912659</v>
      </c>
      <c r="C4859">
        <f t="shared" ca="1" si="225"/>
        <v>0</v>
      </c>
      <c r="D4859">
        <f t="shared" ca="1" si="226"/>
        <v>3083.9450649126593</v>
      </c>
    </row>
    <row r="4860" spans="2:4" x14ac:dyDescent="0.25">
      <c r="B4860">
        <f t="shared" ca="1" si="227"/>
        <v>41678.107778044621</v>
      </c>
      <c r="C4860">
        <f t="shared" ca="1" si="225"/>
        <v>0</v>
      </c>
      <c r="D4860">
        <f t="shared" ca="1" si="226"/>
        <v>1678.1077780446212</v>
      </c>
    </row>
    <row r="4861" spans="2:4" x14ac:dyDescent="0.25">
      <c r="B4861">
        <f t="shared" ca="1" si="227"/>
        <v>44402.015396271876</v>
      </c>
      <c r="C4861">
        <f t="shared" ca="1" si="225"/>
        <v>0</v>
      </c>
      <c r="D4861">
        <f t="shared" ca="1" si="226"/>
        <v>4402.0153962718759</v>
      </c>
    </row>
    <row r="4862" spans="2:4" x14ac:dyDescent="0.25">
      <c r="B4862">
        <f t="shared" ca="1" si="227"/>
        <v>51362.141489885529</v>
      </c>
      <c r="C4862">
        <f t="shared" ca="1" si="225"/>
        <v>0</v>
      </c>
      <c r="D4862">
        <f t="shared" ca="1" si="226"/>
        <v>11362.141489885529</v>
      </c>
    </row>
    <row r="4863" spans="2:4" x14ac:dyDescent="0.25">
      <c r="B4863">
        <f t="shared" ca="1" si="227"/>
        <v>48284.888151557308</v>
      </c>
      <c r="C4863">
        <f t="shared" ca="1" si="225"/>
        <v>0</v>
      </c>
      <c r="D4863">
        <f t="shared" ca="1" si="226"/>
        <v>8284.8881515573084</v>
      </c>
    </row>
    <row r="4864" spans="2:4" x14ac:dyDescent="0.25">
      <c r="B4864">
        <f t="shared" ca="1" si="227"/>
        <v>39801.285368549623</v>
      </c>
      <c r="C4864">
        <f t="shared" ca="1" si="225"/>
        <v>198.71463145037706</v>
      </c>
      <c r="D4864">
        <f t="shared" ca="1" si="226"/>
        <v>0</v>
      </c>
    </row>
    <row r="4865" spans="2:4" x14ac:dyDescent="0.25">
      <c r="B4865">
        <f t="shared" ca="1" si="227"/>
        <v>47068.358631775722</v>
      </c>
      <c r="C4865">
        <f t="shared" ca="1" si="225"/>
        <v>0</v>
      </c>
      <c r="D4865">
        <f t="shared" ca="1" si="226"/>
        <v>7068.3586317757217</v>
      </c>
    </row>
    <row r="4866" spans="2:4" x14ac:dyDescent="0.25">
      <c r="B4866">
        <f t="shared" ca="1" si="227"/>
        <v>51020.244978179471</v>
      </c>
      <c r="C4866">
        <f t="shared" ca="1" si="225"/>
        <v>0</v>
      </c>
      <c r="D4866">
        <f t="shared" ca="1" si="226"/>
        <v>11020.244978179471</v>
      </c>
    </row>
    <row r="4867" spans="2:4" x14ac:dyDescent="0.25">
      <c r="B4867">
        <f t="shared" ca="1" si="227"/>
        <v>37121.395830808113</v>
      </c>
      <c r="C4867">
        <f t="shared" ca="1" si="225"/>
        <v>2878.6041691918872</v>
      </c>
      <c r="D4867">
        <f t="shared" ca="1" si="226"/>
        <v>0</v>
      </c>
    </row>
    <row r="4868" spans="2:4" x14ac:dyDescent="0.25">
      <c r="B4868">
        <f t="shared" ca="1" si="227"/>
        <v>45960.23889022677</v>
      </c>
      <c r="C4868">
        <f t="shared" ca="1" si="225"/>
        <v>0</v>
      </c>
      <c r="D4868">
        <f t="shared" ca="1" si="226"/>
        <v>5960.2388902267703</v>
      </c>
    </row>
    <row r="4869" spans="2:4" x14ac:dyDescent="0.25">
      <c r="B4869">
        <f t="shared" ca="1" si="227"/>
        <v>45516.269354453951</v>
      </c>
      <c r="C4869">
        <f t="shared" ca="1" si="225"/>
        <v>0</v>
      </c>
      <c r="D4869">
        <f t="shared" ca="1" si="226"/>
        <v>5516.2693544539507</v>
      </c>
    </row>
    <row r="4870" spans="2:4" x14ac:dyDescent="0.25">
      <c r="B4870">
        <f t="shared" ca="1" si="227"/>
        <v>46210.534051086819</v>
      </c>
      <c r="C4870">
        <f t="shared" ca="1" si="225"/>
        <v>0</v>
      </c>
      <c r="D4870">
        <f t="shared" ca="1" si="226"/>
        <v>6210.5340510868191</v>
      </c>
    </row>
    <row r="4871" spans="2:4" x14ac:dyDescent="0.25">
      <c r="B4871">
        <f t="shared" ca="1" si="227"/>
        <v>48047.906300252966</v>
      </c>
      <c r="C4871">
        <f t="shared" ca="1" si="225"/>
        <v>0</v>
      </c>
      <c r="D4871">
        <f t="shared" ca="1" si="226"/>
        <v>8047.9063002529656</v>
      </c>
    </row>
    <row r="4872" spans="2:4" x14ac:dyDescent="0.25">
      <c r="B4872">
        <f t="shared" ca="1" si="227"/>
        <v>45575.057347101822</v>
      </c>
      <c r="C4872">
        <f t="shared" ca="1" si="225"/>
        <v>0</v>
      </c>
      <c r="D4872">
        <f t="shared" ca="1" si="226"/>
        <v>5575.0573471018215</v>
      </c>
    </row>
    <row r="4873" spans="2:4" x14ac:dyDescent="0.25">
      <c r="B4873">
        <f t="shared" ca="1" si="227"/>
        <v>47461.599423331914</v>
      </c>
      <c r="C4873">
        <f t="shared" ca="1" si="225"/>
        <v>0</v>
      </c>
      <c r="D4873">
        <f t="shared" ca="1" si="226"/>
        <v>7461.5994233319143</v>
      </c>
    </row>
    <row r="4874" spans="2:4" x14ac:dyDescent="0.25">
      <c r="B4874">
        <f t="shared" ca="1" si="227"/>
        <v>45103.474217724804</v>
      </c>
      <c r="C4874">
        <f t="shared" ca="1" si="225"/>
        <v>0</v>
      </c>
      <c r="D4874">
        <f t="shared" ca="1" si="226"/>
        <v>5103.4742177248045</v>
      </c>
    </row>
    <row r="4875" spans="2:4" x14ac:dyDescent="0.25">
      <c r="B4875">
        <f t="shared" ca="1" si="227"/>
        <v>51147.517949714987</v>
      </c>
      <c r="C4875">
        <f t="shared" ca="1" si="225"/>
        <v>0</v>
      </c>
      <c r="D4875">
        <f t="shared" ca="1" si="226"/>
        <v>11147.517949714987</v>
      </c>
    </row>
    <row r="4876" spans="2:4" x14ac:dyDescent="0.25">
      <c r="B4876">
        <f t="shared" ca="1" si="227"/>
        <v>39988.030218810403</v>
      </c>
      <c r="C4876">
        <f t="shared" ref="C4876:C4939" ca="1" si="228">IF(MAX($B$2-B4876)&lt;0,0,$B$2-B4876)</f>
        <v>11.969781189596688</v>
      </c>
      <c r="D4876">
        <f t="shared" ref="D4876:D4939" ca="1" si="229">IF(MAX(B4876-$B$2)&lt;0,0,B4876-$B$2)</f>
        <v>0</v>
      </c>
    </row>
    <row r="4877" spans="2:4" x14ac:dyDescent="0.25">
      <c r="B4877">
        <f t="shared" ref="B4877:B4940" ca="1" si="230">$B$1*EXP((($B$4-($B$3^2)/2)*$B$5+$B$3*SQRT($B$5)*NORMSINV(RAND())))</f>
        <v>44497.727140276547</v>
      </c>
      <c r="C4877">
        <f t="shared" ca="1" si="228"/>
        <v>0</v>
      </c>
      <c r="D4877">
        <f t="shared" ca="1" si="229"/>
        <v>4497.7271402765473</v>
      </c>
    </row>
    <row r="4878" spans="2:4" x14ac:dyDescent="0.25">
      <c r="B4878">
        <f t="shared" ca="1" si="230"/>
        <v>43682.198738182014</v>
      </c>
      <c r="C4878">
        <f t="shared" ca="1" si="228"/>
        <v>0</v>
      </c>
      <c r="D4878">
        <f t="shared" ca="1" si="229"/>
        <v>3682.1987381820145</v>
      </c>
    </row>
    <row r="4879" spans="2:4" x14ac:dyDescent="0.25">
      <c r="B4879">
        <f t="shared" ca="1" si="230"/>
        <v>49344.470251681749</v>
      </c>
      <c r="C4879">
        <f t="shared" ca="1" si="228"/>
        <v>0</v>
      </c>
      <c r="D4879">
        <f t="shared" ca="1" si="229"/>
        <v>9344.4702516817488</v>
      </c>
    </row>
    <row r="4880" spans="2:4" x14ac:dyDescent="0.25">
      <c r="B4880">
        <f t="shared" ca="1" si="230"/>
        <v>40418.504127241707</v>
      </c>
      <c r="C4880">
        <f t="shared" ca="1" si="228"/>
        <v>0</v>
      </c>
      <c r="D4880">
        <f t="shared" ca="1" si="229"/>
        <v>418.50412724170747</v>
      </c>
    </row>
    <row r="4881" spans="2:4" x14ac:dyDescent="0.25">
      <c r="B4881">
        <f t="shared" ca="1" si="230"/>
        <v>49718.79777003271</v>
      </c>
      <c r="C4881">
        <f t="shared" ca="1" si="228"/>
        <v>0</v>
      </c>
      <c r="D4881">
        <f t="shared" ca="1" si="229"/>
        <v>9718.7977700327101</v>
      </c>
    </row>
    <row r="4882" spans="2:4" x14ac:dyDescent="0.25">
      <c r="B4882">
        <f t="shared" ca="1" si="230"/>
        <v>48315.469681579387</v>
      </c>
      <c r="C4882">
        <f t="shared" ca="1" si="228"/>
        <v>0</v>
      </c>
      <c r="D4882">
        <f t="shared" ca="1" si="229"/>
        <v>8315.4696815793868</v>
      </c>
    </row>
    <row r="4883" spans="2:4" x14ac:dyDescent="0.25">
      <c r="B4883">
        <f t="shared" ca="1" si="230"/>
        <v>40602.563693509328</v>
      </c>
      <c r="C4883">
        <f t="shared" ca="1" si="228"/>
        <v>0</v>
      </c>
      <c r="D4883">
        <f t="shared" ca="1" si="229"/>
        <v>602.563693509328</v>
      </c>
    </row>
    <row r="4884" spans="2:4" x14ac:dyDescent="0.25">
      <c r="B4884">
        <f t="shared" ca="1" si="230"/>
        <v>37967.75239803335</v>
      </c>
      <c r="C4884">
        <f t="shared" ca="1" si="228"/>
        <v>2032.2476019666501</v>
      </c>
      <c r="D4884">
        <f t="shared" ca="1" si="229"/>
        <v>0</v>
      </c>
    </row>
    <row r="4885" spans="2:4" x14ac:dyDescent="0.25">
      <c r="B4885">
        <f t="shared" ca="1" si="230"/>
        <v>45829.475565066001</v>
      </c>
      <c r="C4885">
        <f t="shared" ca="1" si="228"/>
        <v>0</v>
      </c>
      <c r="D4885">
        <f t="shared" ca="1" si="229"/>
        <v>5829.4755650660009</v>
      </c>
    </row>
    <row r="4886" spans="2:4" x14ac:dyDescent="0.25">
      <c r="B4886">
        <f t="shared" ca="1" si="230"/>
        <v>48232.206439074529</v>
      </c>
      <c r="C4886">
        <f t="shared" ca="1" si="228"/>
        <v>0</v>
      </c>
      <c r="D4886">
        <f t="shared" ca="1" si="229"/>
        <v>8232.206439074529</v>
      </c>
    </row>
    <row r="4887" spans="2:4" x14ac:dyDescent="0.25">
      <c r="B4887">
        <f t="shared" ca="1" si="230"/>
        <v>43665.753986258896</v>
      </c>
      <c r="C4887">
        <f t="shared" ca="1" si="228"/>
        <v>0</v>
      </c>
      <c r="D4887">
        <f t="shared" ca="1" si="229"/>
        <v>3665.7539862588965</v>
      </c>
    </row>
    <row r="4888" spans="2:4" x14ac:dyDescent="0.25">
      <c r="B4888">
        <f t="shared" ca="1" si="230"/>
        <v>44626.70382450839</v>
      </c>
      <c r="C4888">
        <f t="shared" ca="1" si="228"/>
        <v>0</v>
      </c>
      <c r="D4888">
        <f t="shared" ca="1" si="229"/>
        <v>4626.7038245083895</v>
      </c>
    </row>
    <row r="4889" spans="2:4" x14ac:dyDescent="0.25">
      <c r="B4889">
        <f t="shared" ca="1" si="230"/>
        <v>43010.778357149713</v>
      </c>
      <c r="C4889">
        <f t="shared" ca="1" si="228"/>
        <v>0</v>
      </c>
      <c r="D4889">
        <f t="shared" ca="1" si="229"/>
        <v>3010.778357149713</v>
      </c>
    </row>
    <row r="4890" spans="2:4" x14ac:dyDescent="0.25">
      <c r="B4890">
        <f t="shared" ca="1" si="230"/>
        <v>50382.438686032823</v>
      </c>
      <c r="C4890">
        <f t="shared" ca="1" si="228"/>
        <v>0</v>
      </c>
      <c r="D4890">
        <f t="shared" ca="1" si="229"/>
        <v>10382.438686032823</v>
      </c>
    </row>
    <row r="4891" spans="2:4" x14ac:dyDescent="0.25">
      <c r="B4891">
        <f t="shared" ca="1" si="230"/>
        <v>44519.775317020089</v>
      </c>
      <c r="C4891">
        <f t="shared" ca="1" si="228"/>
        <v>0</v>
      </c>
      <c r="D4891">
        <f t="shared" ca="1" si="229"/>
        <v>4519.7753170200886</v>
      </c>
    </row>
    <row r="4892" spans="2:4" x14ac:dyDescent="0.25">
      <c r="B4892">
        <f t="shared" ca="1" si="230"/>
        <v>42952.835072672766</v>
      </c>
      <c r="C4892">
        <f t="shared" ca="1" si="228"/>
        <v>0</v>
      </c>
      <c r="D4892">
        <f t="shared" ca="1" si="229"/>
        <v>2952.8350726727658</v>
      </c>
    </row>
    <row r="4893" spans="2:4" x14ac:dyDescent="0.25">
      <c r="B4893">
        <f t="shared" ca="1" si="230"/>
        <v>38301.135188043481</v>
      </c>
      <c r="C4893">
        <f t="shared" ca="1" si="228"/>
        <v>1698.8648119565187</v>
      </c>
      <c r="D4893">
        <f t="shared" ca="1" si="229"/>
        <v>0</v>
      </c>
    </row>
    <row r="4894" spans="2:4" x14ac:dyDescent="0.25">
      <c r="B4894">
        <f t="shared" ca="1" si="230"/>
        <v>43458.102236953076</v>
      </c>
      <c r="C4894">
        <f t="shared" ca="1" si="228"/>
        <v>0</v>
      </c>
      <c r="D4894">
        <f t="shared" ca="1" si="229"/>
        <v>3458.1022369530765</v>
      </c>
    </row>
    <row r="4895" spans="2:4" x14ac:dyDescent="0.25">
      <c r="B4895">
        <f t="shared" ca="1" si="230"/>
        <v>41399.658010467909</v>
      </c>
      <c r="C4895">
        <f t="shared" ca="1" si="228"/>
        <v>0</v>
      </c>
      <c r="D4895">
        <f t="shared" ca="1" si="229"/>
        <v>1399.6580104679088</v>
      </c>
    </row>
    <row r="4896" spans="2:4" x14ac:dyDescent="0.25">
      <c r="B4896">
        <f t="shared" ca="1" si="230"/>
        <v>52452.922838280836</v>
      </c>
      <c r="C4896">
        <f t="shared" ca="1" si="228"/>
        <v>0</v>
      </c>
      <c r="D4896">
        <f t="shared" ca="1" si="229"/>
        <v>12452.922838280836</v>
      </c>
    </row>
    <row r="4897" spans="2:4" x14ac:dyDescent="0.25">
      <c r="B4897">
        <f t="shared" ca="1" si="230"/>
        <v>44667.783361374692</v>
      </c>
      <c r="C4897">
        <f t="shared" ca="1" si="228"/>
        <v>0</v>
      </c>
      <c r="D4897">
        <f t="shared" ca="1" si="229"/>
        <v>4667.7833613746916</v>
      </c>
    </row>
    <row r="4898" spans="2:4" x14ac:dyDescent="0.25">
      <c r="B4898">
        <f t="shared" ca="1" si="230"/>
        <v>43880.86001508867</v>
      </c>
      <c r="C4898">
        <f t="shared" ca="1" si="228"/>
        <v>0</v>
      </c>
      <c r="D4898">
        <f t="shared" ca="1" si="229"/>
        <v>3880.8600150886705</v>
      </c>
    </row>
    <row r="4899" spans="2:4" x14ac:dyDescent="0.25">
      <c r="B4899">
        <f t="shared" ca="1" si="230"/>
        <v>40653.103939631721</v>
      </c>
      <c r="C4899">
        <f t="shared" ca="1" si="228"/>
        <v>0</v>
      </c>
      <c r="D4899">
        <f t="shared" ca="1" si="229"/>
        <v>653.103939631721</v>
      </c>
    </row>
    <row r="4900" spans="2:4" x14ac:dyDescent="0.25">
      <c r="B4900">
        <f t="shared" ca="1" si="230"/>
        <v>42158.240708227422</v>
      </c>
      <c r="C4900">
        <f t="shared" ca="1" si="228"/>
        <v>0</v>
      </c>
      <c r="D4900">
        <f t="shared" ca="1" si="229"/>
        <v>2158.2407082274221</v>
      </c>
    </row>
    <row r="4901" spans="2:4" x14ac:dyDescent="0.25">
      <c r="B4901">
        <f t="shared" ca="1" si="230"/>
        <v>50663.429000284799</v>
      </c>
      <c r="C4901">
        <f t="shared" ca="1" si="228"/>
        <v>0</v>
      </c>
      <c r="D4901">
        <f t="shared" ca="1" si="229"/>
        <v>10663.429000284799</v>
      </c>
    </row>
    <row r="4902" spans="2:4" x14ac:dyDescent="0.25">
      <c r="B4902">
        <f t="shared" ca="1" si="230"/>
        <v>37887.382824802364</v>
      </c>
      <c r="C4902">
        <f t="shared" ca="1" si="228"/>
        <v>2112.6171751976362</v>
      </c>
      <c r="D4902">
        <f t="shared" ca="1" si="229"/>
        <v>0</v>
      </c>
    </row>
    <row r="4903" spans="2:4" x14ac:dyDescent="0.25">
      <c r="B4903">
        <f t="shared" ca="1" si="230"/>
        <v>47888.182902039822</v>
      </c>
      <c r="C4903">
        <f t="shared" ca="1" si="228"/>
        <v>0</v>
      </c>
      <c r="D4903">
        <f t="shared" ca="1" si="229"/>
        <v>7888.1829020398218</v>
      </c>
    </row>
    <row r="4904" spans="2:4" x14ac:dyDescent="0.25">
      <c r="B4904">
        <f t="shared" ca="1" si="230"/>
        <v>36047.37360920119</v>
      </c>
      <c r="C4904">
        <f t="shared" ca="1" si="228"/>
        <v>3952.6263907988105</v>
      </c>
      <c r="D4904">
        <f t="shared" ca="1" si="229"/>
        <v>0</v>
      </c>
    </row>
    <row r="4905" spans="2:4" x14ac:dyDescent="0.25">
      <c r="B4905">
        <f t="shared" ca="1" si="230"/>
        <v>54229.042680013583</v>
      </c>
      <c r="C4905">
        <f t="shared" ca="1" si="228"/>
        <v>0</v>
      </c>
      <c r="D4905">
        <f t="shared" ca="1" si="229"/>
        <v>14229.042680013583</v>
      </c>
    </row>
    <row r="4906" spans="2:4" x14ac:dyDescent="0.25">
      <c r="B4906">
        <f t="shared" ca="1" si="230"/>
        <v>32699.405481036007</v>
      </c>
      <c r="C4906">
        <f t="shared" ca="1" si="228"/>
        <v>7300.5945189639933</v>
      </c>
      <c r="D4906">
        <f t="shared" ca="1" si="229"/>
        <v>0</v>
      </c>
    </row>
    <row r="4907" spans="2:4" x14ac:dyDescent="0.25">
      <c r="B4907">
        <f t="shared" ca="1" si="230"/>
        <v>47505.049150784856</v>
      </c>
      <c r="C4907">
        <f t="shared" ca="1" si="228"/>
        <v>0</v>
      </c>
      <c r="D4907">
        <f t="shared" ca="1" si="229"/>
        <v>7505.0491507848565</v>
      </c>
    </row>
    <row r="4908" spans="2:4" x14ac:dyDescent="0.25">
      <c r="B4908">
        <f t="shared" ca="1" si="230"/>
        <v>39821.340016227252</v>
      </c>
      <c r="C4908">
        <f t="shared" ca="1" si="228"/>
        <v>178.65998377274809</v>
      </c>
      <c r="D4908">
        <f t="shared" ca="1" si="229"/>
        <v>0</v>
      </c>
    </row>
    <row r="4909" spans="2:4" x14ac:dyDescent="0.25">
      <c r="B4909">
        <f t="shared" ca="1" si="230"/>
        <v>41918.78730104999</v>
      </c>
      <c r="C4909">
        <f t="shared" ca="1" si="228"/>
        <v>0</v>
      </c>
      <c r="D4909">
        <f t="shared" ca="1" si="229"/>
        <v>1918.7873010499898</v>
      </c>
    </row>
    <row r="4910" spans="2:4" x14ac:dyDescent="0.25">
      <c r="B4910">
        <f t="shared" ca="1" si="230"/>
        <v>45057.856132505272</v>
      </c>
      <c r="C4910">
        <f t="shared" ca="1" si="228"/>
        <v>0</v>
      </c>
      <c r="D4910">
        <f t="shared" ca="1" si="229"/>
        <v>5057.8561325052724</v>
      </c>
    </row>
    <row r="4911" spans="2:4" x14ac:dyDescent="0.25">
      <c r="B4911">
        <f t="shared" ca="1" si="230"/>
        <v>42979.130678268455</v>
      </c>
      <c r="C4911">
        <f t="shared" ca="1" si="228"/>
        <v>0</v>
      </c>
      <c r="D4911">
        <f t="shared" ca="1" si="229"/>
        <v>2979.1306782684551</v>
      </c>
    </row>
    <row r="4912" spans="2:4" x14ac:dyDescent="0.25">
      <c r="B4912">
        <f t="shared" ca="1" si="230"/>
        <v>44120.958927018641</v>
      </c>
      <c r="C4912">
        <f t="shared" ca="1" si="228"/>
        <v>0</v>
      </c>
      <c r="D4912">
        <f t="shared" ca="1" si="229"/>
        <v>4120.9589270186407</v>
      </c>
    </row>
    <row r="4913" spans="2:4" x14ac:dyDescent="0.25">
      <c r="B4913">
        <f t="shared" ca="1" si="230"/>
        <v>41307.191779886845</v>
      </c>
      <c r="C4913">
        <f t="shared" ca="1" si="228"/>
        <v>0</v>
      </c>
      <c r="D4913">
        <f t="shared" ca="1" si="229"/>
        <v>1307.1917798868453</v>
      </c>
    </row>
    <row r="4914" spans="2:4" x14ac:dyDescent="0.25">
      <c r="B4914">
        <f t="shared" ca="1" si="230"/>
        <v>45493.304982019275</v>
      </c>
      <c r="C4914">
        <f t="shared" ca="1" si="228"/>
        <v>0</v>
      </c>
      <c r="D4914">
        <f t="shared" ca="1" si="229"/>
        <v>5493.3049820192755</v>
      </c>
    </row>
    <row r="4915" spans="2:4" x14ac:dyDescent="0.25">
      <c r="B4915">
        <f t="shared" ca="1" si="230"/>
        <v>47085.224243377335</v>
      </c>
      <c r="C4915">
        <f t="shared" ca="1" si="228"/>
        <v>0</v>
      </c>
      <c r="D4915">
        <f t="shared" ca="1" si="229"/>
        <v>7085.2242433773354</v>
      </c>
    </row>
    <row r="4916" spans="2:4" x14ac:dyDescent="0.25">
      <c r="B4916">
        <f t="shared" ca="1" si="230"/>
        <v>42360.033556254071</v>
      </c>
      <c r="C4916">
        <f t="shared" ca="1" si="228"/>
        <v>0</v>
      </c>
      <c r="D4916">
        <f t="shared" ca="1" si="229"/>
        <v>2360.0335562540713</v>
      </c>
    </row>
    <row r="4917" spans="2:4" x14ac:dyDescent="0.25">
      <c r="B4917">
        <f t="shared" ca="1" si="230"/>
        <v>47075.833672947789</v>
      </c>
      <c r="C4917">
        <f t="shared" ca="1" si="228"/>
        <v>0</v>
      </c>
      <c r="D4917">
        <f t="shared" ca="1" si="229"/>
        <v>7075.8336729477887</v>
      </c>
    </row>
    <row r="4918" spans="2:4" x14ac:dyDescent="0.25">
      <c r="B4918">
        <f t="shared" ca="1" si="230"/>
        <v>45049.901226870279</v>
      </c>
      <c r="C4918">
        <f t="shared" ca="1" si="228"/>
        <v>0</v>
      </c>
      <c r="D4918">
        <f t="shared" ca="1" si="229"/>
        <v>5049.9012268702791</v>
      </c>
    </row>
    <row r="4919" spans="2:4" x14ac:dyDescent="0.25">
      <c r="B4919">
        <f t="shared" ca="1" si="230"/>
        <v>42864.664831910784</v>
      </c>
      <c r="C4919">
        <f t="shared" ca="1" si="228"/>
        <v>0</v>
      </c>
      <c r="D4919">
        <f t="shared" ca="1" si="229"/>
        <v>2864.6648319107844</v>
      </c>
    </row>
    <row r="4920" spans="2:4" x14ac:dyDescent="0.25">
      <c r="B4920">
        <f t="shared" ca="1" si="230"/>
        <v>47612.787531993134</v>
      </c>
      <c r="C4920">
        <f t="shared" ca="1" si="228"/>
        <v>0</v>
      </c>
      <c r="D4920">
        <f t="shared" ca="1" si="229"/>
        <v>7612.7875319931336</v>
      </c>
    </row>
    <row r="4921" spans="2:4" x14ac:dyDescent="0.25">
      <c r="B4921">
        <f t="shared" ca="1" si="230"/>
        <v>44635.100010588219</v>
      </c>
      <c r="C4921">
        <f t="shared" ca="1" si="228"/>
        <v>0</v>
      </c>
      <c r="D4921">
        <f t="shared" ca="1" si="229"/>
        <v>4635.1000105882194</v>
      </c>
    </row>
    <row r="4922" spans="2:4" x14ac:dyDescent="0.25">
      <c r="B4922">
        <f t="shared" ca="1" si="230"/>
        <v>48639.524476534243</v>
      </c>
      <c r="C4922">
        <f t="shared" ca="1" si="228"/>
        <v>0</v>
      </c>
      <c r="D4922">
        <f t="shared" ca="1" si="229"/>
        <v>8639.5244765342431</v>
      </c>
    </row>
    <row r="4923" spans="2:4" x14ac:dyDescent="0.25">
      <c r="B4923">
        <f t="shared" ca="1" si="230"/>
        <v>43135.859443131652</v>
      </c>
      <c r="C4923">
        <f t="shared" ca="1" si="228"/>
        <v>0</v>
      </c>
      <c r="D4923">
        <f t="shared" ca="1" si="229"/>
        <v>3135.8594431316524</v>
      </c>
    </row>
    <row r="4924" spans="2:4" x14ac:dyDescent="0.25">
      <c r="B4924">
        <f t="shared" ca="1" si="230"/>
        <v>36620.535809242261</v>
      </c>
      <c r="C4924">
        <f t="shared" ca="1" si="228"/>
        <v>3379.4641907577388</v>
      </c>
      <c r="D4924">
        <f t="shared" ca="1" si="229"/>
        <v>0</v>
      </c>
    </row>
    <row r="4925" spans="2:4" x14ac:dyDescent="0.25">
      <c r="B4925">
        <f t="shared" ca="1" si="230"/>
        <v>45855.27869003555</v>
      </c>
      <c r="C4925">
        <f t="shared" ca="1" si="228"/>
        <v>0</v>
      </c>
      <c r="D4925">
        <f t="shared" ca="1" si="229"/>
        <v>5855.2786900355495</v>
      </c>
    </row>
    <row r="4926" spans="2:4" x14ac:dyDescent="0.25">
      <c r="B4926">
        <f t="shared" ca="1" si="230"/>
        <v>51308.202978635149</v>
      </c>
      <c r="C4926">
        <f t="shared" ca="1" si="228"/>
        <v>0</v>
      </c>
      <c r="D4926">
        <f t="shared" ca="1" si="229"/>
        <v>11308.202978635149</v>
      </c>
    </row>
    <row r="4927" spans="2:4" x14ac:dyDescent="0.25">
      <c r="B4927">
        <f t="shared" ca="1" si="230"/>
        <v>38764.297967356557</v>
      </c>
      <c r="C4927">
        <f t="shared" ca="1" si="228"/>
        <v>1235.7020326434431</v>
      </c>
      <c r="D4927">
        <f t="shared" ca="1" si="229"/>
        <v>0</v>
      </c>
    </row>
    <row r="4928" spans="2:4" x14ac:dyDescent="0.25">
      <c r="B4928">
        <f t="shared" ca="1" si="230"/>
        <v>40360.488839676087</v>
      </c>
      <c r="C4928">
        <f t="shared" ca="1" si="228"/>
        <v>0</v>
      </c>
      <c r="D4928">
        <f t="shared" ca="1" si="229"/>
        <v>360.48883967608708</v>
      </c>
    </row>
    <row r="4929" spans="2:4" x14ac:dyDescent="0.25">
      <c r="B4929">
        <f t="shared" ca="1" si="230"/>
        <v>43996.342221310908</v>
      </c>
      <c r="C4929">
        <f t="shared" ca="1" si="228"/>
        <v>0</v>
      </c>
      <c r="D4929">
        <f t="shared" ca="1" si="229"/>
        <v>3996.3422213109079</v>
      </c>
    </row>
    <row r="4930" spans="2:4" x14ac:dyDescent="0.25">
      <c r="B4930">
        <f t="shared" ca="1" si="230"/>
        <v>43832.172076459174</v>
      </c>
      <c r="C4930">
        <f t="shared" ca="1" si="228"/>
        <v>0</v>
      </c>
      <c r="D4930">
        <f t="shared" ca="1" si="229"/>
        <v>3832.1720764591737</v>
      </c>
    </row>
    <row r="4931" spans="2:4" x14ac:dyDescent="0.25">
      <c r="B4931">
        <f t="shared" ca="1" si="230"/>
        <v>40631.621418081922</v>
      </c>
      <c r="C4931">
        <f t="shared" ca="1" si="228"/>
        <v>0</v>
      </c>
      <c r="D4931">
        <f t="shared" ca="1" si="229"/>
        <v>631.62141808192246</v>
      </c>
    </row>
    <row r="4932" spans="2:4" x14ac:dyDescent="0.25">
      <c r="B4932">
        <f t="shared" ca="1" si="230"/>
        <v>46290.167953539225</v>
      </c>
      <c r="C4932">
        <f t="shared" ca="1" si="228"/>
        <v>0</v>
      </c>
      <c r="D4932">
        <f t="shared" ca="1" si="229"/>
        <v>6290.167953539225</v>
      </c>
    </row>
    <row r="4933" spans="2:4" x14ac:dyDescent="0.25">
      <c r="B4933">
        <f t="shared" ca="1" si="230"/>
        <v>41484.112052075936</v>
      </c>
      <c r="C4933">
        <f t="shared" ca="1" si="228"/>
        <v>0</v>
      </c>
      <c r="D4933">
        <f t="shared" ca="1" si="229"/>
        <v>1484.1120520759359</v>
      </c>
    </row>
    <row r="4934" spans="2:4" x14ac:dyDescent="0.25">
      <c r="B4934">
        <f t="shared" ca="1" si="230"/>
        <v>43026.962471569299</v>
      </c>
      <c r="C4934">
        <f t="shared" ca="1" si="228"/>
        <v>0</v>
      </c>
      <c r="D4934">
        <f t="shared" ca="1" si="229"/>
        <v>3026.9624715692989</v>
      </c>
    </row>
    <row r="4935" spans="2:4" x14ac:dyDescent="0.25">
      <c r="B4935">
        <f t="shared" ca="1" si="230"/>
        <v>49920.109870125874</v>
      </c>
      <c r="C4935">
        <f t="shared" ca="1" si="228"/>
        <v>0</v>
      </c>
      <c r="D4935">
        <f t="shared" ca="1" si="229"/>
        <v>9920.1098701258743</v>
      </c>
    </row>
    <row r="4936" spans="2:4" x14ac:dyDescent="0.25">
      <c r="B4936">
        <f t="shared" ca="1" si="230"/>
        <v>50876.234066961384</v>
      </c>
      <c r="C4936">
        <f t="shared" ca="1" si="228"/>
        <v>0</v>
      </c>
      <c r="D4936">
        <f t="shared" ca="1" si="229"/>
        <v>10876.234066961384</v>
      </c>
    </row>
    <row r="4937" spans="2:4" x14ac:dyDescent="0.25">
      <c r="B4937">
        <f t="shared" ca="1" si="230"/>
        <v>43238.762785563878</v>
      </c>
      <c r="C4937">
        <f t="shared" ca="1" si="228"/>
        <v>0</v>
      </c>
      <c r="D4937">
        <f t="shared" ca="1" si="229"/>
        <v>3238.7627855638784</v>
      </c>
    </row>
    <row r="4938" spans="2:4" x14ac:dyDescent="0.25">
      <c r="B4938">
        <f t="shared" ca="1" si="230"/>
        <v>47283.970523174139</v>
      </c>
      <c r="C4938">
        <f t="shared" ca="1" si="228"/>
        <v>0</v>
      </c>
      <c r="D4938">
        <f t="shared" ca="1" si="229"/>
        <v>7283.9705231741391</v>
      </c>
    </row>
    <row r="4939" spans="2:4" x14ac:dyDescent="0.25">
      <c r="B4939">
        <f t="shared" ca="1" si="230"/>
        <v>44856.889249914573</v>
      </c>
      <c r="C4939">
        <f t="shared" ca="1" si="228"/>
        <v>0</v>
      </c>
      <c r="D4939">
        <f t="shared" ca="1" si="229"/>
        <v>4856.8892499145732</v>
      </c>
    </row>
    <row r="4940" spans="2:4" x14ac:dyDescent="0.25">
      <c r="B4940">
        <f t="shared" ca="1" si="230"/>
        <v>47546.694010306943</v>
      </c>
      <c r="C4940">
        <f t="shared" ref="C4940:C5003" ca="1" si="231">IF(MAX($B$2-B4940)&lt;0,0,$B$2-B4940)</f>
        <v>0</v>
      </c>
      <c r="D4940">
        <f t="shared" ref="D4940:D5003" ca="1" si="232">IF(MAX(B4940-$B$2)&lt;0,0,B4940-$B$2)</f>
        <v>7546.6940103069428</v>
      </c>
    </row>
    <row r="4941" spans="2:4" x14ac:dyDescent="0.25">
      <c r="B4941">
        <f t="shared" ref="B4941:B5004" ca="1" si="233">$B$1*EXP((($B$4-($B$3^2)/2)*$B$5+$B$3*SQRT($B$5)*NORMSINV(RAND())))</f>
        <v>46778.437019152079</v>
      </c>
      <c r="C4941">
        <f t="shared" ca="1" si="231"/>
        <v>0</v>
      </c>
      <c r="D4941">
        <f t="shared" ca="1" si="232"/>
        <v>6778.4370191520793</v>
      </c>
    </row>
    <row r="4942" spans="2:4" x14ac:dyDescent="0.25">
      <c r="B4942">
        <f t="shared" ca="1" si="233"/>
        <v>43954.169309356039</v>
      </c>
      <c r="C4942">
        <f t="shared" ca="1" si="231"/>
        <v>0</v>
      </c>
      <c r="D4942">
        <f t="shared" ca="1" si="232"/>
        <v>3954.1693093560389</v>
      </c>
    </row>
    <row r="4943" spans="2:4" x14ac:dyDescent="0.25">
      <c r="B4943">
        <f t="shared" ca="1" si="233"/>
        <v>37725.531810065251</v>
      </c>
      <c r="C4943">
        <f t="shared" ca="1" si="231"/>
        <v>2274.4681899347488</v>
      </c>
      <c r="D4943">
        <f t="shared" ca="1" si="232"/>
        <v>0</v>
      </c>
    </row>
    <row r="4944" spans="2:4" x14ac:dyDescent="0.25">
      <c r="B4944">
        <f t="shared" ca="1" si="233"/>
        <v>46677.034978251817</v>
      </c>
      <c r="C4944">
        <f t="shared" ca="1" si="231"/>
        <v>0</v>
      </c>
      <c r="D4944">
        <f t="shared" ca="1" si="232"/>
        <v>6677.0349782518169</v>
      </c>
    </row>
    <row r="4945" spans="2:4" x14ac:dyDescent="0.25">
      <c r="B4945">
        <f t="shared" ca="1" si="233"/>
        <v>49859.362091654591</v>
      </c>
      <c r="C4945">
        <f t="shared" ca="1" si="231"/>
        <v>0</v>
      </c>
      <c r="D4945">
        <f t="shared" ca="1" si="232"/>
        <v>9859.3620916545915</v>
      </c>
    </row>
    <row r="4946" spans="2:4" x14ac:dyDescent="0.25">
      <c r="B4946">
        <f t="shared" ca="1" si="233"/>
        <v>36975.615221605462</v>
      </c>
      <c r="C4946">
        <f t="shared" ca="1" si="231"/>
        <v>3024.3847783945384</v>
      </c>
      <c r="D4946">
        <f t="shared" ca="1" si="232"/>
        <v>0</v>
      </c>
    </row>
    <row r="4947" spans="2:4" x14ac:dyDescent="0.25">
      <c r="B4947">
        <f t="shared" ca="1" si="233"/>
        <v>40427.93322644649</v>
      </c>
      <c r="C4947">
        <f t="shared" ca="1" si="231"/>
        <v>0</v>
      </c>
      <c r="D4947">
        <f t="shared" ca="1" si="232"/>
        <v>427.93322644649015</v>
      </c>
    </row>
    <row r="4948" spans="2:4" x14ac:dyDescent="0.25">
      <c r="B4948">
        <f t="shared" ca="1" si="233"/>
        <v>43275.021598235886</v>
      </c>
      <c r="C4948">
        <f t="shared" ca="1" si="231"/>
        <v>0</v>
      </c>
      <c r="D4948">
        <f t="shared" ca="1" si="232"/>
        <v>3275.0215982358859</v>
      </c>
    </row>
    <row r="4949" spans="2:4" x14ac:dyDescent="0.25">
      <c r="B4949">
        <f t="shared" ca="1" si="233"/>
        <v>41968.06802232108</v>
      </c>
      <c r="C4949">
        <f t="shared" ca="1" si="231"/>
        <v>0</v>
      </c>
      <c r="D4949">
        <f t="shared" ca="1" si="232"/>
        <v>1968.0680223210802</v>
      </c>
    </row>
    <row r="4950" spans="2:4" x14ac:dyDescent="0.25">
      <c r="B4950">
        <f t="shared" ca="1" si="233"/>
        <v>43599.758082354318</v>
      </c>
      <c r="C4950">
        <f t="shared" ca="1" si="231"/>
        <v>0</v>
      </c>
      <c r="D4950">
        <f t="shared" ca="1" si="232"/>
        <v>3599.7580823543176</v>
      </c>
    </row>
    <row r="4951" spans="2:4" x14ac:dyDescent="0.25">
      <c r="B4951">
        <f t="shared" ca="1" si="233"/>
        <v>46711.280088009669</v>
      </c>
      <c r="C4951">
        <f t="shared" ca="1" si="231"/>
        <v>0</v>
      </c>
      <c r="D4951">
        <f t="shared" ca="1" si="232"/>
        <v>6711.2800880096693</v>
      </c>
    </row>
    <row r="4952" spans="2:4" x14ac:dyDescent="0.25">
      <c r="B4952">
        <f t="shared" ca="1" si="233"/>
        <v>37000.338429541902</v>
      </c>
      <c r="C4952">
        <f t="shared" ca="1" si="231"/>
        <v>2999.6615704580981</v>
      </c>
      <c r="D4952">
        <f t="shared" ca="1" si="232"/>
        <v>0</v>
      </c>
    </row>
    <row r="4953" spans="2:4" x14ac:dyDescent="0.25">
      <c r="B4953">
        <f t="shared" ca="1" si="233"/>
        <v>48936.921683910339</v>
      </c>
      <c r="C4953">
        <f t="shared" ca="1" si="231"/>
        <v>0</v>
      </c>
      <c r="D4953">
        <f t="shared" ca="1" si="232"/>
        <v>8936.9216839103392</v>
      </c>
    </row>
    <row r="4954" spans="2:4" x14ac:dyDescent="0.25">
      <c r="B4954">
        <f t="shared" ca="1" si="233"/>
        <v>51411.761888749184</v>
      </c>
      <c r="C4954">
        <f t="shared" ca="1" si="231"/>
        <v>0</v>
      </c>
      <c r="D4954">
        <f t="shared" ca="1" si="232"/>
        <v>11411.761888749184</v>
      </c>
    </row>
    <row r="4955" spans="2:4" x14ac:dyDescent="0.25">
      <c r="B4955">
        <f t="shared" ca="1" si="233"/>
        <v>40348.005487060887</v>
      </c>
      <c r="C4955">
        <f t="shared" ca="1" si="231"/>
        <v>0</v>
      </c>
      <c r="D4955">
        <f t="shared" ca="1" si="232"/>
        <v>348.00548706088739</v>
      </c>
    </row>
    <row r="4956" spans="2:4" x14ac:dyDescent="0.25">
      <c r="B4956">
        <f t="shared" ca="1" si="233"/>
        <v>42087.233598705279</v>
      </c>
      <c r="C4956">
        <f t="shared" ca="1" si="231"/>
        <v>0</v>
      </c>
      <c r="D4956">
        <f t="shared" ca="1" si="232"/>
        <v>2087.2335987052793</v>
      </c>
    </row>
    <row r="4957" spans="2:4" x14ac:dyDescent="0.25">
      <c r="B4957">
        <f t="shared" ca="1" si="233"/>
        <v>42849.727043053179</v>
      </c>
      <c r="C4957">
        <f t="shared" ca="1" si="231"/>
        <v>0</v>
      </c>
      <c r="D4957">
        <f t="shared" ca="1" si="232"/>
        <v>2849.7270430531789</v>
      </c>
    </row>
    <row r="4958" spans="2:4" x14ac:dyDescent="0.25">
      <c r="B4958">
        <f t="shared" ca="1" si="233"/>
        <v>42444.243588506062</v>
      </c>
      <c r="C4958">
        <f t="shared" ca="1" si="231"/>
        <v>0</v>
      </c>
      <c r="D4958">
        <f t="shared" ca="1" si="232"/>
        <v>2444.2435885060622</v>
      </c>
    </row>
    <row r="4959" spans="2:4" x14ac:dyDescent="0.25">
      <c r="B4959">
        <f t="shared" ca="1" si="233"/>
        <v>48582.081594524956</v>
      </c>
      <c r="C4959">
        <f t="shared" ca="1" si="231"/>
        <v>0</v>
      </c>
      <c r="D4959">
        <f t="shared" ca="1" si="232"/>
        <v>8582.081594524956</v>
      </c>
    </row>
    <row r="4960" spans="2:4" x14ac:dyDescent="0.25">
      <c r="B4960">
        <f t="shared" ca="1" si="233"/>
        <v>40641.254172217072</v>
      </c>
      <c r="C4960">
        <f t="shared" ca="1" si="231"/>
        <v>0</v>
      </c>
      <c r="D4960">
        <f t="shared" ca="1" si="232"/>
        <v>641.25417221707175</v>
      </c>
    </row>
    <row r="4961" spans="2:4" x14ac:dyDescent="0.25">
      <c r="B4961">
        <f t="shared" ca="1" si="233"/>
        <v>46513.449671062815</v>
      </c>
      <c r="C4961">
        <f t="shared" ca="1" si="231"/>
        <v>0</v>
      </c>
      <c r="D4961">
        <f t="shared" ca="1" si="232"/>
        <v>6513.4496710628155</v>
      </c>
    </row>
    <row r="4962" spans="2:4" x14ac:dyDescent="0.25">
      <c r="B4962">
        <f t="shared" ca="1" si="233"/>
        <v>45115.656956919011</v>
      </c>
      <c r="C4962">
        <f t="shared" ca="1" si="231"/>
        <v>0</v>
      </c>
      <c r="D4962">
        <f t="shared" ca="1" si="232"/>
        <v>5115.6569569190106</v>
      </c>
    </row>
    <row r="4963" spans="2:4" x14ac:dyDescent="0.25">
      <c r="B4963">
        <f t="shared" ca="1" si="233"/>
        <v>40075.794655573591</v>
      </c>
      <c r="C4963">
        <f t="shared" ca="1" si="231"/>
        <v>0</v>
      </c>
      <c r="D4963">
        <f t="shared" ca="1" si="232"/>
        <v>75.794655573590717</v>
      </c>
    </row>
    <row r="4964" spans="2:4" x14ac:dyDescent="0.25">
      <c r="B4964">
        <f t="shared" ca="1" si="233"/>
        <v>45758.689358837837</v>
      </c>
      <c r="C4964">
        <f t="shared" ca="1" si="231"/>
        <v>0</v>
      </c>
      <c r="D4964">
        <f t="shared" ca="1" si="232"/>
        <v>5758.6893588378371</v>
      </c>
    </row>
    <row r="4965" spans="2:4" x14ac:dyDescent="0.25">
      <c r="B4965">
        <f t="shared" ca="1" si="233"/>
        <v>45993.068803115188</v>
      </c>
      <c r="C4965">
        <f t="shared" ca="1" si="231"/>
        <v>0</v>
      </c>
      <c r="D4965">
        <f t="shared" ca="1" si="232"/>
        <v>5993.0688031151876</v>
      </c>
    </row>
    <row r="4966" spans="2:4" x14ac:dyDescent="0.25">
      <c r="B4966">
        <f t="shared" ca="1" si="233"/>
        <v>45601.457190773261</v>
      </c>
      <c r="C4966">
        <f t="shared" ca="1" si="231"/>
        <v>0</v>
      </c>
      <c r="D4966">
        <f t="shared" ca="1" si="232"/>
        <v>5601.4571907732607</v>
      </c>
    </row>
    <row r="4967" spans="2:4" x14ac:dyDescent="0.25">
      <c r="B4967">
        <f t="shared" ca="1" si="233"/>
        <v>49001.079708698366</v>
      </c>
      <c r="C4967">
        <f t="shared" ca="1" si="231"/>
        <v>0</v>
      </c>
      <c r="D4967">
        <f t="shared" ca="1" si="232"/>
        <v>9001.0797086983657</v>
      </c>
    </row>
    <row r="4968" spans="2:4" x14ac:dyDescent="0.25">
      <c r="B4968">
        <f t="shared" ca="1" si="233"/>
        <v>46703.699757740491</v>
      </c>
      <c r="C4968">
        <f t="shared" ca="1" si="231"/>
        <v>0</v>
      </c>
      <c r="D4968">
        <f t="shared" ca="1" si="232"/>
        <v>6703.6997577404909</v>
      </c>
    </row>
    <row r="4969" spans="2:4" x14ac:dyDescent="0.25">
      <c r="B4969">
        <f t="shared" ca="1" si="233"/>
        <v>48207.237969290654</v>
      </c>
      <c r="C4969">
        <f t="shared" ca="1" si="231"/>
        <v>0</v>
      </c>
      <c r="D4969">
        <f t="shared" ca="1" si="232"/>
        <v>8207.2379692906543</v>
      </c>
    </row>
    <row r="4970" spans="2:4" x14ac:dyDescent="0.25">
      <c r="B4970">
        <f t="shared" ca="1" si="233"/>
        <v>42259.601799554111</v>
      </c>
      <c r="C4970">
        <f t="shared" ca="1" si="231"/>
        <v>0</v>
      </c>
      <c r="D4970">
        <f t="shared" ca="1" si="232"/>
        <v>2259.6017995541115</v>
      </c>
    </row>
    <row r="4971" spans="2:4" x14ac:dyDescent="0.25">
      <c r="B4971">
        <f t="shared" ca="1" si="233"/>
        <v>49549.901762653499</v>
      </c>
      <c r="C4971">
        <f t="shared" ca="1" si="231"/>
        <v>0</v>
      </c>
      <c r="D4971">
        <f t="shared" ca="1" si="232"/>
        <v>9549.9017626534987</v>
      </c>
    </row>
    <row r="4972" spans="2:4" x14ac:dyDescent="0.25">
      <c r="B4972">
        <f t="shared" ca="1" si="233"/>
        <v>40751.440228920481</v>
      </c>
      <c r="C4972">
        <f t="shared" ca="1" si="231"/>
        <v>0</v>
      </c>
      <c r="D4972">
        <f t="shared" ca="1" si="232"/>
        <v>751.44022892048088</v>
      </c>
    </row>
    <row r="4973" spans="2:4" x14ac:dyDescent="0.25">
      <c r="B4973">
        <f t="shared" ca="1" si="233"/>
        <v>51393.278600132908</v>
      </c>
      <c r="C4973">
        <f t="shared" ca="1" si="231"/>
        <v>0</v>
      </c>
      <c r="D4973">
        <f t="shared" ca="1" si="232"/>
        <v>11393.278600132908</v>
      </c>
    </row>
    <row r="4974" spans="2:4" x14ac:dyDescent="0.25">
      <c r="B4974">
        <f t="shared" ca="1" si="233"/>
        <v>50084.194851432905</v>
      </c>
      <c r="C4974">
        <f t="shared" ca="1" si="231"/>
        <v>0</v>
      </c>
      <c r="D4974">
        <f t="shared" ca="1" si="232"/>
        <v>10084.194851432905</v>
      </c>
    </row>
    <row r="4975" spans="2:4" x14ac:dyDescent="0.25">
      <c r="B4975">
        <f t="shared" ca="1" si="233"/>
        <v>47790.448573431764</v>
      </c>
      <c r="C4975">
        <f t="shared" ca="1" si="231"/>
        <v>0</v>
      </c>
      <c r="D4975">
        <f t="shared" ca="1" si="232"/>
        <v>7790.4485734317641</v>
      </c>
    </row>
    <row r="4976" spans="2:4" x14ac:dyDescent="0.25">
      <c r="B4976">
        <f t="shared" ca="1" si="233"/>
        <v>48221.265839970125</v>
      </c>
      <c r="C4976">
        <f t="shared" ca="1" si="231"/>
        <v>0</v>
      </c>
      <c r="D4976">
        <f t="shared" ca="1" si="232"/>
        <v>8221.2658399701249</v>
      </c>
    </row>
    <row r="4977" spans="2:4" x14ac:dyDescent="0.25">
      <c r="B4977">
        <f t="shared" ca="1" si="233"/>
        <v>36518.25172445982</v>
      </c>
      <c r="C4977">
        <f t="shared" ca="1" si="231"/>
        <v>3481.7482755401797</v>
      </c>
      <c r="D4977">
        <f t="shared" ca="1" si="232"/>
        <v>0</v>
      </c>
    </row>
    <row r="4978" spans="2:4" x14ac:dyDescent="0.25">
      <c r="B4978">
        <f t="shared" ca="1" si="233"/>
        <v>47709.825302061596</v>
      </c>
      <c r="C4978">
        <f t="shared" ca="1" si="231"/>
        <v>0</v>
      </c>
      <c r="D4978">
        <f t="shared" ca="1" si="232"/>
        <v>7709.8253020615957</v>
      </c>
    </row>
    <row r="4979" spans="2:4" x14ac:dyDescent="0.25">
      <c r="B4979">
        <f t="shared" ca="1" si="233"/>
        <v>44363.799405730002</v>
      </c>
      <c r="C4979">
        <f t="shared" ca="1" si="231"/>
        <v>0</v>
      </c>
      <c r="D4979">
        <f t="shared" ca="1" si="232"/>
        <v>4363.799405730002</v>
      </c>
    </row>
    <row r="4980" spans="2:4" x14ac:dyDescent="0.25">
      <c r="B4980">
        <f t="shared" ca="1" si="233"/>
        <v>50288.603226718034</v>
      </c>
      <c r="C4980">
        <f t="shared" ca="1" si="231"/>
        <v>0</v>
      </c>
      <c r="D4980">
        <f t="shared" ca="1" si="232"/>
        <v>10288.603226718034</v>
      </c>
    </row>
    <row r="4981" spans="2:4" x14ac:dyDescent="0.25">
      <c r="B4981">
        <f t="shared" ca="1" si="233"/>
        <v>51876.869164605356</v>
      </c>
      <c r="C4981">
        <f t="shared" ca="1" si="231"/>
        <v>0</v>
      </c>
      <c r="D4981">
        <f t="shared" ca="1" si="232"/>
        <v>11876.869164605356</v>
      </c>
    </row>
    <row r="4982" spans="2:4" x14ac:dyDescent="0.25">
      <c r="B4982">
        <f t="shared" ca="1" si="233"/>
        <v>48144.328966504785</v>
      </c>
      <c r="C4982">
        <f t="shared" ca="1" si="231"/>
        <v>0</v>
      </c>
      <c r="D4982">
        <f t="shared" ca="1" si="232"/>
        <v>8144.3289665047851</v>
      </c>
    </row>
    <row r="4983" spans="2:4" x14ac:dyDescent="0.25">
      <c r="B4983">
        <f t="shared" ca="1" si="233"/>
        <v>54079.052763935266</v>
      </c>
      <c r="C4983">
        <f t="shared" ca="1" si="231"/>
        <v>0</v>
      </c>
      <c r="D4983">
        <f t="shared" ca="1" si="232"/>
        <v>14079.052763935266</v>
      </c>
    </row>
    <row r="4984" spans="2:4" x14ac:dyDescent="0.25">
      <c r="B4984">
        <f t="shared" ca="1" si="233"/>
        <v>47143.906134380944</v>
      </c>
      <c r="C4984">
        <f t="shared" ca="1" si="231"/>
        <v>0</v>
      </c>
      <c r="D4984">
        <f t="shared" ca="1" si="232"/>
        <v>7143.9061343809444</v>
      </c>
    </row>
    <row r="4985" spans="2:4" x14ac:dyDescent="0.25">
      <c r="B4985">
        <f t="shared" ca="1" si="233"/>
        <v>38765.541070607767</v>
      </c>
      <c r="C4985">
        <f t="shared" ca="1" si="231"/>
        <v>1234.4589293922327</v>
      </c>
      <c r="D4985">
        <f t="shared" ca="1" si="232"/>
        <v>0</v>
      </c>
    </row>
    <row r="4986" spans="2:4" x14ac:dyDescent="0.25">
      <c r="B4986">
        <f t="shared" ca="1" si="233"/>
        <v>45472.846032706228</v>
      </c>
      <c r="C4986">
        <f t="shared" ca="1" si="231"/>
        <v>0</v>
      </c>
      <c r="D4986">
        <f t="shared" ca="1" si="232"/>
        <v>5472.8460327062276</v>
      </c>
    </row>
    <row r="4987" spans="2:4" x14ac:dyDescent="0.25">
      <c r="B4987">
        <f t="shared" ca="1" si="233"/>
        <v>42198.969856326286</v>
      </c>
      <c r="C4987">
        <f t="shared" ca="1" si="231"/>
        <v>0</v>
      </c>
      <c r="D4987">
        <f t="shared" ca="1" si="232"/>
        <v>2198.9698563262864</v>
      </c>
    </row>
    <row r="4988" spans="2:4" x14ac:dyDescent="0.25">
      <c r="B4988">
        <f t="shared" ca="1" si="233"/>
        <v>45742.348739547277</v>
      </c>
      <c r="C4988">
        <f t="shared" ca="1" si="231"/>
        <v>0</v>
      </c>
      <c r="D4988">
        <f t="shared" ca="1" si="232"/>
        <v>5742.3487395472766</v>
      </c>
    </row>
    <row r="4989" spans="2:4" x14ac:dyDescent="0.25">
      <c r="B4989">
        <f t="shared" ca="1" si="233"/>
        <v>49039.410100247573</v>
      </c>
      <c r="C4989">
        <f t="shared" ca="1" si="231"/>
        <v>0</v>
      </c>
      <c r="D4989">
        <f t="shared" ca="1" si="232"/>
        <v>9039.4101002475727</v>
      </c>
    </row>
    <row r="4990" spans="2:4" x14ac:dyDescent="0.25">
      <c r="B4990">
        <f t="shared" ca="1" si="233"/>
        <v>47011.480990905264</v>
      </c>
      <c r="C4990">
        <f t="shared" ca="1" si="231"/>
        <v>0</v>
      </c>
      <c r="D4990">
        <f t="shared" ca="1" si="232"/>
        <v>7011.4809909052638</v>
      </c>
    </row>
    <row r="4991" spans="2:4" x14ac:dyDescent="0.25">
      <c r="B4991">
        <f t="shared" ca="1" si="233"/>
        <v>42779.101883242482</v>
      </c>
      <c r="C4991">
        <f t="shared" ca="1" si="231"/>
        <v>0</v>
      </c>
      <c r="D4991">
        <f t="shared" ca="1" si="232"/>
        <v>2779.1018832424816</v>
      </c>
    </row>
    <row r="4992" spans="2:4" x14ac:dyDescent="0.25">
      <c r="B4992">
        <f t="shared" ca="1" si="233"/>
        <v>43417.231910668568</v>
      </c>
      <c r="C4992">
        <f t="shared" ca="1" si="231"/>
        <v>0</v>
      </c>
      <c r="D4992">
        <f t="shared" ca="1" si="232"/>
        <v>3417.2319106685682</v>
      </c>
    </row>
    <row r="4993" spans="2:4" x14ac:dyDescent="0.25">
      <c r="B4993">
        <f t="shared" ca="1" si="233"/>
        <v>39610.831337630334</v>
      </c>
      <c r="C4993">
        <f t="shared" ca="1" si="231"/>
        <v>389.16866236966598</v>
      </c>
      <c r="D4993">
        <f t="shared" ca="1" si="232"/>
        <v>0</v>
      </c>
    </row>
    <row r="4994" spans="2:4" x14ac:dyDescent="0.25">
      <c r="B4994">
        <f t="shared" ca="1" si="233"/>
        <v>41121.316823813242</v>
      </c>
      <c r="C4994">
        <f t="shared" ca="1" si="231"/>
        <v>0</v>
      </c>
      <c r="D4994">
        <f t="shared" ca="1" si="232"/>
        <v>1121.3168238132421</v>
      </c>
    </row>
    <row r="4995" spans="2:4" x14ac:dyDescent="0.25">
      <c r="B4995">
        <f t="shared" ca="1" si="233"/>
        <v>40711.06692486901</v>
      </c>
      <c r="C4995">
        <f t="shared" ca="1" si="231"/>
        <v>0</v>
      </c>
      <c r="D4995">
        <f t="shared" ca="1" si="232"/>
        <v>711.06692486901011</v>
      </c>
    </row>
    <row r="4996" spans="2:4" x14ac:dyDescent="0.25">
      <c r="B4996">
        <f t="shared" ca="1" si="233"/>
        <v>50889.250842991249</v>
      </c>
      <c r="C4996">
        <f t="shared" ca="1" si="231"/>
        <v>0</v>
      </c>
      <c r="D4996">
        <f t="shared" ca="1" si="232"/>
        <v>10889.250842991249</v>
      </c>
    </row>
    <row r="4997" spans="2:4" x14ac:dyDescent="0.25">
      <c r="B4997">
        <f t="shared" ca="1" si="233"/>
        <v>39107.23991071069</v>
      </c>
      <c r="C4997">
        <f t="shared" ca="1" si="231"/>
        <v>892.76008928930969</v>
      </c>
      <c r="D4997">
        <f t="shared" ca="1" si="232"/>
        <v>0</v>
      </c>
    </row>
    <row r="4998" spans="2:4" x14ac:dyDescent="0.25">
      <c r="B4998">
        <f t="shared" ca="1" si="233"/>
        <v>38657.76464461389</v>
      </c>
      <c r="C4998">
        <f t="shared" ca="1" si="231"/>
        <v>1342.2353553861103</v>
      </c>
      <c r="D4998">
        <f t="shared" ca="1" si="232"/>
        <v>0</v>
      </c>
    </row>
    <row r="4999" spans="2:4" x14ac:dyDescent="0.25">
      <c r="B4999">
        <f t="shared" ca="1" si="233"/>
        <v>39527.992472711288</v>
      </c>
      <c r="C4999">
        <f t="shared" ca="1" si="231"/>
        <v>472.00752728871157</v>
      </c>
      <c r="D4999">
        <f t="shared" ca="1" si="232"/>
        <v>0</v>
      </c>
    </row>
    <row r="5000" spans="2:4" x14ac:dyDescent="0.25">
      <c r="B5000">
        <f t="shared" ca="1" si="233"/>
        <v>47166.577985156466</v>
      </c>
      <c r="C5000">
        <f t="shared" ca="1" si="231"/>
        <v>0</v>
      </c>
      <c r="D5000">
        <f t="shared" ca="1" si="232"/>
        <v>7166.5779851564657</v>
      </c>
    </row>
    <row r="5001" spans="2:4" x14ac:dyDescent="0.25">
      <c r="B5001">
        <f t="shared" ca="1" si="233"/>
        <v>37674.48662217136</v>
      </c>
      <c r="C5001">
        <f t="shared" ca="1" si="231"/>
        <v>2325.5133778286399</v>
      </c>
      <c r="D5001">
        <f t="shared" ca="1" si="232"/>
        <v>0</v>
      </c>
    </row>
    <row r="5002" spans="2:4" x14ac:dyDescent="0.25">
      <c r="B5002">
        <f t="shared" ca="1" si="233"/>
        <v>48155.023316917002</v>
      </c>
      <c r="C5002">
        <f t="shared" ca="1" si="231"/>
        <v>0</v>
      </c>
      <c r="D5002">
        <f t="shared" ca="1" si="232"/>
        <v>8155.0233169170024</v>
      </c>
    </row>
    <row r="5003" spans="2:4" x14ac:dyDescent="0.25">
      <c r="B5003">
        <f t="shared" ca="1" si="233"/>
        <v>49355.008193954294</v>
      </c>
      <c r="C5003">
        <f t="shared" ca="1" si="231"/>
        <v>0</v>
      </c>
      <c r="D5003">
        <f t="shared" ca="1" si="232"/>
        <v>9355.0081939542943</v>
      </c>
    </row>
    <row r="5004" spans="2:4" x14ac:dyDescent="0.25">
      <c r="B5004">
        <f t="shared" ca="1" si="233"/>
        <v>51318.264347676733</v>
      </c>
      <c r="C5004">
        <f t="shared" ref="C5004:C5067" ca="1" si="234">IF(MAX($B$2-B5004)&lt;0,0,$B$2-B5004)</f>
        <v>0</v>
      </c>
      <c r="D5004">
        <f t="shared" ref="D5004:D5067" ca="1" si="235">IF(MAX(B5004-$B$2)&lt;0,0,B5004-$B$2)</f>
        <v>11318.264347676733</v>
      </c>
    </row>
    <row r="5005" spans="2:4" x14ac:dyDescent="0.25">
      <c r="B5005">
        <f t="shared" ref="B5005:B5068" ca="1" si="236">$B$1*EXP((($B$4-($B$3^2)/2)*$B$5+$B$3*SQRT($B$5)*NORMSINV(RAND())))</f>
        <v>46477.160261528581</v>
      </c>
      <c r="C5005">
        <f t="shared" ca="1" si="234"/>
        <v>0</v>
      </c>
      <c r="D5005">
        <f t="shared" ca="1" si="235"/>
        <v>6477.160261528581</v>
      </c>
    </row>
    <row r="5006" spans="2:4" x14ac:dyDescent="0.25">
      <c r="B5006">
        <f t="shared" ca="1" si="236"/>
        <v>39508.662415319894</v>
      </c>
      <c r="C5006">
        <f t="shared" ca="1" si="234"/>
        <v>491.33758468010637</v>
      </c>
      <c r="D5006">
        <f t="shared" ca="1" si="235"/>
        <v>0</v>
      </c>
    </row>
    <row r="5007" spans="2:4" x14ac:dyDescent="0.25">
      <c r="B5007">
        <f t="shared" ca="1" si="236"/>
        <v>42363.099875619417</v>
      </c>
      <c r="C5007">
        <f t="shared" ca="1" si="234"/>
        <v>0</v>
      </c>
      <c r="D5007">
        <f t="shared" ca="1" si="235"/>
        <v>2363.0998756194167</v>
      </c>
    </row>
    <row r="5008" spans="2:4" x14ac:dyDescent="0.25">
      <c r="B5008">
        <f t="shared" ca="1" si="236"/>
        <v>44050.479532442136</v>
      </c>
      <c r="C5008">
        <f t="shared" ca="1" si="234"/>
        <v>0</v>
      </c>
      <c r="D5008">
        <f t="shared" ca="1" si="235"/>
        <v>4050.4795324421357</v>
      </c>
    </row>
    <row r="5009" spans="2:4" x14ac:dyDescent="0.25">
      <c r="B5009">
        <f t="shared" ca="1" si="236"/>
        <v>48421.192699458268</v>
      </c>
      <c r="C5009">
        <f t="shared" ca="1" si="234"/>
        <v>0</v>
      </c>
      <c r="D5009">
        <f t="shared" ca="1" si="235"/>
        <v>8421.1926994582682</v>
      </c>
    </row>
    <row r="5010" spans="2:4" x14ac:dyDescent="0.25">
      <c r="B5010">
        <f t="shared" ca="1" si="236"/>
        <v>52922.771169809756</v>
      </c>
      <c r="C5010">
        <f t="shared" ca="1" si="234"/>
        <v>0</v>
      </c>
      <c r="D5010">
        <f t="shared" ca="1" si="235"/>
        <v>12922.771169809756</v>
      </c>
    </row>
    <row r="5011" spans="2:4" x14ac:dyDescent="0.25">
      <c r="B5011">
        <f t="shared" ca="1" si="236"/>
        <v>37277.420187477233</v>
      </c>
      <c r="C5011">
        <f t="shared" ca="1" si="234"/>
        <v>2722.5798125227666</v>
      </c>
      <c r="D5011">
        <f t="shared" ca="1" si="235"/>
        <v>0</v>
      </c>
    </row>
    <row r="5012" spans="2:4" x14ac:dyDescent="0.25">
      <c r="B5012">
        <f t="shared" ca="1" si="236"/>
        <v>37843.52557978424</v>
      </c>
      <c r="C5012">
        <f t="shared" ca="1" si="234"/>
        <v>2156.4744202157599</v>
      </c>
      <c r="D5012">
        <f t="shared" ca="1" si="235"/>
        <v>0</v>
      </c>
    </row>
    <row r="5013" spans="2:4" x14ac:dyDescent="0.25">
      <c r="B5013">
        <f t="shared" ca="1" si="236"/>
        <v>45522.65582230829</v>
      </c>
      <c r="C5013">
        <f t="shared" ca="1" si="234"/>
        <v>0</v>
      </c>
      <c r="D5013">
        <f t="shared" ca="1" si="235"/>
        <v>5522.6558223082902</v>
      </c>
    </row>
    <row r="5014" spans="2:4" x14ac:dyDescent="0.25">
      <c r="B5014">
        <f t="shared" ca="1" si="236"/>
        <v>51782.476144981192</v>
      </c>
      <c r="C5014">
        <f t="shared" ca="1" si="234"/>
        <v>0</v>
      </c>
      <c r="D5014">
        <f t="shared" ca="1" si="235"/>
        <v>11782.476144981192</v>
      </c>
    </row>
    <row r="5015" spans="2:4" x14ac:dyDescent="0.25">
      <c r="B5015">
        <f t="shared" ca="1" si="236"/>
        <v>42631.750733459572</v>
      </c>
      <c r="C5015">
        <f t="shared" ca="1" si="234"/>
        <v>0</v>
      </c>
      <c r="D5015">
        <f t="shared" ca="1" si="235"/>
        <v>2631.7507334595721</v>
      </c>
    </row>
    <row r="5016" spans="2:4" x14ac:dyDescent="0.25">
      <c r="B5016">
        <f t="shared" ca="1" si="236"/>
        <v>41595.394602673965</v>
      </c>
      <c r="C5016">
        <f t="shared" ca="1" si="234"/>
        <v>0</v>
      </c>
      <c r="D5016">
        <f t="shared" ca="1" si="235"/>
        <v>1595.394602673965</v>
      </c>
    </row>
    <row r="5017" spans="2:4" x14ac:dyDescent="0.25">
      <c r="B5017">
        <f t="shared" ca="1" si="236"/>
        <v>44565.087650995294</v>
      </c>
      <c r="C5017">
        <f t="shared" ca="1" si="234"/>
        <v>0</v>
      </c>
      <c r="D5017">
        <f t="shared" ca="1" si="235"/>
        <v>4565.0876509952941</v>
      </c>
    </row>
    <row r="5018" spans="2:4" x14ac:dyDescent="0.25">
      <c r="B5018">
        <f t="shared" ca="1" si="236"/>
        <v>49215.548420914311</v>
      </c>
      <c r="C5018">
        <f t="shared" ca="1" si="234"/>
        <v>0</v>
      </c>
      <c r="D5018">
        <f t="shared" ca="1" si="235"/>
        <v>9215.5484209143106</v>
      </c>
    </row>
    <row r="5019" spans="2:4" x14ac:dyDescent="0.25">
      <c r="B5019">
        <f t="shared" ca="1" si="236"/>
        <v>46979.641643957366</v>
      </c>
      <c r="C5019">
        <f t="shared" ca="1" si="234"/>
        <v>0</v>
      </c>
      <c r="D5019">
        <f t="shared" ca="1" si="235"/>
        <v>6979.6416439573659</v>
      </c>
    </row>
    <row r="5020" spans="2:4" x14ac:dyDescent="0.25">
      <c r="B5020">
        <f t="shared" ca="1" si="236"/>
        <v>51076.195041679566</v>
      </c>
      <c r="C5020">
        <f t="shared" ca="1" si="234"/>
        <v>0</v>
      </c>
      <c r="D5020">
        <f t="shared" ca="1" si="235"/>
        <v>11076.195041679566</v>
      </c>
    </row>
    <row r="5021" spans="2:4" x14ac:dyDescent="0.25">
      <c r="B5021">
        <f t="shared" ca="1" si="236"/>
        <v>53212.211645728836</v>
      </c>
      <c r="C5021">
        <f t="shared" ca="1" si="234"/>
        <v>0</v>
      </c>
      <c r="D5021">
        <f t="shared" ca="1" si="235"/>
        <v>13212.211645728836</v>
      </c>
    </row>
    <row r="5022" spans="2:4" x14ac:dyDescent="0.25">
      <c r="B5022">
        <f t="shared" ca="1" si="236"/>
        <v>44910.263202394082</v>
      </c>
      <c r="C5022">
        <f t="shared" ca="1" si="234"/>
        <v>0</v>
      </c>
      <c r="D5022">
        <f t="shared" ca="1" si="235"/>
        <v>4910.2632023940823</v>
      </c>
    </row>
    <row r="5023" spans="2:4" x14ac:dyDescent="0.25">
      <c r="B5023">
        <f t="shared" ca="1" si="236"/>
        <v>46199.910295531241</v>
      </c>
      <c r="C5023">
        <f t="shared" ca="1" si="234"/>
        <v>0</v>
      </c>
      <c r="D5023">
        <f t="shared" ca="1" si="235"/>
        <v>6199.910295531241</v>
      </c>
    </row>
    <row r="5024" spans="2:4" x14ac:dyDescent="0.25">
      <c r="B5024">
        <f t="shared" ca="1" si="236"/>
        <v>38651.793850765527</v>
      </c>
      <c r="C5024">
        <f t="shared" ca="1" si="234"/>
        <v>1348.2061492344728</v>
      </c>
      <c r="D5024">
        <f t="shared" ca="1" si="235"/>
        <v>0</v>
      </c>
    </row>
    <row r="5025" spans="2:4" x14ac:dyDescent="0.25">
      <c r="B5025">
        <f t="shared" ca="1" si="236"/>
        <v>50730.844121153867</v>
      </c>
      <c r="C5025">
        <f t="shared" ca="1" si="234"/>
        <v>0</v>
      </c>
      <c r="D5025">
        <f t="shared" ca="1" si="235"/>
        <v>10730.844121153867</v>
      </c>
    </row>
    <row r="5026" spans="2:4" x14ac:dyDescent="0.25">
      <c r="B5026">
        <f t="shared" ca="1" si="236"/>
        <v>45190.190572805295</v>
      </c>
      <c r="C5026">
        <f t="shared" ca="1" si="234"/>
        <v>0</v>
      </c>
      <c r="D5026">
        <f t="shared" ca="1" si="235"/>
        <v>5190.1905728052952</v>
      </c>
    </row>
    <row r="5027" spans="2:4" x14ac:dyDescent="0.25">
      <c r="B5027">
        <f t="shared" ca="1" si="236"/>
        <v>34644.166736607112</v>
      </c>
      <c r="C5027">
        <f t="shared" ca="1" si="234"/>
        <v>5355.8332633928876</v>
      </c>
      <c r="D5027">
        <f t="shared" ca="1" si="235"/>
        <v>0</v>
      </c>
    </row>
    <row r="5028" spans="2:4" x14ac:dyDescent="0.25">
      <c r="B5028">
        <f t="shared" ca="1" si="236"/>
        <v>44106.946836488802</v>
      </c>
      <c r="C5028">
        <f t="shared" ca="1" si="234"/>
        <v>0</v>
      </c>
      <c r="D5028">
        <f t="shared" ca="1" si="235"/>
        <v>4106.9468364888016</v>
      </c>
    </row>
    <row r="5029" spans="2:4" x14ac:dyDescent="0.25">
      <c r="B5029">
        <f t="shared" ca="1" si="236"/>
        <v>47581.525858779351</v>
      </c>
      <c r="C5029">
        <f t="shared" ca="1" si="234"/>
        <v>0</v>
      </c>
      <c r="D5029">
        <f t="shared" ca="1" si="235"/>
        <v>7581.5258587793505</v>
      </c>
    </row>
    <row r="5030" spans="2:4" x14ac:dyDescent="0.25">
      <c r="B5030">
        <f t="shared" ca="1" si="236"/>
        <v>44131.575562800543</v>
      </c>
      <c r="C5030">
        <f t="shared" ca="1" si="234"/>
        <v>0</v>
      </c>
      <c r="D5030">
        <f t="shared" ca="1" si="235"/>
        <v>4131.5755628005427</v>
      </c>
    </row>
    <row r="5031" spans="2:4" x14ac:dyDescent="0.25">
      <c r="B5031">
        <f t="shared" ca="1" si="236"/>
        <v>44900.714341318439</v>
      </c>
      <c r="C5031">
        <f t="shared" ca="1" si="234"/>
        <v>0</v>
      </c>
      <c r="D5031">
        <f t="shared" ca="1" si="235"/>
        <v>4900.7143413184385</v>
      </c>
    </row>
    <row r="5032" spans="2:4" x14ac:dyDescent="0.25">
      <c r="B5032">
        <f t="shared" ca="1" si="236"/>
        <v>43561.307401028826</v>
      </c>
      <c r="C5032">
        <f t="shared" ca="1" si="234"/>
        <v>0</v>
      </c>
      <c r="D5032">
        <f t="shared" ca="1" si="235"/>
        <v>3561.3074010288256</v>
      </c>
    </row>
    <row r="5033" spans="2:4" x14ac:dyDescent="0.25">
      <c r="B5033">
        <f t="shared" ca="1" si="236"/>
        <v>48282.74918029055</v>
      </c>
      <c r="C5033">
        <f t="shared" ca="1" si="234"/>
        <v>0</v>
      </c>
      <c r="D5033">
        <f t="shared" ca="1" si="235"/>
        <v>8282.7491802905497</v>
      </c>
    </row>
    <row r="5034" spans="2:4" x14ac:dyDescent="0.25">
      <c r="B5034">
        <f t="shared" ca="1" si="236"/>
        <v>37494.366000313901</v>
      </c>
      <c r="C5034">
        <f t="shared" ca="1" si="234"/>
        <v>2505.6339996860988</v>
      </c>
      <c r="D5034">
        <f t="shared" ca="1" si="235"/>
        <v>0</v>
      </c>
    </row>
    <row r="5035" spans="2:4" x14ac:dyDescent="0.25">
      <c r="B5035">
        <f t="shared" ca="1" si="236"/>
        <v>40471.296969960407</v>
      </c>
      <c r="C5035">
        <f t="shared" ca="1" si="234"/>
        <v>0</v>
      </c>
      <c r="D5035">
        <f t="shared" ca="1" si="235"/>
        <v>471.2969699604073</v>
      </c>
    </row>
    <row r="5036" spans="2:4" x14ac:dyDescent="0.25">
      <c r="B5036">
        <f t="shared" ca="1" si="236"/>
        <v>42659.417813245593</v>
      </c>
      <c r="C5036">
        <f t="shared" ca="1" si="234"/>
        <v>0</v>
      </c>
      <c r="D5036">
        <f t="shared" ca="1" si="235"/>
        <v>2659.4178132455927</v>
      </c>
    </row>
    <row r="5037" spans="2:4" x14ac:dyDescent="0.25">
      <c r="B5037">
        <f t="shared" ca="1" si="236"/>
        <v>36931.30439441248</v>
      </c>
      <c r="C5037">
        <f t="shared" ca="1" si="234"/>
        <v>3068.6956055875198</v>
      </c>
      <c r="D5037">
        <f t="shared" ca="1" si="235"/>
        <v>0</v>
      </c>
    </row>
    <row r="5038" spans="2:4" x14ac:dyDescent="0.25">
      <c r="B5038">
        <f t="shared" ca="1" si="236"/>
        <v>43072.836433696262</v>
      </c>
      <c r="C5038">
        <f t="shared" ca="1" si="234"/>
        <v>0</v>
      </c>
      <c r="D5038">
        <f t="shared" ca="1" si="235"/>
        <v>3072.8364336962622</v>
      </c>
    </row>
    <row r="5039" spans="2:4" x14ac:dyDescent="0.25">
      <c r="B5039">
        <f t="shared" ca="1" si="236"/>
        <v>48768.542024696741</v>
      </c>
      <c r="C5039">
        <f t="shared" ca="1" si="234"/>
        <v>0</v>
      </c>
      <c r="D5039">
        <f t="shared" ca="1" si="235"/>
        <v>8768.5420246967406</v>
      </c>
    </row>
    <row r="5040" spans="2:4" x14ac:dyDescent="0.25">
      <c r="B5040">
        <f t="shared" ca="1" si="236"/>
        <v>41773.264847013546</v>
      </c>
      <c r="C5040">
        <f t="shared" ca="1" si="234"/>
        <v>0</v>
      </c>
      <c r="D5040">
        <f t="shared" ca="1" si="235"/>
        <v>1773.2648470135464</v>
      </c>
    </row>
    <row r="5041" spans="2:4" x14ac:dyDescent="0.25">
      <c r="B5041">
        <f t="shared" ca="1" si="236"/>
        <v>44689.105547800507</v>
      </c>
      <c r="C5041">
        <f t="shared" ca="1" si="234"/>
        <v>0</v>
      </c>
      <c r="D5041">
        <f t="shared" ca="1" si="235"/>
        <v>4689.1055478005073</v>
      </c>
    </row>
    <row r="5042" spans="2:4" x14ac:dyDescent="0.25">
      <c r="B5042">
        <f t="shared" ca="1" si="236"/>
        <v>43621.385987286318</v>
      </c>
      <c r="C5042">
        <f t="shared" ca="1" si="234"/>
        <v>0</v>
      </c>
      <c r="D5042">
        <f t="shared" ca="1" si="235"/>
        <v>3621.3859872863177</v>
      </c>
    </row>
    <row r="5043" spans="2:4" x14ac:dyDescent="0.25">
      <c r="B5043">
        <f t="shared" ca="1" si="236"/>
        <v>44749.876508172812</v>
      </c>
      <c r="C5043">
        <f t="shared" ca="1" si="234"/>
        <v>0</v>
      </c>
      <c r="D5043">
        <f t="shared" ca="1" si="235"/>
        <v>4749.8765081728125</v>
      </c>
    </row>
    <row r="5044" spans="2:4" x14ac:dyDescent="0.25">
      <c r="B5044">
        <f t="shared" ca="1" si="236"/>
        <v>54011.272678232795</v>
      </c>
      <c r="C5044">
        <f t="shared" ca="1" si="234"/>
        <v>0</v>
      </c>
      <c r="D5044">
        <f t="shared" ca="1" si="235"/>
        <v>14011.272678232795</v>
      </c>
    </row>
    <row r="5045" spans="2:4" x14ac:dyDescent="0.25">
      <c r="B5045">
        <f t="shared" ca="1" si="236"/>
        <v>37643.773249295606</v>
      </c>
      <c r="C5045">
        <f t="shared" ca="1" si="234"/>
        <v>2356.2267507043944</v>
      </c>
      <c r="D5045">
        <f t="shared" ca="1" si="235"/>
        <v>0</v>
      </c>
    </row>
    <row r="5046" spans="2:4" x14ac:dyDescent="0.25">
      <c r="B5046">
        <f t="shared" ca="1" si="236"/>
        <v>51553.530478961446</v>
      </c>
      <c r="C5046">
        <f t="shared" ca="1" si="234"/>
        <v>0</v>
      </c>
      <c r="D5046">
        <f t="shared" ca="1" si="235"/>
        <v>11553.530478961446</v>
      </c>
    </row>
    <row r="5047" spans="2:4" x14ac:dyDescent="0.25">
      <c r="B5047">
        <f t="shared" ca="1" si="236"/>
        <v>43525.672212616628</v>
      </c>
      <c r="C5047">
        <f t="shared" ca="1" si="234"/>
        <v>0</v>
      </c>
      <c r="D5047">
        <f t="shared" ca="1" si="235"/>
        <v>3525.6722126166278</v>
      </c>
    </row>
    <row r="5048" spans="2:4" x14ac:dyDescent="0.25">
      <c r="B5048">
        <f t="shared" ca="1" si="236"/>
        <v>43063.533369637524</v>
      </c>
      <c r="C5048">
        <f t="shared" ca="1" si="234"/>
        <v>0</v>
      </c>
      <c r="D5048">
        <f t="shared" ca="1" si="235"/>
        <v>3063.5333696375237</v>
      </c>
    </row>
    <row r="5049" spans="2:4" x14ac:dyDescent="0.25">
      <c r="B5049">
        <f t="shared" ca="1" si="236"/>
        <v>45745.837504098301</v>
      </c>
      <c r="C5049">
        <f t="shared" ca="1" si="234"/>
        <v>0</v>
      </c>
      <c r="D5049">
        <f t="shared" ca="1" si="235"/>
        <v>5745.837504098301</v>
      </c>
    </row>
    <row r="5050" spans="2:4" x14ac:dyDescent="0.25">
      <c r="B5050">
        <f t="shared" ca="1" si="236"/>
        <v>47959.393397025902</v>
      </c>
      <c r="C5050">
        <f t="shared" ca="1" si="234"/>
        <v>0</v>
      </c>
      <c r="D5050">
        <f t="shared" ca="1" si="235"/>
        <v>7959.3933970259022</v>
      </c>
    </row>
    <row r="5051" spans="2:4" x14ac:dyDescent="0.25">
      <c r="B5051">
        <f t="shared" ca="1" si="236"/>
        <v>44576.633232846914</v>
      </c>
      <c r="C5051">
        <f t="shared" ca="1" si="234"/>
        <v>0</v>
      </c>
      <c r="D5051">
        <f t="shared" ca="1" si="235"/>
        <v>4576.6332328469143</v>
      </c>
    </row>
    <row r="5052" spans="2:4" x14ac:dyDescent="0.25">
      <c r="B5052">
        <f t="shared" ca="1" si="236"/>
        <v>49157.760089187657</v>
      </c>
      <c r="C5052">
        <f t="shared" ca="1" si="234"/>
        <v>0</v>
      </c>
      <c r="D5052">
        <f t="shared" ca="1" si="235"/>
        <v>9157.7600891876573</v>
      </c>
    </row>
    <row r="5053" spans="2:4" x14ac:dyDescent="0.25">
      <c r="B5053">
        <f t="shared" ca="1" si="236"/>
        <v>46742.93033818277</v>
      </c>
      <c r="C5053">
        <f t="shared" ca="1" si="234"/>
        <v>0</v>
      </c>
      <c r="D5053">
        <f t="shared" ca="1" si="235"/>
        <v>6742.9303381827704</v>
      </c>
    </row>
    <row r="5054" spans="2:4" x14ac:dyDescent="0.25">
      <c r="B5054">
        <f t="shared" ca="1" si="236"/>
        <v>34532.979995800124</v>
      </c>
      <c r="C5054">
        <f t="shared" ca="1" si="234"/>
        <v>5467.020004199876</v>
      </c>
      <c r="D5054">
        <f t="shared" ca="1" si="235"/>
        <v>0</v>
      </c>
    </row>
    <row r="5055" spans="2:4" x14ac:dyDescent="0.25">
      <c r="B5055">
        <f t="shared" ca="1" si="236"/>
        <v>48823.523014967126</v>
      </c>
      <c r="C5055">
        <f t="shared" ca="1" si="234"/>
        <v>0</v>
      </c>
      <c r="D5055">
        <f t="shared" ca="1" si="235"/>
        <v>8823.5230149671261</v>
      </c>
    </row>
    <row r="5056" spans="2:4" x14ac:dyDescent="0.25">
      <c r="B5056">
        <f t="shared" ca="1" si="236"/>
        <v>47945.30819124166</v>
      </c>
      <c r="C5056">
        <f t="shared" ca="1" si="234"/>
        <v>0</v>
      </c>
      <c r="D5056">
        <f t="shared" ca="1" si="235"/>
        <v>7945.3081912416601</v>
      </c>
    </row>
    <row r="5057" spans="2:4" x14ac:dyDescent="0.25">
      <c r="B5057">
        <f t="shared" ca="1" si="236"/>
        <v>55442.98067920321</v>
      </c>
      <c r="C5057">
        <f t="shared" ca="1" si="234"/>
        <v>0</v>
      </c>
      <c r="D5057">
        <f t="shared" ca="1" si="235"/>
        <v>15442.98067920321</v>
      </c>
    </row>
    <row r="5058" spans="2:4" x14ac:dyDescent="0.25">
      <c r="B5058">
        <f t="shared" ca="1" si="236"/>
        <v>45565.957856546869</v>
      </c>
      <c r="C5058">
        <f t="shared" ca="1" si="234"/>
        <v>0</v>
      </c>
      <c r="D5058">
        <f t="shared" ca="1" si="235"/>
        <v>5565.9578565468692</v>
      </c>
    </row>
    <row r="5059" spans="2:4" x14ac:dyDescent="0.25">
      <c r="B5059">
        <f t="shared" ca="1" si="236"/>
        <v>49698.098205614566</v>
      </c>
      <c r="C5059">
        <f t="shared" ca="1" si="234"/>
        <v>0</v>
      </c>
      <c r="D5059">
        <f t="shared" ca="1" si="235"/>
        <v>9698.0982056145658</v>
      </c>
    </row>
    <row r="5060" spans="2:4" x14ac:dyDescent="0.25">
      <c r="B5060">
        <f t="shared" ca="1" si="236"/>
        <v>46767.268781613995</v>
      </c>
      <c r="C5060">
        <f t="shared" ca="1" si="234"/>
        <v>0</v>
      </c>
      <c r="D5060">
        <f t="shared" ca="1" si="235"/>
        <v>6767.2687816139951</v>
      </c>
    </row>
    <row r="5061" spans="2:4" x14ac:dyDescent="0.25">
      <c r="B5061">
        <f t="shared" ca="1" si="236"/>
        <v>49609.841926390109</v>
      </c>
      <c r="C5061">
        <f t="shared" ca="1" si="234"/>
        <v>0</v>
      </c>
      <c r="D5061">
        <f t="shared" ca="1" si="235"/>
        <v>9609.8419263901087</v>
      </c>
    </row>
    <row r="5062" spans="2:4" x14ac:dyDescent="0.25">
      <c r="B5062">
        <f t="shared" ca="1" si="236"/>
        <v>44488.022014795097</v>
      </c>
      <c r="C5062">
        <f t="shared" ca="1" si="234"/>
        <v>0</v>
      </c>
      <c r="D5062">
        <f t="shared" ca="1" si="235"/>
        <v>4488.0220147950968</v>
      </c>
    </row>
    <row r="5063" spans="2:4" x14ac:dyDescent="0.25">
      <c r="B5063">
        <f t="shared" ca="1" si="236"/>
        <v>47589.916955163317</v>
      </c>
      <c r="C5063">
        <f t="shared" ca="1" si="234"/>
        <v>0</v>
      </c>
      <c r="D5063">
        <f t="shared" ca="1" si="235"/>
        <v>7589.9169551633167</v>
      </c>
    </row>
    <row r="5064" spans="2:4" x14ac:dyDescent="0.25">
      <c r="B5064">
        <f t="shared" ca="1" si="236"/>
        <v>50284.19181150369</v>
      </c>
      <c r="C5064">
        <f t="shared" ca="1" si="234"/>
        <v>0</v>
      </c>
      <c r="D5064">
        <f t="shared" ca="1" si="235"/>
        <v>10284.19181150369</v>
      </c>
    </row>
    <row r="5065" spans="2:4" x14ac:dyDescent="0.25">
      <c r="B5065">
        <f t="shared" ca="1" si="236"/>
        <v>45470.360216026398</v>
      </c>
      <c r="C5065">
        <f t="shared" ca="1" si="234"/>
        <v>0</v>
      </c>
      <c r="D5065">
        <f t="shared" ca="1" si="235"/>
        <v>5470.3602160263981</v>
      </c>
    </row>
    <row r="5066" spans="2:4" x14ac:dyDescent="0.25">
      <c r="B5066">
        <f t="shared" ca="1" si="236"/>
        <v>49833.927427129121</v>
      </c>
      <c r="C5066">
        <f t="shared" ca="1" si="234"/>
        <v>0</v>
      </c>
      <c r="D5066">
        <f t="shared" ca="1" si="235"/>
        <v>9833.9274271291215</v>
      </c>
    </row>
    <row r="5067" spans="2:4" x14ac:dyDescent="0.25">
      <c r="B5067">
        <f t="shared" ca="1" si="236"/>
        <v>42033.559415384756</v>
      </c>
      <c r="C5067">
        <f t="shared" ca="1" si="234"/>
        <v>0</v>
      </c>
      <c r="D5067">
        <f t="shared" ca="1" si="235"/>
        <v>2033.559415384756</v>
      </c>
    </row>
    <row r="5068" spans="2:4" x14ac:dyDescent="0.25">
      <c r="B5068">
        <f t="shared" ca="1" si="236"/>
        <v>39597.394243583527</v>
      </c>
      <c r="C5068">
        <f t="shared" ref="C5068:C5131" ca="1" si="237">IF(MAX($B$2-B5068)&lt;0,0,$B$2-B5068)</f>
        <v>402.60575641647301</v>
      </c>
      <c r="D5068">
        <f t="shared" ref="D5068:D5131" ca="1" si="238">IF(MAX(B5068-$B$2)&lt;0,0,B5068-$B$2)</f>
        <v>0</v>
      </c>
    </row>
    <row r="5069" spans="2:4" x14ac:dyDescent="0.25">
      <c r="B5069">
        <f t="shared" ref="B5069:B5132" ca="1" si="239">$B$1*EXP((($B$4-($B$3^2)/2)*$B$5+$B$3*SQRT($B$5)*NORMSINV(RAND())))</f>
        <v>41081.401516102327</v>
      </c>
      <c r="C5069">
        <f t="shared" ca="1" si="237"/>
        <v>0</v>
      </c>
      <c r="D5069">
        <f t="shared" ca="1" si="238"/>
        <v>1081.4015161023272</v>
      </c>
    </row>
    <row r="5070" spans="2:4" x14ac:dyDescent="0.25">
      <c r="B5070">
        <f t="shared" ca="1" si="239"/>
        <v>44443.650342439876</v>
      </c>
      <c r="C5070">
        <f t="shared" ca="1" si="237"/>
        <v>0</v>
      </c>
      <c r="D5070">
        <f t="shared" ca="1" si="238"/>
        <v>4443.6503424398761</v>
      </c>
    </row>
    <row r="5071" spans="2:4" x14ac:dyDescent="0.25">
      <c r="B5071">
        <f t="shared" ca="1" si="239"/>
        <v>53173.145463005021</v>
      </c>
      <c r="C5071">
        <f t="shared" ca="1" si="237"/>
        <v>0</v>
      </c>
      <c r="D5071">
        <f t="shared" ca="1" si="238"/>
        <v>13173.145463005021</v>
      </c>
    </row>
    <row r="5072" spans="2:4" x14ac:dyDescent="0.25">
      <c r="B5072">
        <f t="shared" ca="1" si="239"/>
        <v>46071.057769186489</v>
      </c>
      <c r="C5072">
        <f t="shared" ca="1" si="237"/>
        <v>0</v>
      </c>
      <c r="D5072">
        <f t="shared" ca="1" si="238"/>
        <v>6071.0577691864892</v>
      </c>
    </row>
    <row r="5073" spans="2:4" x14ac:dyDescent="0.25">
      <c r="B5073">
        <f t="shared" ca="1" si="239"/>
        <v>55160.409976654693</v>
      </c>
      <c r="C5073">
        <f t="shared" ca="1" si="237"/>
        <v>0</v>
      </c>
      <c r="D5073">
        <f t="shared" ca="1" si="238"/>
        <v>15160.409976654693</v>
      </c>
    </row>
    <row r="5074" spans="2:4" x14ac:dyDescent="0.25">
      <c r="B5074">
        <f t="shared" ca="1" si="239"/>
        <v>51749.653382489851</v>
      </c>
      <c r="C5074">
        <f t="shared" ca="1" si="237"/>
        <v>0</v>
      </c>
      <c r="D5074">
        <f t="shared" ca="1" si="238"/>
        <v>11749.653382489851</v>
      </c>
    </row>
    <row r="5075" spans="2:4" x14ac:dyDescent="0.25">
      <c r="B5075">
        <f t="shared" ca="1" si="239"/>
        <v>39216.137053983715</v>
      </c>
      <c r="C5075">
        <f t="shared" ca="1" si="237"/>
        <v>783.8629460162847</v>
      </c>
      <c r="D5075">
        <f t="shared" ca="1" si="238"/>
        <v>0</v>
      </c>
    </row>
    <row r="5076" spans="2:4" x14ac:dyDescent="0.25">
      <c r="B5076">
        <f t="shared" ca="1" si="239"/>
        <v>59731.034712716006</v>
      </c>
      <c r="C5076">
        <f t="shared" ca="1" si="237"/>
        <v>0</v>
      </c>
      <c r="D5076">
        <f t="shared" ca="1" si="238"/>
        <v>19731.034712716006</v>
      </c>
    </row>
    <row r="5077" spans="2:4" x14ac:dyDescent="0.25">
      <c r="B5077">
        <f t="shared" ca="1" si="239"/>
        <v>44135.397049614054</v>
      </c>
      <c r="C5077">
        <f t="shared" ca="1" si="237"/>
        <v>0</v>
      </c>
      <c r="D5077">
        <f t="shared" ca="1" si="238"/>
        <v>4135.3970496140537</v>
      </c>
    </row>
    <row r="5078" spans="2:4" x14ac:dyDescent="0.25">
      <c r="B5078">
        <f t="shared" ca="1" si="239"/>
        <v>54851.594987265322</v>
      </c>
      <c r="C5078">
        <f t="shared" ca="1" si="237"/>
        <v>0</v>
      </c>
      <c r="D5078">
        <f t="shared" ca="1" si="238"/>
        <v>14851.594987265322</v>
      </c>
    </row>
    <row r="5079" spans="2:4" x14ac:dyDescent="0.25">
      <c r="B5079">
        <f t="shared" ca="1" si="239"/>
        <v>42233.52324898207</v>
      </c>
      <c r="C5079">
        <f t="shared" ca="1" si="237"/>
        <v>0</v>
      </c>
      <c r="D5079">
        <f t="shared" ca="1" si="238"/>
        <v>2233.5232489820701</v>
      </c>
    </row>
    <row r="5080" spans="2:4" x14ac:dyDescent="0.25">
      <c r="B5080">
        <f t="shared" ca="1" si="239"/>
        <v>46460.915306947085</v>
      </c>
      <c r="C5080">
        <f t="shared" ca="1" si="237"/>
        <v>0</v>
      </c>
      <c r="D5080">
        <f t="shared" ca="1" si="238"/>
        <v>6460.9153069470849</v>
      </c>
    </row>
    <row r="5081" spans="2:4" x14ac:dyDescent="0.25">
      <c r="B5081">
        <f t="shared" ca="1" si="239"/>
        <v>44869.144683069848</v>
      </c>
      <c r="C5081">
        <f t="shared" ca="1" si="237"/>
        <v>0</v>
      </c>
      <c r="D5081">
        <f t="shared" ca="1" si="238"/>
        <v>4869.1446830698478</v>
      </c>
    </row>
    <row r="5082" spans="2:4" x14ac:dyDescent="0.25">
      <c r="B5082">
        <f t="shared" ca="1" si="239"/>
        <v>42839.870454769472</v>
      </c>
      <c r="C5082">
        <f t="shared" ca="1" si="237"/>
        <v>0</v>
      </c>
      <c r="D5082">
        <f t="shared" ca="1" si="238"/>
        <v>2839.8704547694724</v>
      </c>
    </row>
    <row r="5083" spans="2:4" x14ac:dyDescent="0.25">
      <c r="B5083">
        <f t="shared" ca="1" si="239"/>
        <v>44634.738449813573</v>
      </c>
      <c r="C5083">
        <f t="shared" ca="1" si="237"/>
        <v>0</v>
      </c>
      <c r="D5083">
        <f t="shared" ca="1" si="238"/>
        <v>4634.7384498135725</v>
      </c>
    </row>
    <row r="5084" spans="2:4" x14ac:dyDescent="0.25">
      <c r="B5084">
        <f t="shared" ca="1" si="239"/>
        <v>42084.358786987228</v>
      </c>
      <c r="C5084">
        <f t="shared" ca="1" si="237"/>
        <v>0</v>
      </c>
      <c r="D5084">
        <f t="shared" ca="1" si="238"/>
        <v>2084.3587869872281</v>
      </c>
    </row>
    <row r="5085" spans="2:4" x14ac:dyDescent="0.25">
      <c r="B5085">
        <f t="shared" ca="1" si="239"/>
        <v>45022.3062320342</v>
      </c>
      <c r="C5085">
        <f t="shared" ca="1" si="237"/>
        <v>0</v>
      </c>
      <c r="D5085">
        <f t="shared" ca="1" si="238"/>
        <v>5022.3062320341996</v>
      </c>
    </row>
    <row r="5086" spans="2:4" x14ac:dyDescent="0.25">
      <c r="B5086">
        <f t="shared" ca="1" si="239"/>
        <v>42921.165358203267</v>
      </c>
      <c r="C5086">
        <f t="shared" ca="1" si="237"/>
        <v>0</v>
      </c>
      <c r="D5086">
        <f t="shared" ca="1" si="238"/>
        <v>2921.1653582032668</v>
      </c>
    </row>
    <row r="5087" spans="2:4" x14ac:dyDescent="0.25">
      <c r="B5087">
        <f t="shared" ca="1" si="239"/>
        <v>41227.793238010614</v>
      </c>
      <c r="C5087">
        <f t="shared" ca="1" si="237"/>
        <v>0</v>
      </c>
      <c r="D5087">
        <f t="shared" ca="1" si="238"/>
        <v>1227.793238010614</v>
      </c>
    </row>
    <row r="5088" spans="2:4" x14ac:dyDescent="0.25">
      <c r="B5088">
        <f t="shared" ca="1" si="239"/>
        <v>42917.823765169247</v>
      </c>
      <c r="C5088">
        <f t="shared" ca="1" si="237"/>
        <v>0</v>
      </c>
      <c r="D5088">
        <f t="shared" ca="1" si="238"/>
        <v>2917.8237651692471</v>
      </c>
    </row>
    <row r="5089" spans="2:4" x14ac:dyDescent="0.25">
      <c r="B5089">
        <f t="shared" ca="1" si="239"/>
        <v>46830.246999333263</v>
      </c>
      <c r="C5089">
        <f t="shared" ca="1" si="237"/>
        <v>0</v>
      </c>
      <c r="D5089">
        <f t="shared" ca="1" si="238"/>
        <v>6830.2469993332634</v>
      </c>
    </row>
    <row r="5090" spans="2:4" x14ac:dyDescent="0.25">
      <c r="B5090">
        <f t="shared" ca="1" si="239"/>
        <v>41016.815833098386</v>
      </c>
      <c r="C5090">
        <f t="shared" ca="1" si="237"/>
        <v>0</v>
      </c>
      <c r="D5090">
        <f t="shared" ca="1" si="238"/>
        <v>1016.8158330983861</v>
      </c>
    </row>
    <row r="5091" spans="2:4" x14ac:dyDescent="0.25">
      <c r="B5091">
        <f t="shared" ca="1" si="239"/>
        <v>40031.414491572585</v>
      </c>
      <c r="C5091">
        <f t="shared" ca="1" si="237"/>
        <v>0</v>
      </c>
      <c r="D5091">
        <f t="shared" ca="1" si="238"/>
        <v>31.414491572584666</v>
      </c>
    </row>
    <row r="5092" spans="2:4" x14ac:dyDescent="0.25">
      <c r="B5092">
        <f t="shared" ca="1" si="239"/>
        <v>46410.645010573811</v>
      </c>
      <c r="C5092">
        <f t="shared" ca="1" si="237"/>
        <v>0</v>
      </c>
      <c r="D5092">
        <f t="shared" ca="1" si="238"/>
        <v>6410.6450105738113</v>
      </c>
    </row>
    <row r="5093" spans="2:4" x14ac:dyDescent="0.25">
      <c r="B5093">
        <f t="shared" ca="1" si="239"/>
        <v>36358.099407678637</v>
      </c>
      <c r="C5093">
        <f t="shared" ca="1" si="237"/>
        <v>3641.9005923213626</v>
      </c>
      <c r="D5093">
        <f t="shared" ca="1" si="238"/>
        <v>0</v>
      </c>
    </row>
    <row r="5094" spans="2:4" x14ac:dyDescent="0.25">
      <c r="B5094">
        <f t="shared" ca="1" si="239"/>
        <v>35979.034666421721</v>
      </c>
      <c r="C5094">
        <f t="shared" ca="1" si="237"/>
        <v>4020.9653335782787</v>
      </c>
      <c r="D5094">
        <f t="shared" ca="1" si="238"/>
        <v>0</v>
      </c>
    </row>
    <row r="5095" spans="2:4" x14ac:dyDescent="0.25">
      <c r="B5095">
        <f t="shared" ca="1" si="239"/>
        <v>49780.955270927079</v>
      </c>
      <c r="C5095">
        <f t="shared" ca="1" si="237"/>
        <v>0</v>
      </c>
      <c r="D5095">
        <f t="shared" ca="1" si="238"/>
        <v>9780.9552709270793</v>
      </c>
    </row>
    <row r="5096" spans="2:4" x14ac:dyDescent="0.25">
      <c r="B5096">
        <f t="shared" ca="1" si="239"/>
        <v>46489.076176817063</v>
      </c>
      <c r="C5096">
        <f t="shared" ca="1" si="237"/>
        <v>0</v>
      </c>
      <c r="D5096">
        <f t="shared" ca="1" si="238"/>
        <v>6489.0761768170632</v>
      </c>
    </row>
    <row r="5097" spans="2:4" x14ac:dyDescent="0.25">
      <c r="B5097">
        <f t="shared" ca="1" si="239"/>
        <v>50922.598763850874</v>
      </c>
      <c r="C5097">
        <f t="shared" ca="1" si="237"/>
        <v>0</v>
      </c>
      <c r="D5097">
        <f t="shared" ca="1" si="238"/>
        <v>10922.598763850874</v>
      </c>
    </row>
    <row r="5098" spans="2:4" x14ac:dyDescent="0.25">
      <c r="B5098">
        <f t="shared" ca="1" si="239"/>
        <v>40783.101536815055</v>
      </c>
      <c r="C5098">
        <f t="shared" ca="1" si="237"/>
        <v>0</v>
      </c>
      <c r="D5098">
        <f t="shared" ca="1" si="238"/>
        <v>783.10153681505471</v>
      </c>
    </row>
    <row r="5099" spans="2:4" x14ac:dyDescent="0.25">
      <c r="B5099">
        <f t="shared" ca="1" si="239"/>
        <v>39894.621013601543</v>
      </c>
      <c r="C5099">
        <f t="shared" ca="1" si="237"/>
        <v>105.37898639845662</v>
      </c>
      <c r="D5099">
        <f t="shared" ca="1" si="238"/>
        <v>0</v>
      </c>
    </row>
    <row r="5100" spans="2:4" x14ac:dyDescent="0.25">
      <c r="B5100">
        <f t="shared" ca="1" si="239"/>
        <v>50930.572410174551</v>
      </c>
      <c r="C5100">
        <f t="shared" ca="1" si="237"/>
        <v>0</v>
      </c>
      <c r="D5100">
        <f t="shared" ca="1" si="238"/>
        <v>10930.572410174551</v>
      </c>
    </row>
    <row r="5101" spans="2:4" x14ac:dyDescent="0.25">
      <c r="B5101">
        <f t="shared" ca="1" si="239"/>
        <v>44870.086507184853</v>
      </c>
      <c r="C5101">
        <f t="shared" ca="1" si="237"/>
        <v>0</v>
      </c>
      <c r="D5101">
        <f t="shared" ca="1" si="238"/>
        <v>4870.086507184853</v>
      </c>
    </row>
    <row r="5102" spans="2:4" x14ac:dyDescent="0.25">
      <c r="B5102">
        <f t="shared" ca="1" si="239"/>
        <v>48761.733361090483</v>
      </c>
      <c r="C5102">
        <f t="shared" ca="1" si="237"/>
        <v>0</v>
      </c>
      <c r="D5102">
        <f t="shared" ca="1" si="238"/>
        <v>8761.7333610904825</v>
      </c>
    </row>
    <row r="5103" spans="2:4" x14ac:dyDescent="0.25">
      <c r="B5103">
        <f t="shared" ca="1" si="239"/>
        <v>46420.387300713039</v>
      </c>
      <c r="C5103">
        <f t="shared" ca="1" si="237"/>
        <v>0</v>
      </c>
      <c r="D5103">
        <f t="shared" ca="1" si="238"/>
        <v>6420.3873007130387</v>
      </c>
    </row>
    <row r="5104" spans="2:4" x14ac:dyDescent="0.25">
      <c r="B5104">
        <f t="shared" ca="1" si="239"/>
        <v>43919.704439695386</v>
      </c>
      <c r="C5104">
        <f t="shared" ca="1" si="237"/>
        <v>0</v>
      </c>
      <c r="D5104">
        <f t="shared" ca="1" si="238"/>
        <v>3919.7044396953861</v>
      </c>
    </row>
    <row r="5105" spans="2:4" x14ac:dyDescent="0.25">
      <c r="B5105">
        <f t="shared" ca="1" si="239"/>
        <v>45306.717319522082</v>
      </c>
      <c r="C5105">
        <f t="shared" ca="1" si="237"/>
        <v>0</v>
      </c>
      <c r="D5105">
        <f t="shared" ca="1" si="238"/>
        <v>5306.7173195220821</v>
      </c>
    </row>
    <row r="5106" spans="2:4" x14ac:dyDescent="0.25">
      <c r="B5106">
        <f t="shared" ca="1" si="239"/>
        <v>48875.2072524209</v>
      </c>
      <c r="C5106">
        <f t="shared" ca="1" si="237"/>
        <v>0</v>
      </c>
      <c r="D5106">
        <f t="shared" ca="1" si="238"/>
        <v>8875.2072524208997</v>
      </c>
    </row>
    <row r="5107" spans="2:4" x14ac:dyDescent="0.25">
      <c r="B5107">
        <f t="shared" ca="1" si="239"/>
        <v>39199.575607808409</v>
      </c>
      <c r="C5107">
        <f t="shared" ca="1" si="237"/>
        <v>800.42439219159132</v>
      </c>
      <c r="D5107">
        <f t="shared" ca="1" si="238"/>
        <v>0</v>
      </c>
    </row>
    <row r="5108" spans="2:4" x14ac:dyDescent="0.25">
      <c r="B5108">
        <f t="shared" ca="1" si="239"/>
        <v>42183.889791629823</v>
      </c>
      <c r="C5108">
        <f t="shared" ca="1" si="237"/>
        <v>0</v>
      </c>
      <c r="D5108">
        <f t="shared" ca="1" si="238"/>
        <v>2183.8897916298229</v>
      </c>
    </row>
    <row r="5109" spans="2:4" x14ac:dyDescent="0.25">
      <c r="B5109">
        <f t="shared" ca="1" si="239"/>
        <v>35710.38162275721</v>
      </c>
      <c r="C5109">
        <f t="shared" ca="1" si="237"/>
        <v>4289.6183772427903</v>
      </c>
      <c r="D5109">
        <f t="shared" ca="1" si="238"/>
        <v>0</v>
      </c>
    </row>
    <row r="5110" spans="2:4" x14ac:dyDescent="0.25">
      <c r="B5110">
        <f t="shared" ca="1" si="239"/>
        <v>44062.469971290782</v>
      </c>
      <c r="C5110">
        <f t="shared" ca="1" si="237"/>
        <v>0</v>
      </c>
      <c r="D5110">
        <f t="shared" ca="1" si="238"/>
        <v>4062.4699712907823</v>
      </c>
    </row>
    <row r="5111" spans="2:4" x14ac:dyDescent="0.25">
      <c r="B5111">
        <f t="shared" ca="1" si="239"/>
        <v>50162.748894894714</v>
      </c>
      <c r="C5111">
        <f t="shared" ca="1" si="237"/>
        <v>0</v>
      </c>
      <c r="D5111">
        <f t="shared" ca="1" si="238"/>
        <v>10162.748894894714</v>
      </c>
    </row>
    <row r="5112" spans="2:4" x14ac:dyDescent="0.25">
      <c r="B5112">
        <f t="shared" ca="1" si="239"/>
        <v>44519.33559341533</v>
      </c>
      <c r="C5112">
        <f t="shared" ca="1" si="237"/>
        <v>0</v>
      </c>
      <c r="D5112">
        <f t="shared" ca="1" si="238"/>
        <v>4519.3355934153296</v>
      </c>
    </row>
    <row r="5113" spans="2:4" x14ac:dyDescent="0.25">
      <c r="B5113">
        <f t="shared" ca="1" si="239"/>
        <v>45225.61200721041</v>
      </c>
      <c r="C5113">
        <f t="shared" ca="1" si="237"/>
        <v>0</v>
      </c>
      <c r="D5113">
        <f t="shared" ca="1" si="238"/>
        <v>5225.6120072104095</v>
      </c>
    </row>
    <row r="5114" spans="2:4" x14ac:dyDescent="0.25">
      <c r="B5114">
        <f t="shared" ca="1" si="239"/>
        <v>42086.306637744761</v>
      </c>
      <c r="C5114">
        <f t="shared" ca="1" si="237"/>
        <v>0</v>
      </c>
      <c r="D5114">
        <f t="shared" ca="1" si="238"/>
        <v>2086.3066377447612</v>
      </c>
    </row>
    <row r="5115" spans="2:4" x14ac:dyDescent="0.25">
      <c r="B5115">
        <f t="shared" ca="1" si="239"/>
        <v>44556.329617310075</v>
      </c>
      <c r="C5115">
        <f t="shared" ca="1" si="237"/>
        <v>0</v>
      </c>
      <c r="D5115">
        <f t="shared" ca="1" si="238"/>
        <v>4556.3296173100753</v>
      </c>
    </row>
    <row r="5116" spans="2:4" x14ac:dyDescent="0.25">
      <c r="B5116">
        <f t="shared" ca="1" si="239"/>
        <v>54500.659265924514</v>
      </c>
      <c r="C5116">
        <f t="shared" ca="1" si="237"/>
        <v>0</v>
      </c>
      <c r="D5116">
        <f t="shared" ca="1" si="238"/>
        <v>14500.659265924514</v>
      </c>
    </row>
    <row r="5117" spans="2:4" x14ac:dyDescent="0.25">
      <c r="B5117">
        <f t="shared" ca="1" si="239"/>
        <v>46400.623060377431</v>
      </c>
      <c r="C5117">
        <f t="shared" ca="1" si="237"/>
        <v>0</v>
      </c>
      <c r="D5117">
        <f t="shared" ca="1" si="238"/>
        <v>6400.6230603774311</v>
      </c>
    </row>
    <row r="5118" spans="2:4" x14ac:dyDescent="0.25">
      <c r="B5118">
        <f t="shared" ca="1" si="239"/>
        <v>49447.570677315452</v>
      </c>
      <c r="C5118">
        <f t="shared" ca="1" si="237"/>
        <v>0</v>
      </c>
      <c r="D5118">
        <f t="shared" ca="1" si="238"/>
        <v>9447.5706773154525</v>
      </c>
    </row>
    <row r="5119" spans="2:4" x14ac:dyDescent="0.25">
      <c r="B5119">
        <f t="shared" ca="1" si="239"/>
        <v>49014.475218105508</v>
      </c>
      <c r="C5119">
        <f t="shared" ca="1" si="237"/>
        <v>0</v>
      </c>
      <c r="D5119">
        <f t="shared" ca="1" si="238"/>
        <v>9014.4752181055082</v>
      </c>
    </row>
    <row r="5120" spans="2:4" x14ac:dyDescent="0.25">
      <c r="B5120">
        <f t="shared" ca="1" si="239"/>
        <v>48624.594563915321</v>
      </c>
      <c r="C5120">
        <f t="shared" ca="1" si="237"/>
        <v>0</v>
      </c>
      <c r="D5120">
        <f t="shared" ca="1" si="238"/>
        <v>8624.5945639153215</v>
      </c>
    </row>
    <row r="5121" spans="2:4" x14ac:dyDescent="0.25">
      <c r="B5121">
        <f t="shared" ca="1" si="239"/>
        <v>38929.614687082758</v>
      </c>
      <c r="C5121">
        <f t="shared" ca="1" si="237"/>
        <v>1070.3853129172421</v>
      </c>
      <c r="D5121">
        <f t="shared" ca="1" si="238"/>
        <v>0</v>
      </c>
    </row>
    <row r="5122" spans="2:4" x14ac:dyDescent="0.25">
      <c r="B5122">
        <f t="shared" ca="1" si="239"/>
        <v>45491.885634621649</v>
      </c>
      <c r="C5122">
        <f t="shared" ca="1" si="237"/>
        <v>0</v>
      </c>
      <c r="D5122">
        <f t="shared" ca="1" si="238"/>
        <v>5491.8856346216489</v>
      </c>
    </row>
    <row r="5123" spans="2:4" x14ac:dyDescent="0.25">
      <c r="B5123">
        <f t="shared" ca="1" si="239"/>
        <v>45263.714556909013</v>
      </c>
      <c r="C5123">
        <f t="shared" ca="1" si="237"/>
        <v>0</v>
      </c>
      <c r="D5123">
        <f t="shared" ca="1" si="238"/>
        <v>5263.7145569090135</v>
      </c>
    </row>
    <row r="5124" spans="2:4" x14ac:dyDescent="0.25">
      <c r="B5124">
        <f t="shared" ca="1" si="239"/>
        <v>44437.163392886672</v>
      </c>
      <c r="C5124">
        <f t="shared" ca="1" si="237"/>
        <v>0</v>
      </c>
      <c r="D5124">
        <f t="shared" ca="1" si="238"/>
        <v>4437.1633928866722</v>
      </c>
    </row>
    <row r="5125" spans="2:4" x14ac:dyDescent="0.25">
      <c r="B5125">
        <f t="shared" ca="1" si="239"/>
        <v>48578.063962728251</v>
      </c>
      <c r="C5125">
        <f t="shared" ca="1" si="237"/>
        <v>0</v>
      </c>
      <c r="D5125">
        <f t="shared" ca="1" si="238"/>
        <v>8578.0639627282508</v>
      </c>
    </row>
    <row r="5126" spans="2:4" x14ac:dyDescent="0.25">
      <c r="B5126">
        <f t="shared" ca="1" si="239"/>
        <v>44421.901568408502</v>
      </c>
      <c r="C5126">
        <f t="shared" ca="1" si="237"/>
        <v>0</v>
      </c>
      <c r="D5126">
        <f t="shared" ca="1" si="238"/>
        <v>4421.9015684085025</v>
      </c>
    </row>
    <row r="5127" spans="2:4" x14ac:dyDescent="0.25">
      <c r="B5127">
        <f t="shared" ca="1" si="239"/>
        <v>50655.094394174477</v>
      </c>
      <c r="C5127">
        <f t="shared" ca="1" si="237"/>
        <v>0</v>
      </c>
      <c r="D5127">
        <f t="shared" ca="1" si="238"/>
        <v>10655.094394174477</v>
      </c>
    </row>
    <row r="5128" spans="2:4" x14ac:dyDescent="0.25">
      <c r="B5128">
        <f t="shared" ca="1" si="239"/>
        <v>45339.055918363287</v>
      </c>
      <c r="C5128">
        <f t="shared" ca="1" si="237"/>
        <v>0</v>
      </c>
      <c r="D5128">
        <f t="shared" ca="1" si="238"/>
        <v>5339.0559183632868</v>
      </c>
    </row>
    <row r="5129" spans="2:4" x14ac:dyDescent="0.25">
      <c r="B5129">
        <f t="shared" ca="1" si="239"/>
        <v>45984.839041036073</v>
      </c>
      <c r="C5129">
        <f t="shared" ca="1" si="237"/>
        <v>0</v>
      </c>
      <c r="D5129">
        <f t="shared" ca="1" si="238"/>
        <v>5984.8390410360735</v>
      </c>
    </row>
    <row r="5130" spans="2:4" x14ac:dyDescent="0.25">
      <c r="B5130">
        <f t="shared" ca="1" si="239"/>
        <v>50303.400176619652</v>
      </c>
      <c r="C5130">
        <f t="shared" ca="1" si="237"/>
        <v>0</v>
      </c>
      <c r="D5130">
        <f t="shared" ca="1" si="238"/>
        <v>10303.400176619652</v>
      </c>
    </row>
    <row r="5131" spans="2:4" x14ac:dyDescent="0.25">
      <c r="B5131">
        <f t="shared" ca="1" si="239"/>
        <v>41833.81427523365</v>
      </c>
      <c r="C5131">
        <f t="shared" ca="1" si="237"/>
        <v>0</v>
      </c>
      <c r="D5131">
        <f t="shared" ca="1" si="238"/>
        <v>1833.8142752336498</v>
      </c>
    </row>
    <row r="5132" spans="2:4" x14ac:dyDescent="0.25">
      <c r="B5132">
        <f t="shared" ca="1" si="239"/>
        <v>51711.115414190353</v>
      </c>
      <c r="C5132">
        <f t="shared" ref="C5132:C5195" ca="1" si="240">IF(MAX($B$2-B5132)&lt;0,0,$B$2-B5132)</f>
        <v>0</v>
      </c>
      <c r="D5132">
        <f t="shared" ref="D5132:D5195" ca="1" si="241">IF(MAX(B5132-$B$2)&lt;0,0,B5132-$B$2)</f>
        <v>11711.115414190353</v>
      </c>
    </row>
    <row r="5133" spans="2:4" x14ac:dyDescent="0.25">
      <c r="B5133">
        <f t="shared" ref="B5133:B5196" ca="1" si="242">$B$1*EXP((($B$4-($B$3^2)/2)*$B$5+$B$3*SQRT($B$5)*NORMSINV(RAND())))</f>
        <v>58915.599280952272</v>
      </c>
      <c r="C5133">
        <f t="shared" ca="1" si="240"/>
        <v>0</v>
      </c>
      <c r="D5133">
        <f t="shared" ca="1" si="241"/>
        <v>18915.599280952272</v>
      </c>
    </row>
    <row r="5134" spans="2:4" x14ac:dyDescent="0.25">
      <c r="B5134">
        <f t="shared" ca="1" si="242"/>
        <v>44113.006812711574</v>
      </c>
      <c r="C5134">
        <f t="shared" ca="1" si="240"/>
        <v>0</v>
      </c>
      <c r="D5134">
        <f t="shared" ca="1" si="241"/>
        <v>4113.0068127115737</v>
      </c>
    </row>
    <row r="5135" spans="2:4" x14ac:dyDescent="0.25">
      <c r="B5135">
        <f t="shared" ca="1" si="242"/>
        <v>39580.331728765268</v>
      </c>
      <c r="C5135">
        <f t="shared" ca="1" si="240"/>
        <v>419.66827123473195</v>
      </c>
      <c r="D5135">
        <f t="shared" ca="1" si="241"/>
        <v>0</v>
      </c>
    </row>
    <row r="5136" spans="2:4" x14ac:dyDescent="0.25">
      <c r="B5136">
        <f t="shared" ca="1" si="242"/>
        <v>41080.768720020351</v>
      </c>
      <c r="C5136">
        <f t="shared" ca="1" si="240"/>
        <v>0</v>
      </c>
      <c r="D5136">
        <f t="shared" ca="1" si="241"/>
        <v>1080.7687200203509</v>
      </c>
    </row>
    <row r="5137" spans="2:4" x14ac:dyDescent="0.25">
      <c r="B5137">
        <f t="shared" ca="1" si="242"/>
        <v>44357.105561161108</v>
      </c>
      <c r="C5137">
        <f t="shared" ca="1" si="240"/>
        <v>0</v>
      </c>
      <c r="D5137">
        <f t="shared" ca="1" si="241"/>
        <v>4357.1055611611082</v>
      </c>
    </row>
    <row r="5138" spans="2:4" x14ac:dyDescent="0.25">
      <c r="B5138">
        <f t="shared" ca="1" si="242"/>
        <v>49066.008509156127</v>
      </c>
      <c r="C5138">
        <f t="shared" ca="1" si="240"/>
        <v>0</v>
      </c>
      <c r="D5138">
        <f t="shared" ca="1" si="241"/>
        <v>9066.0085091561268</v>
      </c>
    </row>
    <row r="5139" spans="2:4" x14ac:dyDescent="0.25">
      <c r="B5139">
        <f t="shared" ca="1" si="242"/>
        <v>47762.562173400962</v>
      </c>
      <c r="C5139">
        <f t="shared" ca="1" si="240"/>
        <v>0</v>
      </c>
      <c r="D5139">
        <f t="shared" ca="1" si="241"/>
        <v>7762.5621734009619</v>
      </c>
    </row>
    <row r="5140" spans="2:4" x14ac:dyDescent="0.25">
      <c r="B5140">
        <f t="shared" ca="1" si="242"/>
        <v>39642.219891301975</v>
      </c>
      <c r="C5140">
        <f t="shared" ca="1" si="240"/>
        <v>357.78010869802529</v>
      </c>
      <c r="D5140">
        <f t="shared" ca="1" si="241"/>
        <v>0</v>
      </c>
    </row>
    <row r="5141" spans="2:4" x14ac:dyDescent="0.25">
      <c r="B5141">
        <f t="shared" ca="1" si="242"/>
        <v>45840.696692872931</v>
      </c>
      <c r="C5141">
        <f t="shared" ca="1" si="240"/>
        <v>0</v>
      </c>
      <c r="D5141">
        <f t="shared" ca="1" si="241"/>
        <v>5840.6966928729307</v>
      </c>
    </row>
    <row r="5142" spans="2:4" x14ac:dyDescent="0.25">
      <c r="B5142">
        <f t="shared" ca="1" si="242"/>
        <v>47074.113623710422</v>
      </c>
      <c r="C5142">
        <f t="shared" ca="1" si="240"/>
        <v>0</v>
      </c>
      <c r="D5142">
        <f t="shared" ca="1" si="241"/>
        <v>7074.113623710422</v>
      </c>
    </row>
    <row r="5143" spans="2:4" x14ac:dyDescent="0.25">
      <c r="B5143">
        <f t="shared" ca="1" si="242"/>
        <v>43620.568777696957</v>
      </c>
      <c r="C5143">
        <f t="shared" ca="1" si="240"/>
        <v>0</v>
      </c>
      <c r="D5143">
        <f t="shared" ca="1" si="241"/>
        <v>3620.5687776969571</v>
      </c>
    </row>
    <row r="5144" spans="2:4" x14ac:dyDescent="0.25">
      <c r="B5144">
        <f t="shared" ca="1" si="242"/>
        <v>48874.532417337796</v>
      </c>
      <c r="C5144">
        <f t="shared" ca="1" si="240"/>
        <v>0</v>
      </c>
      <c r="D5144">
        <f t="shared" ca="1" si="241"/>
        <v>8874.5324173377958</v>
      </c>
    </row>
    <row r="5145" spans="2:4" x14ac:dyDescent="0.25">
      <c r="B5145">
        <f t="shared" ca="1" si="242"/>
        <v>49392.472272820502</v>
      </c>
      <c r="C5145">
        <f t="shared" ca="1" si="240"/>
        <v>0</v>
      </c>
      <c r="D5145">
        <f t="shared" ca="1" si="241"/>
        <v>9392.4722728205015</v>
      </c>
    </row>
    <row r="5146" spans="2:4" x14ac:dyDescent="0.25">
      <c r="B5146">
        <f t="shared" ca="1" si="242"/>
        <v>40035.642407331106</v>
      </c>
      <c r="C5146">
        <f t="shared" ca="1" si="240"/>
        <v>0</v>
      </c>
      <c r="D5146">
        <f t="shared" ca="1" si="241"/>
        <v>35.642407331106369</v>
      </c>
    </row>
    <row r="5147" spans="2:4" x14ac:dyDescent="0.25">
      <c r="B5147">
        <f t="shared" ca="1" si="242"/>
        <v>50755.751206391324</v>
      </c>
      <c r="C5147">
        <f t="shared" ca="1" si="240"/>
        <v>0</v>
      </c>
      <c r="D5147">
        <f t="shared" ca="1" si="241"/>
        <v>10755.751206391324</v>
      </c>
    </row>
    <row r="5148" spans="2:4" x14ac:dyDescent="0.25">
      <c r="B5148">
        <f t="shared" ca="1" si="242"/>
        <v>54279.969485009213</v>
      </c>
      <c r="C5148">
        <f t="shared" ca="1" si="240"/>
        <v>0</v>
      </c>
      <c r="D5148">
        <f t="shared" ca="1" si="241"/>
        <v>14279.969485009213</v>
      </c>
    </row>
    <row r="5149" spans="2:4" x14ac:dyDescent="0.25">
      <c r="B5149">
        <f t="shared" ca="1" si="242"/>
        <v>49117.283922962029</v>
      </c>
      <c r="C5149">
        <f t="shared" ca="1" si="240"/>
        <v>0</v>
      </c>
      <c r="D5149">
        <f t="shared" ca="1" si="241"/>
        <v>9117.2839229620295</v>
      </c>
    </row>
    <row r="5150" spans="2:4" x14ac:dyDescent="0.25">
      <c r="B5150">
        <f t="shared" ca="1" si="242"/>
        <v>47713.309212224216</v>
      </c>
      <c r="C5150">
        <f t="shared" ca="1" si="240"/>
        <v>0</v>
      </c>
      <c r="D5150">
        <f t="shared" ca="1" si="241"/>
        <v>7713.309212224216</v>
      </c>
    </row>
    <row r="5151" spans="2:4" x14ac:dyDescent="0.25">
      <c r="B5151">
        <f t="shared" ca="1" si="242"/>
        <v>44584.568752406725</v>
      </c>
      <c r="C5151">
        <f t="shared" ca="1" si="240"/>
        <v>0</v>
      </c>
      <c r="D5151">
        <f t="shared" ca="1" si="241"/>
        <v>4584.5687524067253</v>
      </c>
    </row>
    <row r="5152" spans="2:4" x14ac:dyDescent="0.25">
      <c r="B5152">
        <f t="shared" ca="1" si="242"/>
        <v>39415.061044526265</v>
      </c>
      <c r="C5152">
        <f t="shared" ca="1" si="240"/>
        <v>584.9389554737354</v>
      </c>
      <c r="D5152">
        <f t="shared" ca="1" si="241"/>
        <v>0</v>
      </c>
    </row>
    <row r="5153" spans="2:4" x14ac:dyDescent="0.25">
      <c r="B5153">
        <f t="shared" ca="1" si="242"/>
        <v>48912.319143504661</v>
      </c>
      <c r="C5153">
        <f t="shared" ca="1" si="240"/>
        <v>0</v>
      </c>
      <c r="D5153">
        <f t="shared" ca="1" si="241"/>
        <v>8912.319143504661</v>
      </c>
    </row>
    <row r="5154" spans="2:4" x14ac:dyDescent="0.25">
      <c r="B5154">
        <f t="shared" ca="1" si="242"/>
        <v>45226.862794493194</v>
      </c>
      <c r="C5154">
        <f t="shared" ca="1" si="240"/>
        <v>0</v>
      </c>
      <c r="D5154">
        <f t="shared" ca="1" si="241"/>
        <v>5226.8627944931941</v>
      </c>
    </row>
    <row r="5155" spans="2:4" x14ac:dyDescent="0.25">
      <c r="B5155">
        <f t="shared" ca="1" si="242"/>
        <v>43321.236248871806</v>
      </c>
      <c r="C5155">
        <f t="shared" ca="1" si="240"/>
        <v>0</v>
      </c>
      <c r="D5155">
        <f t="shared" ca="1" si="241"/>
        <v>3321.2362488718063</v>
      </c>
    </row>
    <row r="5156" spans="2:4" x14ac:dyDescent="0.25">
      <c r="B5156">
        <f t="shared" ca="1" si="242"/>
        <v>46799.782963034908</v>
      </c>
      <c r="C5156">
        <f t="shared" ca="1" si="240"/>
        <v>0</v>
      </c>
      <c r="D5156">
        <f t="shared" ca="1" si="241"/>
        <v>6799.7829630349079</v>
      </c>
    </row>
    <row r="5157" spans="2:4" x14ac:dyDescent="0.25">
      <c r="B5157">
        <f t="shared" ca="1" si="242"/>
        <v>44333.807513523483</v>
      </c>
      <c r="C5157">
        <f t="shared" ca="1" si="240"/>
        <v>0</v>
      </c>
      <c r="D5157">
        <f t="shared" ca="1" si="241"/>
        <v>4333.8075135234831</v>
      </c>
    </row>
    <row r="5158" spans="2:4" x14ac:dyDescent="0.25">
      <c r="B5158">
        <f t="shared" ca="1" si="242"/>
        <v>47169.934001012807</v>
      </c>
      <c r="C5158">
        <f t="shared" ca="1" si="240"/>
        <v>0</v>
      </c>
      <c r="D5158">
        <f t="shared" ca="1" si="241"/>
        <v>7169.9340010128071</v>
      </c>
    </row>
    <row r="5159" spans="2:4" x14ac:dyDescent="0.25">
      <c r="B5159">
        <f t="shared" ca="1" si="242"/>
        <v>43356.715902372329</v>
      </c>
      <c r="C5159">
        <f t="shared" ca="1" si="240"/>
        <v>0</v>
      </c>
      <c r="D5159">
        <f t="shared" ca="1" si="241"/>
        <v>3356.7159023723289</v>
      </c>
    </row>
    <row r="5160" spans="2:4" x14ac:dyDescent="0.25">
      <c r="B5160">
        <f t="shared" ca="1" si="242"/>
        <v>46981.282013992146</v>
      </c>
      <c r="C5160">
        <f t="shared" ca="1" si="240"/>
        <v>0</v>
      </c>
      <c r="D5160">
        <f t="shared" ca="1" si="241"/>
        <v>6981.2820139921459</v>
      </c>
    </row>
    <row r="5161" spans="2:4" x14ac:dyDescent="0.25">
      <c r="B5161">
        <f t="shared" ca="1" si="242"/>
        <v>47797.383814285313</v>
      </c>
      <c r="C5161">
        <f t="shared" ca="1" si="240"/>
        <v>0</v>
      </c>
      <c r="D5161">
        <f t="shared" ca="1" si="241"/>
        <v>7797.3838142853128</v>
      </c>
    </row>
    <row r="5162" spans="2:4" x14ac:dyDescent="0.25">
      <c r="B5162">
        <f t="shared" ca="1" si="242"/>
        <v>49286.313140135891</v>
      </c>
      <c r="C5162">
        <f t="shared" ca="1" si="240"/>
        <v>0</v>
      </c>
      <c r="D5162">
        <f t="shared" ca="1" si="241"/>
        <v>9286.3131401358914</v>
      </c>
    </row>
    <row r="5163" spans="2:4" x14ac:dyDescent="0.25">
      <c r="B5163">
        <f t="shared" ca="1" si="242"/>
        <v>57449.725361351491</v>
      </c>
      <c r="C5163">
        <f t="shared" ca="1" si="240"/>
        <v>0</v>
      </c>
      <c r="D5163">
        <f t="shared" ca="1" si="241"/>
        <v>17449.725361351491</v>
      </c>
    </row>
    <row r="5164" spans="2:4" x14ac:dyDescent="0.25">
      <c r="B5164">
        <f t="shared" ca="1" si="242"/>
        <v>50518.33282735978</v>
      </c>
      <c r="C5164">
        <f t="shared" ca="1" si="240"/>
        <v>0</v>
      </c>
      <c r="D5164">
        <f t="shared" ca="1" si="241"/>
        <v>10518.33282735978</v>
      </c>
    </row>
    <row r="5165" spans="2:4" x14ac:dyDescent="0.25">
      <c r="B5165">
        <f t="shared" ca="1" si="242"/>
        <v>47642.070860272914</v>
      </c>
      <c r="C5165">
        <f t="shared" ca="1" si="240"/>
        <v>0</v>
      </c>
      <c r="D5165">
        <f t="shared" ca="1" si="241"/>
        <v>7642.0708602729137</v>
      </c>
    </row>
    <row r="5166" spans="2:4" x14ac:dyDescent="0.25">
      <c r="B5166">
        <f t="shared" ca="1" si="242"/>
        <v>45603.773913143857</v>
      </c>
      <c r="C5166">
        <f t="shared" ca="1" si="240"/>
        <v>0</v>
      </c>
      <c r="D5166">
        <f t="shared" ca="1" si="241"/>
        <v>5603.7739131438575</v>
      </c>
    </row>
    <row r="5167" spans="2:4" x14ac:dyDescent="0.25">
      <c r="B5167">
        <f t="shared" ca="1" si="242"/>
        <v>43168.48043496727</v>
      </c>
      <c r="C5167">
        <f t="shared" ca="1" si="240"/>
        <v>0</v>
      </c>
      <c r="D5167">
        <f t="shared" ca="1" si="241"/>
        <v>3168.4804349672704</v>
      </c>
    </row>
    <row r="5168" spans="2:4" x14ac:dyDescent="0.25">
      <c r="B5168">
        <f t="shared" ca="1" si="242"/>
        <v>56996.428050393239</v>
      </c>
      <c r="C5168">
        <f t="shared" ca="1" si="240"/>
        <v>0</v>
      </c>
      <c r="D5168">
        <f t="shared" ca="1" si="241"/>
        <v>16996.428050393239</v>
      </c>
    </row>
    <row r="5169" spans="2:4" x14ac:dyDescent="0.25">
      <c r="B5169">
        <f t="shared" ca="1" si="242"/>
        <v>50005.65841500985</v>
      </c>
      <c r="C5169">
        <f t="shared" ca="1" si="240"/>
        <v>0</v>
      </c>
      <c r="D5169">
        <f t="shared" ca="1" si="241"/>
        <v>10005.65841500985</v>
      </c>
    </row>
    <row r="5170" spans="2:4" x14ac:dyDescent="0.25">
      <c r="B5170">
        <f t="shared" ca="1" si="242"/>
        <v>44962.240582301398</v>
      </c>
      <c r="C5170">
        <f t="shared" ca="1" si="240"/>
        <v>0</v>
      </c>
      <c r="D5170">
        <f t="shared" ca="1" si="241"/>
        <v>4962.2405823013978</v>
      </c>
    </row>
    <row r="5171" spans="2:4" x14ac:dyDescent="0.25">
      <c r="B5171">
        <f t="shared" ca="1" si="242"/>
        <v>42390.346859928555</v>
      </c>
      <c r="C5171">
        <f t="shared" ca="1" si="240"/>
        <v>0</v>
      </c>
      <c r="D5171">
        <f t="shared" ca="1" si="241"/>
        <v>2390.3468599285552</v>
      </c>
    </row>
    <row r="5172" spans="2:4" x14ac:dyDescent="0.25">
      <c r="B5172">
        <f t="shared" ca="1" si="242"/>
        <v>44449.80612500912</v>
      </c>
      <c r="C5172">
        <f t="shared" ca="1" si="240"/>
        <v>0</v>
      </c>
      <c r="D5172">
        <f t="shared" ca="1" si="241"/>
        <v>4449.8061250091196</v>
      </c>
    </row>
    <row r="5173" spans="2:4" x14ac:dyDescent="0.25">
      <c r="B5173">
        <f t="shared" ca="1" si="242"/>
        <v>48370.445769997874</v>
      </c>
      <c r="C5173">
        <f t="shared" ca="1" si="240"/>
        <v>0</v>
      </c>
      <c r="D5173">
        <f t="shared" ca="1" si="241"/>
        <v>8370.4457699978739</v>
      </c>
    </row>
    <row r="5174" spans="2:4" x14ac:dyDescent="0.25">
      <c r="B5174">
        <f t="shared" ca="1" si="242"/>
        <v>41726.409675841634</v>
      </c>
      <c r="C5174">
        <f t="shared" ca="1" si="240"/>
        <v>0</v>
      </c>
      <c r="D5174">
        <f t="shared" ca="1" si="241"/>
        <v>1726.4096758416345</v>
      </c>
    </row>
    <row r="5175" spans="2:4" x14ac:dyDescent="0.25">
      <c r="B5175">
        <f t="shared" ca="1" si="242"/>
        <v>41819.888362286925</v>
      </c>
      <c r="C5175">
        <f t="shared" ca="1" si="240"/>
        <v>0</v>
      </c>
      <c r="D5175">
        <f t="shared" ca="1" si="241"/>
        <v>1819.8883622869253</v>
      </c>
    </row>
    <row r="5176" spans="2:4" x14ac:dyDescent="0.25">
      <c r="B5176">
        <f t="shared" ca="1" si="242"/>
        <v>41602.477639286546</v>
      </c>
      <c r="C5176">
        <f t="shared" ca="1" si="240"/>
        <v>0</v>
      </c>
      <c r="D5176">
        <f t="shared" ca="1" si="241"/>
        <v>1602.477639286546</v>
      </c>
    </row>
    <row r="5177" spans="2:4" x14ac:dyDescent="0.25">
      <c r="B5177">
        <f t="shared" ca="1" si="242"/>
        <v>48852.798629916739</v>
      </c>
      <c r="C5177">
        <f t="shared" ca="1" si="240"/>
        <v>0</v>
      </c>
      <c r="D5177">
        <f t="shared" ca="1" si="241"/>
        <v>8852.7986299167387</v>
      </c>
    </row>
    <row r="5178" spans="2:4" x14ac:dyDescent="0.25">
      <c r="B5178">
        <f t="shared" ca="1" si="242"/>
        <v>42823.406063945098</v>
      </c>
      <c r="C5178">
        <f t="shared" ca="1" si="240"/>
        <v>0</v>
      </c>
      <c r="D5178">
        <f t="shared" ca="1" si="241"/>
        <v>2823.4060639450981</v>
      </c>
    </row>
    <row r="5179" spans="2:4" x14ac:dyDescent="0.25">
      <c r="B5179">
        <f t="shared" ca="1" si="242"/>
        <v>43044.846943438934</v>
      </c>
      <c r="C5179">
        <f t="shared" ca="1" si="240"/>
        <v>0</v>
      </c>
      <c r="D5179">
        <f t="shared" ca="1" si="241"/>
        <v>3044.8469434389335</v>
      </c>
    </row>
    <row r="5180" spans="2:4" x14ac:dyDescent="0.25">
      <c r="B5180">
        <f t="shared" ca="1" si="242"/>
        <v>40405.640426231745</v>
      </c>
      <c r="C5180">
        <f t="shared" ca="1" si="240"/>
        <v>0</v>
      </c>
      <c r="D5180">
        <f t="shared" ca="1" si="241"/>
        <v>405.64042623174464</v>
      </c>
    </row>
    <row r="5181" spans="2:4" x14ac:dyDescent="0.25">
      <c r="B5181">
        <f t="shared" ca="1" si="242"/>
        <v>53920.472922768597</v>
      </c>
      <c r="C5181">
        <f t="shared" ca="1" si="240"/>
        <v>0</v>
      </c>
      <c r="D5181">
        <f t="shared" ca="1" si="241"/>
        <v>13920.472922768597</v>
      </c>
    </row>
    <row r="5182" spans="2:4" x14ac:dyDescent="0.25">
      <c r="B5182">
        <f t="shared" ca="1" si="242"/>
        <v>41826.886330068286</v>
      </c>
      <c r="C5182">
        <f t="shared" ca="1" si="240"/>
        <v>0</v>
      </c>
      <c r="D5182">
        <f t="shared" ca="1" si="241"/>
        <v>1826.886330068286</v>
      </c>
    </row>
    <row r="5183" spans="2:4" x14ac:dyDescent="0.25">
      <c r="B5183">
        <f t="shared" ca="1" si="242"/>
        <v>42695.586297139562</v>
      </c>
      <c r="C5183">
        <f t="shared" ca="1" si="240"/>
        <v>0</v>
      </c>
      <c r="D5183">
        <f t="shared" ca="1" si="241"/>
        <v>2695.5862971395618</v>
      </c>
    </row>
    <row r="5184" spans="2:4" x14ac:dyDescent="0.25">
      <c r="B5184">
        <f t="shared" ca="1" si="242"/>
        <v>43465.888333126015</v>
      </c>
      <c r="C5184">
        <f t="shared" ca="1" si="240"/>
        <v>0</v>
      </c>
      <c r="D5184">
        <f t="shared" ca="1" si="241"/>
        <v>3465.8883331260149</v>
      </c>
    </row>
    <row r="5185" spans="2:4" x14ac:dyDescent="0.25">
      <c r="B5185">
        <f t="shared" ca="1" si="242"/>
        <v>43399.121158278074</v>
      </c>
      <c r="C5185">
        <f t="shared" ca="1" si="240"/>
        <v>0</v>
      </c>
      <c r="D5185">
        <f t="shared" ca="1" si="241"/>
        <v>3399.1211582780743</v>
      </c>
    </row>
    <row r="5186" spans="2:4" x14ac:dyDescent="0.25">
      <c r="B5186">
        <f t="shared" ca="1" si="242"/>
        <v>52267.466691003065</v>
      </c>
      <c r="C5186">
        <f t="shared" ca="1" si="240"/>
        <v>0</v>
      </c>
      <c r="D5186">
        <f t="shared" ca="1" si="241"/>
        <v>12267.466691003065</v>
      </c>
    </row>
    <row r="5187" spans="2:4" x14ac:dyDescent="0.25">
      <c r="B5187">
        <f t="shared" ca="1" si="242"/>
        <v>48332.08692753459</v>
      </c>
      <c r="C5187">
        <f t="shared" ca="1" si="240"/>
        <v>0</v>
      </c>
      <c r="D5187">
        <f t="shared" ca="1" si="241"/>
        <v>8332.0869275345904</v>
      </c>
    </row>
    <row r="5188" spans="2:4" x14ac:dyDescent="0.25">
      <c r="B5188">
        <f t="shared" ca="1" si="242"/>
        <v>38044.497512427421</v>
      </c>
      <c r="C5188">
        <f t="shared" ca="1" si="240"/>
        <v>1955.5024875725794</v>
      </c>
      <c r="D5188">
        <f t="shared" ca="1" si="241"/>
        <v>0</v>
      </c>
    </row>
    <row r="5189" spans="2:4" x14ac:dyDescent="0.25">
      <c r="B5189">
        <f t="shared" ca="1" si="242"/>
        <v>45692.477945654828</v>
      </c>
      <c r="C5189">
        <f t="shared" ca="1" si="240"/>
        <v>0</v>
      </c>
      <c r="D5189">
        <f t="shared" ca="1" si="241"/>
        <v>5692.4779456548276</v>
      </c>
    </row>
    <row r="5190" spans="2:4" x14ac:dyDescent="0.25">
      <c r="B5190">
        <f t="shared" ca="1" si="242"/>
        <v>46007.756253034102</v>
      </c>
      <c r="C5190">
        <f t="shared" ca="1" si="240"/>
        <v>0</v>
      </c>
      <c r="D5190">
        <f t="shared" ca="1" si="241"/>
        <v>6007.756253034102</v>
      </c>
    </row>
    <row r="5191" spans="2:4" x14ac:dyDescent="0.25">
      <c r="B5191">
        <f t="shared" ca="1" si="242"/>
        <v>43482.53929899395</v>
      </c>
      <c r="C5191">
        <f t="shared" ca="1" si="240"/>
        <v>0</v>
      </c>
      <c r="D5191">
        <f t="shared" ca="1" si="241"/>
        <v>3482.5392989939501</v>
      </c>
    </row>
    <row r="5192" spans="2:4" x14ac:dyDescent="0.25">
      <c r="B5192">
        <f t="shared" ca="1" si="242"/>
        <v>42962.671367821524</v>
      </c>
      <c r="C5192">
        <f t="shared" ca="1" si="240"/>
        <v>0</v>
      </c>
      <c r="D5192">
        <f t="shared" ca="1" si="241"/>
        <v>2962.6713678215237</v>
      </c>
    </row>
    <row r="5193" spans="2:4" x14ac:dyDescent="0.25">
      <c r="B5193">
        <f t="shared" ca="1" si="242"/>
        <v>40675.887321222057</v>
      </c>
      <c r="C5193">
        <f t="shared" ca="1" si="240"/>
        <v>0</v>
      </c>
      <c r="D5193">
        <f t="shared" ca="1" si="241"/>
        <v>675.88732122205693</v>
      </c>
    </row>
    <row r="5194" spans="2:4" x14ac:dyDescent="0.25">
      <c r="B5194">
        <f t="shared" ca="1" si="242"/>
        <v>53441.788781294053</v>
      </c>
      <c r="C5194">
        <f t="shared" ca="1" si="240"/>
        <v>0</v>
      </c>
      <c r="D5194">
        <f t="shared" ca="1" si="241"/>
        <v>13441.788781294053</v>
      </c>
    </row>
    <row r="5195" spans="2:4" x14ac:dyDescent="0.25">
      <c r="B5195">
        <f t="shared" ca="1" si="242"/>
        <v>45559.790749030799</v>
      </c>
      <c r="C5195">
        <f t="shared" ca="1" si="240"/>
        <v>0</v>
      </c>
      <c r="D5195">
        <f t="shared" ca="1" si="241"/>
        <v>5559.7907490307989</v>
      </c>
    </row>
    <row r="5196" spans="2:4" x14ac:dyDescent="0.25">
      <c r="B5196">
        <f t="shared" ca="1" si="242"/>
        <v>44832.06832807402</v>
      </c>
      <c r="C5196">
        <f t="shared" ref="C5196:C5259" ca="1" si="243">IF(MAX($B$2-B5196)&lt;0,0,$B$2-B5196)</f>
        <v>0</v>
      </c>
      <c r="D5196">
        <f t="shared" ref="D5196:D5259" ca="1" si="244">IF(MAX(B5196-$B$2)&lt;0,0,B5196-$B$2)</f>
        <v>4832.0683280740195</v>
      </c>
    </row>
    <row r="5197" spans="2:4" x14ac:dyDescent="0.25">
      <c r="B5197">
        <f t="shared" ref="B5197:B5260" ca="1" si="245">$B$1*EXP((($B$4-($B$3^2)/2)*$B$5+$B$3*SQRT($B$5)*NORMSINV(RAND())))</f>
        <v>41379.832529720348</v>
      </c>
      <c r="C5197">
        <f t="shared" ca="1" si="243"/>
        <v>0</v>
      </c>
      <c r="D5197">
        <f t="shared" ca="1" si="244"/>
        <v>1379.8325297203482</v>
      </c>
    </row>
    <row r="5198" spans="2:4" x14ac:dyDescent="0.25">
      <c r="B5198">
        <f t="shared" ca="1" si="245"/>
        <v>34337.35247157405</v>
      </c>
      <c r="C5198">
        <f t="shared" ca="1" si="243"/>
        <v>5662.6475284259504</v>
      </c>
      <c r="D5198">
        <f t="shared" ca="1" si="244"/>
        <v>0</v>
      </c>
    </row>
    <row r="5199" spans="2:4" x14ac:dyDescent="0.25">
      <c r="B5199">
        <f t="shared" ca="1" si="245"/>
        <v>51561.758840045972</v>
      </c>
      <c r="C5199">
        <f t="shared" ca="1" si="243"/>
        <v>0</v>
      </c>
      <c r="D5199">
        <f t="shared" ca="1" si="244"/>
        <v>11561.758840045972</v>
      </c>
    </row>
    <row r="5200" spans="2:4" x14ac:dyDescent="0.25">
      <c r="B5200">
        <f t="shared" ca="1" si="245"/>
        <v>49656.377243776304</v>
      </c>
      <c r="C5200">
        <f t="shared" ca="1" si="243"/>
        <v>0</v>
      </c>
      <c r="D5200">
        <f t="shared" ca="1" si="244"/>
        <v>9656.3772437763037</v>
      </c>
    </row>
    <row r="5201" spans="2:4" x14ac:dyDescent="0.25">
      <c r="B5201">
        <f t="shared" ca="1" si="245"/>
        <v>45376.971641143478</v>
      </c>
      <c r="C5201">
        <f t="shared" ca="1" si="243"/>
        <v>0</v>
      </c>
      <c r="D5201">
        <f t="shared" ca="1" si="244"/>
        <v>5376.9716411434783</v>
      </c>
    </row>
    <row r="5202" spans="2:4" x14ac:dyDescent="0.25">
      <c r="B5202">
        <f t="shared" ca="1" si="245"/>
        <v>40683.395870715329</v>
      </c>
      <c r="C5202">
        <f t="shared" ca="1" si="243"/>
        <v>0</v>
      </c>
      <c r="D5202">
        <f t="shared" ca="1" si="244"/>
        <v>683.39587071532878</v>
      </c>
    </row>
    <row r="5203" spans="2:4" x14ac:dyDescent="0.25">
      <c r="B5203">
        <f t="shared" ca="1" si="245"/>
        <v>48852.686900658889</v>
      </c>
      <c r="C5203">
        <f t="shared" ca="1" si="243"/>
        <v>0</v>
      </c>
      <c r="D5203">
        <f t="shared" ca="1" si="244"/>
        <v>8852.6869006588895</v>
      </c>
    </row>
    <row r="5204" spans="2:4" x14ac:dyDescent="0.25">
      <c r="B5204">
        <f t="shared" ca="1" si="245"/>
        <v>40164.613916546536</v>
      </c>
      <c r="C5204">
        <f t="shared" ca="1" si="243"/>
        <v>0</v>
      </c>
      <c r="D5204">
        <f t="shared" ca="1" si="244"/>
        <v>164.61391654653562</v>
      </c>
    </row>
    <row r="5205" spans="2:4" x14ac:dyDescent="0.25">
      <c r="B5205">
        <f t="shared" ca="1" si="245"/>
        <v>40357.036629157032</v>
      </c>
      <c r="C5205">
        <f t="shared" ca="1" si="243"/>
        <v>0</v>
      </c>
      <c r="D5205">
        <f t="shared" ca="1" si="244"/>
        <v>357.03662915703171</v>
      </c>
    </row>
    <row r="5206" spans="2:4" x14ac:dyDescent="0.25">
      <c r="B5206">
        <f t="shared" ca="1" si="245"/>
        <v>45583.319158494494</v>
      </c>
      <c r="C5206">
        <f t="shared" ca="1" si="243"/>
        <v>0</v>
      </c>
      <c r="D5206">
        <f t="shared" ca="1" si="244"/>
        <v>5583.3191584944943</v>
      </c>
    </row>
    <row r="5207" spans="2:4" x14ac:dyDescent="0.25">
      <c r="B5207">
        <f t="shared" ca="1" si="245"/>
        <v>46013.929807522705</v>
      </c>
      <c r="C5207">
        <f t="shared" ca="1" si="243"/>
        <v>0</v>
      </c>
      <c r="D5207">
        <f t="shared" ca="1" si="244"/>
        <v>6013.9298075227052</v>
      </c>
    </row>
    <row r="5208" spans="2:4" x14ac:dyDescent="0.25">
      <c r="B5208">
        <f t="shared" ca="1" si="245"/>
        <v>45751.777917139254</v>
      </c>
      <c r="C5208">
        <f t="shared" ca="1" si="243"/>
        <v>0</v>
      </c>
      <c r="D5208">
        <f t="shared" ca="1" si="244"/>
        <v>5751.777917139254</v>
      </c>
    </row>
    <row r="5209" spans="2:4" x14ac:dyDescent="0.25">
      <c r="B5209">
        <f t="shared" ca="1" si="245"/>
        <v>51111.249583045523</v>
      </c>
      <c r="C5209">
        <f t="shared" ca="1" si="243"/>
        <v>0</v>
      </c>
      <c r="D5209">
        <f t="shared" ca="1" si="244"/>
        <v>11111.249583045523</v>
      </c>
    </row>
    <row r="5210" spans="2:4" x14ac:dyDescent="0.25">
      <c r="B5210">
        <f t="shared" ca="1" si="245"/>
        <v>42907.962674300528</v>
      </c>
      <c r="C5210">
        <f t="shared" ca="1" si="243"/>
        <v>0</v>
      </c>
      <c r="D5210">
        <f t="shared" ca="1" si="244"/>
        <v>2907.9626743005283</v>
      </c>
    </row>
    <row r="5211" spans="2:4" x14ac:dyDescent="0.25">
      <c r="B5211">
        <f t="shared" ca="1" si="245"/>
        <v>51424.96147968556</v>
      </c>
      <c r="C5211">
        <f t="shared" ca="1" si="243"/>
        <v>0</v>
      </c>
      <c r="D5211">
        <f t="shared" ca="1" si="244"/>
        <v>11424.96147968556</v>
      </c>
    </row>
    <row r="5212" spans="2:4" x14ac:dyDescent="0.25">
      <c r="B5212">
        <f t="shared" ca="1" si="245"/>
        <v>45997.778892424983</v>
      </c>
      <c r="C5212">
        <f t="shared" ca="1" si="243"/>
        <v>0</v>
      </c>
      <c r="D5212">
        <f t="shared" ca="1" si="244"/>
        <v>5997.7788924249835</v>
      </c>
    </row>
    <row r="5213" spans="2:4" x14ac:dyDescent="0.25">
      <c r="B5213">
        <f t="shared" ca="1" si="245"/>
        <v>37201.625439951567</v>
      </c>
      <c r="C5213">
        <f t="shared" ca="1" si="243"/>
        <v>2798.3745600484326</v>
      </c>
      <c r="D5213">
        <f t="shared" ca="1" si="244"/>
        <v>0</v>
      </c>
    </row>
    <row r="5214" spans="2:4" x14ac:dyDescent="0.25">
      <c r="B5214">
        <f t="shared" ca="1" si="245"/>
        <v>44303.424885186956</v>
      </c>
      <c r="C5214">
        <f t="shared" ca="1" si="243"/>
        <v>0</v>
      </c>
      <c r="D5214">
        <f t="shared" ca="1" si="244"/>
        <v>4303.4248851869561</v>
      </c>
    </row>
    <row r="5215" spans="2:4" x14ac:dyDescent="0.25">
      <c r="B5215">
        <f t="shared" ca="1" si="245"/>
        <v>42392.978592615829</v>
      </c>
      <c r="C5215">
        <f t="shared" ca="1" si="243"/>
        <v>0</v>
      </c>
      <c r="D5215">
        <f t="shared" ca="1" si="244"/>
        <v>2392.9785926158293</v>
      </c>
    </row>
    <row r="5216" spans="2:4" x14ac:dyDescent="0.25">
      <c r="B5216">
        <f t="shared" ca="1" si="245"/>
        <v>56126.122452121759</v>
      </c>
      <c r="C5216">
        <f t="shared" ca="1" si="243"/>
        <v>0</v>
      </c>
      <c r="D5216">
        <f t="shared" ca="1" si="244"/>
        <v>16126.122452121759</v>
      </c>
    </row>
    <row r="5217" spans="2:4" x14ac:dyDescent="0.25">
      <c r="B5217">
        <f t="shared" ca="1" si="245"/>
        <v>49066.48366129239</v>
      </c>
      <c r="C5217">
        <f t="shared" ca="1" si="243"/>
        <v>0</v>
      </c>
      <c r="D5217">
        <f t="shared" ca="1" si="244"/>
        <v>9066.48366129239</v>
      </c>
    </row>
    <row r="5218" spans="2:4" x14ac:dyDescent="0.25">
      <c r="B5218">
        <f t="shared" ca="1" si="245"/>
        <v>43591.526740971931</v>
      </c>
      <c r="C5218">
        <f t="shared" ca="1" si="243"/>
        <v>0</v>
      </c>
      <c r="D5218">
        <f t="shared" ca="1" si="244"/>
        <v>3591.5267409719308</v>
      </c>
    </row>
    <row r="5219" spans="2:4" x14ac:dyDescent="0.25">
      <c r="B5219">
        <f t="shared" ca="1" si="245"/>
        <v>50539.650199738237</v>
      </c>
      <c r="C5219">
        <f t="shared" ca="1" si="243"/>
        <v>0</v>
      </c>
      <c r="D5219">
        <f t="shared" ca="1" si="244"/>
        <v>10539.650199738237</v>
      </c>
    </row>
    <row r="5220" spans="2:4" x14ac:dyDescent="0.25">
      <c r="B5220">
        <f t="shared" ca="1" si="245"/>
        <v>49719.564111492335</v>
      </c>
      <c r="C5220">
        <f t="shared" ca="1" si="243"/>
        <v>0</v>
      </c>
      <c r="D5220">
        <f t="shared" ca="1" si="244"/>
        <v>9719.5641114923346</v>
      </c>
    </row>
    <row r="5221" spans="2:4" x14ac:dyDescent="0.25">
      <c r="B5221">
        <f t="shared" ca="1" si="245"/>
        <v>43464.156622817143</v>
      </c>
      <c r="C5221">
        <f t="shared" ca="1" si="243"/>
        <v>0</v>
      </c>
      <c r="D5221">
        <f t="shared" ca="1" si="244"/>
        <v>3464.1566228171432</v>
      </c>
    </row>
    <row r="5222" spans="2:4" x14ac:dyDescent="0.25">
      <c r="B5222">
        <f t="shared" ca="1" si="245"/>
        <v>50572.238485109025</v>
      </c>
      <c r="C5222">
        <f t="shared" ca="1" si="243"/>
        <v>0</v>
      </c>
      <c r="D5222">
        <f t="shared" ca="1" si="244"/>
        <v>10572.238485109025</v>
      </c>
    </row>
    <row r="5223" spans="2:4" x14ac:dyDescent="0.25">
      <c r="B5223">
        <f t="shared" ca="1" si="245"/>
        <v>39846.625070629212</v>
      </c>
      <c r="C5223">
        <f t="shared" ca="1" si="243"/>
        <v>153.37492937078787</v>
      </c>
      <c r="D5223">
        <f t="shared" ca="1" si="244"/>
        <v>0</v>
      </c>
    </row>
    <row r="5224" spans="2:4" x14ac:dyDescent="0.25">
      <c r="B5224">
        <f t="shared" ca="1" si="245"/>
        <v>42156.572211091436</v>
      </c>
      <c r="C5224">
        <f t="shared" ca="1" si="243"/>
        <v>0</v>
      </c>
      <c r="D5224">
        <f t="shared" ca="1" si="244"/>
        <v>2156.5722110914357</v>
      </c>
    </row>
    <row r="5225" spans="2:4" x14ac:dyDescent="0.25">
      <c r="B5225">
        <f t="shared" ca="1" si="245"/>
        <v>42014.72082834637</v>
      </c>
      <c r="C5225">
        <f t="shared" ca="1" si="243"/>
        <v>0</v>
      </c>
      <c r="D5225">
        <f t="shared" ca="1" si="244"/>
        <v>2014.7208283463697</v>
      </c>
    </row>
    <row r="5226" spans="2:4" x14ac:dyDescent="0.25">
      <c r="B5226">
        <f t="shared" ca="1" si="245"/>
        <v>44493.440725870227</v>
      </c>
      <c r="C5226">
        <f t="shared" ca="1" si="243"/>
        <v>0</v>
      </c>
      <c r="D5226">
        <f t="shared" ca="1" si="244"/>
        <v>4493.4407258702267</v>
      </c>
    </row>
    <row r="5227" spans="2:4" x14ac:dyDescent="0.25">
      <c r="B5227">
        <f t="shared" ca="1" si="245"/>
        <v>46344.703725859079</v>
      </c>
      <c r="C5227">
        <f t="shared" ca="1" si="243"/>
        <v>0</v>
      </c>
      <c r="D5227">
        <f t="shared" ca="1" si="244"/>
        <v>6344.703725859079</v>
      </c>
    </row>
    <row r="5228" spans="2:4" x14ac:dyDescent="0.25">
      <c r="B5228">
        <f t="shared" ca="1" si="245"/>
        <v>36365.660306581405</v>
      </c>
      <c r="C5228">
        <f t="shared" ca="1" si="243"/>
        <v>3634.3396934185948</v>
      </c>
      <c r="D5228">
        <f t="shared" ca="1" si="244"/>
        <v>0</v>
      </c>
    </row>
    <row r="5229" spans="2:4" x14ac:dyDescent="0.25">
      <c r="B5229">
        <f t="shared" ca="1" si="245"/>
        <v>43202.113461151959</v>
      </c>
      <c r="C5229">
        <f t="shared" ca="1" si="243"/>
        <v>0</v>
      </c>
      <c r="D5229">
        <f t="shared" ca="1" si="244"/>
        <v>3202.1134611519592</v>
      </c>
    </row>
    <row r="5230" spans="2:4" x14ac:dyDescent="0.25">
      <c r="B5230">
        <f t="shared" ca="1" si="245"/>
        <v>38267.387711996962</v>
      </c>
      <c r="C5230">
        <f t="shared" ca="1" si="243"/>
        <v>1732.612288003038</v>
      </c>
      <c r="D5230">
        <f t="shared" ca="1" si="244"/>
        <v>0</v>
      </c>
    </row>
    <row r="5231" spans="2:4" x14ac:dyDescent="0.25">
      <c r="B5231">
        <f t="shared" ca="1" si="245"/>
        <v>44713.253692722254</v>
      </c>
      <c r="C5231">
        <f t="shared" ca="1" si="243"/>
        <v>0</v>
      </c>
      <c r="D5231">
        <f t="shared" ca="1" si="244"/>
        <v>4713.2536927222536</v>
      </c>
    </row>
    <row r="5232" spans="2:4" x14ac:dyDescent="0.25">
      <c r="B5232">
        <f t="shared" ca="1" si="245"/>
        <v>44043.272697810629</v>
      </c>
      <c r="C5232">
        <f t="shared" ca="1" si="243"/>
        <v>0</v>
      </c>
      <c r="D5232">
        <f t="shared" ca="1" si="244"/>
        <v>4043.2726978106293</v>
      </c>
    </row>
    <row r="5233" spans="2:4" x14ac:dyDescent="0.25">
      <c r="B5233">
        <f t="shared" ca="1" si="245"/>
        <v>45551.51069332529</v>
      </c>
      <c r="C5233">
        <f t="shared" ca="1" si="243"/>
        <v>0</v>
      </c>
      <c r="D5233">
        <f t="shared" ca="1" si="244"/>
        <v>5551.51069332529</v>
      </c>
    </row>
    <row r="5234" spans="2:4" x14ac:dyDescent="0.25">
      <c r="B5234">
        <f t="shared" ca="1" si="245"/>
        <v>44479.708025612694</v>
      </c>
      <c r="C5234">
        <f t="shared" ca="1" si="243"/>
        <v>0</v>
      </c>
      <c r="D5234">
        <f t="shared" ca="1" si="244"/>
        <v>4479.7080256126937</v>
      </c>
    </row>
    <row r="5235" spans="2:4" x14ac:dyDescent="0.25">
      <c r="B5235">
        <f t="shared" ca="1" si="245"/>
        <v>46826.93364639955</v>
      </c>
      <c r="C5235">
        <f t="shared" ca="1" si="243"/>
        <v>0</v>
      </c>
      <c r="D5235">
        <f t="shared" ca="1" si="244"/>
        <v>6826.9336463995496</v>
      </c>
    </row>
    <row r="5236" spans="2:4" x14ac:dyDescent="0.25">
      <c r="B5236">
        <f t="shared" ca="1" si="245"/>
        <v>39789.736323538229</v>
      </c>
      <c r="C5236">
        <f t="shared" ca="1" si="243"/>
        <v>210.26367646177096</v>
      </c>
      <c r="D5236">
        <f t="shared" ca="1" si="244"/>
        <v>0</v>
      </c>
    </row>
    <row r="5237" spans="2:4" x14ac:dyDescent="0.25">
      <c r="B5237">
        <f t="shared" ca="1" si="245"/>
        <v>50365.979888292975</v>
      </c>
      <c r="C5237">
        <f t="shared" ca="1" si="243"/>
        <v>0</v>
      </c>
      <c r="D5237">
        <f t="shared" ca="1" si="244"/>
        <v>10365.979888292975</v>
      </c>
    </row>
    <row r="5238" spans="2:4" x14ac:dyDescent="0.25">
      <c r="B5238">
        <f t="shared" ca="1" si="245"/>
        <v>45115.62504088608</v>
      </c>
      <c r="C5238">
        <f t="shared" ca="1" si="243"/>
        <v>0</v>
      </c>
      <c r="D5238">
        <f t="shared" ca="1" si="244"/>
        <v>5115.6250408860797</v>
      </c>
    </row>
    <row r="5239" spans="2:4" x14ac:dyDescent="0.25">
      <c r="B5239">
        <f t="shared" ca="1" si="245"/>
        <v>41585.241028900324</v>
      </c>
      <c r="C5239">
        <f t="shared" ca="1" si="243"/>
        <v>0</v>
      </c>
      <c r="D5239">
        <f t="shared" ca="1" si="244"/>
        <v>1585.2410289003237</v>
      </c>
    </row>
    <row r="5240" spans="2:4" x14ac:dyDescent="0.25">
      <c r="B5240">
        <f t="shared" ca="1" si="245"/>
        <v>49770.194426535934</v>
      </c>
      <c r="C5240">
        <f t="shared" ca="1" si="243"/>
        <v>0</v>
      </c>
      <c r="D5240">
        <f t="shared" ca="1" si="244"/>
        <v>9770.1944265359343</v>
      </c>
    </row>
    <row r="5241" spans="2:4" x14ac:dyDescent="0.25">
      <c r="B5241">
        <f t="shared" ca="1" si="245"/>
        <v>44432.214088140754</v>
      </c>
      <c r="C5241">
        <f t="shared" ca="1" si="243"/>
        <v>0</v>
      </c>
      <c r="D5241">
        <f t="shared" ca="1" si="244"/>
        <v>4432.214088140754</v>
      </c>
    </row>
    <row r="5242" spans="2:4" x14ac:dyDescent="0.25">
      <c r="B5242">
        <f t="shared" ca="1" si="245"/>
        <v>48770.984377518951</v>
      </c>
      <c r="C5242">
        <f t="shared" ca="1" si="243"/>
        <v>0</v>
      </c>
      <c r="D5242">
        <f t="shared" ca="1" si="244"/>
        <v>8770.9843775189511</v>
      </c>
    </row>
    <row r="5243" spans="2:4" x14ac:dyDescent="0.25">
      <c r="B5243">
        <f t="shared" ca="1" si="245"/>
        <v>53466.855270060718</v>
      </c>
      <c r="C5243">
        <f t="shared" ca="1" si="243"/>
        <v>0</v>
      </c>
      <c r="D5243">
        <f t="shared" ca="1" si="244"/>
        <v>13466.855270060718</v>
      </c>
    </row>
    <row r="5244" spans="2:4" x14ac:dyDescent="0.25">
      <c r="B5244">
        <f t="shared" ca="1" si="245"/>
        <v>42494.343235846034</v>
      </c>
      <c r="C5244">
        <f t="shared" ca="1" si="243"/>
        <v>0</v>
      </c>
      <c r="D5244">
        <f t="shared" ca="1" si="244"/>
        <v>2494.3432358460341</v>
      </c>
    </row>
    <row r="5245" spans="2:4" x14ac:dyDescent="0.25">
      <c r="B5245">
        <f t="shared" ca="1" si="245"/>
        <v>47684.994027217515</v>
      </c>
      <c r="C5245">
        <f t="shared" ca="1" si="243"/>
        <v>0</v>
      </c>
      <c r="D5245">
        <f t="shared" ca="1" si="244"/>
        <v>7684.9940272175154</v>
      </c>
    </row>
    <row r="5246" spans="2:4" x14ac:dyDescent="0.25">
      <c r="B5246">
        <f t="shared" ca="1" si="245"/>
        <v>38058.626977629538</v>
      </c>
      <c r="C5246">
        <f t="shared" ca="1" si="243"/>
        <v>1941.3730223704624</v>
      </c>
      <c r="D5246">
        <f t="shared" ca="1" si="244"/>
        <v>0</v>
      </c>
    </row>
    <row r="5247" spans="2:4" x14ac:dyDescent="0.25">
      <c r="B5247">
        <f t="shared" ca="1" si="245"/>
        <v>39103.472040165841</v>
      </c>
      <c r="C5247">
        <f t="shared" ca="1" si="243"/>
        <v>896.52795983415854</v>
      </c>
      <c r="D5247">
        <f t="shared" ca="1" si="244"/>
        <v>0</v>
      </c>
    </row>
    <row r="5248" spans="2:4" x14ac:dyDescent="0.25">
      <c r="B5248">
        <f t="shared" ca="1" si="245"/>
        <v>44127.694334135245</v>
      </c>
      <c r="C5248">
        <f t="shared" ca="1" si="243"/>
        <v>0</v>
      </c>
      <c r="D5248">
        <f t="shared" ca="1" si="244"/>
        <v>4127.6943341352453</v>
      </c>
    </row>
    <row r="5249" spans="2:4" x14ac:dyDescent="0.25">
      <c r="B5249">
        <f t="shared" ca="1" si="245"/>
        <v>44087.931650834267</v>
      </c>
      <c r="C5249">
        <f t="shared" ca="1" si="243"/>
        <v>0</v>
      </c>
      <c r="D5249">
        <f t="shared" ca="1" si="244"/>
        <v>4087.9316508342672</v>
      </c>
    </row>
    <row r="5250" spans="2:4" x14ac:dyDescent="0.25">
      <c r="B5250">
        <f t="shared" ca="1" si="245"/>
        <v>43490.196135290898</v>
      </c>
      <c r="C5250">
        <f t="shared" ca="1" si="243"/>
        <v>0</v>
      </c>
      <c r="D5250">
        <f t="shared" ca="1" si="244"/>
        <v>3490.1961352908984</v>
      </c>
    </row>
    <row r="5251" spans="2:4" x14ac:dyDescent="0.25">
      <c r="B5251">
        <f t="shared" ca="1" si="245"/>
        <v>45868.646833945451</v>
      </c>
      <c r="C5251">
        <f t="shared" ca="1" si="243"/>
        <v>0</v>
      </c>
      <c r="D5251">
        <f t="shared" ca="1" si="244"/>
        <v>5868.6468339454514</v>
      </c>
    </row>
    <row r="5252" spans="2:4" x14ac:dyDescent="0.25">
      <c r="B5252">
        <f t="shared" ca="1" si="245"/>
        <v>46709.577877818709</v>
      </c>
      <c r="C5252">
        <f t="shared" ca="1" si="243"/>
        <v>0</v>
      </c>
      <c r="D5252">
        <f t="shared" ca="1" si="244"/>
        <v>6709.5778778187087</v>
      </c>
    </row>
    <row r="5253" spans="2:4" x14ac:dyDescent="0.25">
      <c r="B5253">
        <f t="shared" ca="1" si="245"/>
        <v>41016.627170472668</v>
      </c>
      <c r="C5253">
        <f t="shared" ca="1" si="243"/>
        <v>0</v>
      </c>
      <c r="D5253">
        <f t="shared" ca="1" si="244"/>
        <v>1016.6271704726678</v>
      </c>
    </row>
    <row r="5254" spans="2:4" x14ac:dyDescent="0.25">
      <c r="B5254">
        <f t="shared" ca="1" si="245"/>
        <v>42256.995433472453</v>
      </c>
      <c r="C5254">
        <f t="shared" ca="1" si="243"/>
        <v>0</v>
      </c>
      <c r="D5254">
        <f t="shared" ca="1" si="244"/>
        <v>2256.9954334724534</v>
      </c>
    </row>
    <row r="5255" spans="2:4" x14ac:dyDescent="0.25">
      <c r="B5255">
        <f t="shared" ca="1" si="245"/>
        <v>36920.177446918548</v>
      </c>
      <c r="C5255">
        <f t="shared" ca="1" si="243"/>
        <v>3079.8225530814525</v>
      </c>
      <c r="D5255">
        <f t="shared" ca="1" si="244"/>
        <v>0</v>
      </c>
    </row>
    <row r="5256" spans="2:4" x14ac:dyDescent="0.25">
      <c r="B5256">
        <f t="shared" ca="1" si="245"/>
        <v>54296.201900861226</v>
      </c>
      <c r="C5256">
        <f t="shared" ca="1" si="243"/>
        <v>0</v>
      </c>
      <c r="D5256">
        <f t="shared" ca="1" si="244"/>
        <v>14296.201900861226</v>
      </c>
    </row>
    <row r="5257" spans="2:4" x14ac:dyDescent="0.25">
      <c r="B5257">
        <f t="shared" ca="1" si="245"/>
        <v>43839.021229668942</v>
      </c>
      <c r="C5257">
        <f t="shared" ca="1" si="243"/>
        <v>0</v>
      </c>
      <c r="D5257">
        <f t="shared" ca="1" si="244"/>
        <v>3839.0212296689424</v>
      </c>
    </row>
    <row r="5258" spans="2:4" x14ac:dyDescent="0.25">
      <c r="B5258">
        <f t="shared" ca="1" si="245"/>
        <v>50679.593201318123</v>
      </c>
      <c r="C5258">
        <f t="shared" ca="1" si="243"/>
        <v>0</v>
      </c>
      <c r="D5258">
        <f t="shared" ca="1" si="244"/>
        <v>10679.593201318123</v>
      </c>
    </row>
    <row r="5259" spans="2:4" x14ac:dyDescent="0.25">
      <c r="B5259">
        <f t="shared" ca="1" si="245"/>
        <v>51607.848167405311</v>
      </c>
      <c r="C5259">
        <f t="shared" ca="1" si="243"/>
        <v>0</v>
      </c>
      <c r="D5259">
        <f t="shared" ca="1" si="244"/>
        <v>11607.848167405311</v>
      </c>
    </row>
    <row r="5260" spans="2:4" x14ac:dyDescent="0.25">
      <c r="B5260">
        <f t="shared" ca="1" si="245"/>
        <v>54740.185104128446</v>
      </c>
      <c r="C5260">
        <f t="shared" ref="C5260:C5323" ca="1" si="246">IF(MAX($B$2-B5260)&lt;0,0,$B$2-B5260)</f>
        <v>0</v>
      </c>
      <c r="D5260">
        <f t="shared" ref="D5260:D5323" ca="1" si="247">IF(MAX(B5260-$B$2)&lt;0,0,B5260-$B$2)</f>
        <v>14740.185104128446</v>
      </c>
    </row>
    <row r="5261" spans="2:4" x14ac:dyDescent="0.25">
      <c r="B5261">
        <f t="shared" ref="B5261:B5324" ca="1" si="248">$B$1*EXP((($B$4-($B$3^2)/2)*$B$5+$B$3*SQRT($B$5)*NORMSINV(RAND())))</f>
        <v>50160.423277325077</v>
      </c>
      <c r="C5261">
        <f t="shared" ca="1" si="246"/>
        <v>0</v>
      </c>
      <c r="D5261">
        <f t="shared" ca="1" si="247"/>
        <v>10160.423277325077</v>
      </c>
    </row>
    <row r="5262" spans="2:4" x14ac:dyDescent="0.25">
      <c r="B5262">
        <f t="shared" ca="1" si="248"/>
        <v>44376.540603583737</v>
      </c>
      <c r="C5262">
        <f t="shared" ca="1" si="246"/>
        <v>0</v>
      </c>
      <c r="D5262">
        <f t="shared" ca="1" si="247"/>
        <v>4376.5406035837368</v>
      </c>
    </row>
    <row r="5263" spans="2:4" x14ac:dyDescent="0.25">
      <c r="B5263">
        <f t="shared" ca="1" si="248"/>
        <v>44434.39502042628</v>
      </c>
      <c r="C5263">
        <f t="shared" ca="1" si="246"/>
        <v>0</v>
      </c>
      <c r="D5263">
        <f t="shared" ca="1" si="247"/>
        <v>4434.3950204262801</v>
      </c>
    </row>
    <row r="5264" spans="2:4" x14ac:dyDescent="0.25">
      <c r="B5264">
        <f t="shared" ca="1" si="248"/>
        <v>39752.795419269161</v>
      </c>
      <c r="C5264">
        <f t="shared" ca="1" si="246"/>
        <v>247.20458073083864</v>
      </c>
      <c r="D5264">
        <f t="shared" ca="1" si="247"/>
        <v>0</v>
      </c>
    </row>
    <row r="5265" spans="2:4" x14ac:dyDescent="0.25">
      <c r="B5265">
        <f t="shared" ca="1" si="248"/>
        <v>40851.607056430861</v>
      </c>
      <c r="C5265">
        <f t="shared" ca="1" si="246"/>
        <v>0</v>
      </c>
      <c r="D5265">
        <f t="shared" ca="1" si="247"/>
        <v>851.60705643086112</v>
      </c>
    </row>
    <row r="5266" spans="2:4" x14ac:dyDescent="0.25">
      <c r="B5266">
        <f t="shared" ca="1" si="248"/>
        <v>42993.436200527984</v>
      </c>
      <c r="C5266">
        <f t="shared" ca="1" si="246"/>
        <v>0</v>
      </c>
      <c r="D5266">
        <f t="shared" ca="1" si="247"/>
        <v>2993.4362005279836</v>
      </c>
    </row>
    <row r="5267" spans="2:4" x14ac:dyDescent="0.25">
      <c r="B5267">
        <f t="shared" ca="1" si="248"/>
        <v>46614.490624537044</v>
      </c>
      <c r="C5267">
        <f t="shared" ca="1" si="246"/>
        <v>0</v>
      </c>
      <c r="D5267">
        <f t="shared" ca="1" si="247"/>
        <v>6614.4906245370439</v>
      </c>
    </row>
    <row r="5268" spans="2:4" x14ac:dyDescent="0.25">
      <c r="B5268">
        <f t="shared" ca="1" si="248"/>
        <v>44723.191978272749</v>
      </c>
      <c r="C5268">
        <f t="shared" ca="1" si="246"/>
        <v>0</v>
      </c>
      <c r="D5268">
        <f t="shared" ca="1" si="247"/>
        <v>4723.1919782727491</v>
      </c>
    </row>
    <row r="5269" spans="2:4" x14ac:dyDescent="0.25">
      <c r="B5269">
        <f t="shared" ca="1" si="248"/>
        <v>41889.083691895263</v>
      </c>
      <c r="C5269">
        <f t="shared" ca="1" si="246"/>
        <v>0</v>
      </c>
      <c r="D5269">
        <f t="shared" ca="1" si="247"/>
        <v>1889.0836918952627</v>
      </c>
    </row>
    <row r="5270" spans="2:4" x14ac:dyDescent="0.25">
      <c r="B5270">
        <f t="shared" ca="1" si="248"/>
        <v>45530.342954492291</v>
      </c>
      <c r="C5270">
        <f t="shared" ca="1" si="246"/>
        <v>0</v>
      </c>
      <c r="D5270">
        <f t="shared" ca="1" si="247"/>
        <v>5530.342954492291</v>
      </c>
    </row>
    <row r="5271" spans="2:4" x14ac:dyDescent="0.25">
      <c r="B5271">
        <f t="shared" ca="1" si="248"/>
        <v>44408.733599333915</v>
      </c>
      <c r="C5271">
        <f t="shared" ca="1" si="246"/>
        <v>0</v>
      </c>
      <c r="D5271">
        <f t="shared" ca="1" si="247"/>
        <v>4408.7335993339148</v>
      </c>
    </row>
    <row r="5272" spans="2:4" x14ac:dyDescent="0.25">
      <c r="B5272">
        <f t="shared" ca="1" si="248"/>
        <v>50350.552062269475</v>
      </c>
      <c r="C5272">
        <f t="shared" ca="1" si="246"/>
        <v>0</v>
      </c>
      <c r="D5272">
        <f t="shared" ca="1" si="247"/>
        <v>10350.552062269475</v>
      </c>
    </row>
    <row r="5273" spans="2:4" x14ac:dyDescent="0.25">
      <c r="B5273">
        <f t="shared" ca="1" si="248"/>
        <v>38456.217396135406</v>
      </c>
      <c r="C5273">
        <f t="shared" ca="1" si="246"/>
        <v>1543.7826038645944</v>
      </c>
      <c r="D5273">
        <f t="shared" ca="1" si="247"/>
        <v>0</v>
      </c>
    </row>
    <row r="5274" spans="2:4" x14ac:dyDescent="0.25">
      <c r="B5274">
        <f t="shared" ca="1" si="248"/>
        <v>41915.202121324488</v>
      </c>
      <c r="C5274">
        <f t="shared" ca="1" si="246"/>
        <v>0</v>
      </c>
      <c r="D5274">
        <f t="shared" ca="1" si="247"/>
        <v>1915.202121324488</v>
      </c>
    </row>
    <row r="5275" spans="2:4" x14ac:dyDescent="0.25">
      <c r="B5275">
        <f t="shared" ca="1" si="248"/>
        <v>54651.200651879451</v>
      </c>
      <c r="C5275">
        <f t="shared" ca="1" si="246"/>
        <v>0</v>
      </c>
      <c r="D5275">
        <f t="shared" ca="1" si="247"/>
        <v>14651.200651879451</v>
      </c>
    </row>
    <row r="5276" spans="2:4" x14ac:dyDescent="0.25">
      <c r="B5276">
        <f t="shared" ca="1" si="248"/>
        <v>49433.532437103648</v>
      </c>
      <c r="C5276">
        <f t="shared" ca="1" si="246"/>
        <v>0</v>
      </c>
      <c r="D5276">
        <f t="shared" ca="1" si="247"/>
        <v>9433.5324371036477</v>
      </c>
    </row>
    <row r="5277" spans="2:4" x14ac:dyDescent="0.25">
      <c r="B5277">
        <f t="shared" ca="1" si="248"/>
        <v>50044.582409331924</v>
      </c>
      <c r="C5277">
        <f t="shared" ca="1" si="246"/>
        <v>0</v>
      </c>
      <c r="D5277">
        <f t="shared" ca="1" si="247"/>
        <v>10044.582409331924</v>
      </c>
    </row>
    <row r="5278" spans="2:4" x14ac:dyDescent="0.25">
      <c r="B5278">
        <f t="shared" ca="1" si="248"/>
        <v>41119.65017709841</v>
      </c>
      <c r="C5278">
        <f t="shared" ca="1" si="246"/>
        <v>0</v>
      </c>
      <c r="D5278">
        <f t="shared" ca="1" si="247"/>
        <v>1119.6501770984105</v>
      </c>
    </row>
    <row r="5279" spans="2:4" x14ac:dyDescent="0.25">
      <c r="B5279">
        <f t="shared" ca="1" si="248"/>
        <v>44424.396257751658</v>
      </c>
      <c r="C5279">
        <f t="shared" ca="1" si="246"/>
        <v>0</v>
      </c>
      <c r="D5279">
        <f t="shared" ca="1" si="247"/>
        <v>4424.3962577516577</v>
      </c>
    </row>
    <row r="5280" spans="2:4" x14ac:dyDescent="0.25">
      <c r="B5280">
        <f t="shared" ca="1" si="248"/>
        <v>42609.123404910628</v>
      </c>
      <c r="C5280">
        <f t="shared" ca="1" si="246"/>
        <v>0</v>
      </c>
      <c r="D5280">
        <f t="shared" ca="1" si="247"/>
        <v>2609.1234049106279</v>
      </c>
    </row>
    <row r="5281" spans="2:4" x14ac:dyDescent="0.25">
      <c r="B5281">
        <f t="shared" ca="1" si="248"/>
        <v>43134.888802605245</v>
      </c>
      <c r="C5281">
        <f t="shared" ca="1" si="246"/>
        <v>0</v>
      </c>
      <c r="D5281">
        <f t="shared" ca="1" si="247"/>
        <v>3134.8888026052446</v>
      </c>
    </row>
    <row r="5282" spans="2:4" x14ac:dyDescent="0.25">
      <c r="B5282">
        <f t="shared" ca="1" si="248"/>
        <v>57591.471739537723</v>
      </c>
      <c r="C5282">
        <f t="shared" ca="1" si="246"/>
        <v>0</v>
      </c>
      <c r="D5282">
        <f t="shared" ca="1" si="247"/>
        <v>17591.471739537723</v>
      </c>
    </row>
    <row r="5283" spans="2:4" x14ac:dyDescent="0.25">
      <c r="B5283">
        <f t="shared" ca="1" si="248"/>
        <v>41817.088837532596</v>
      </c>
      <c r="C5283">
        <f t="shared" ca="1" si="246"/>
        <v>0</v>
      </c>
      <c r="D5283">
        <f t="shared" ca="1" si="247"/>
        <v>1817.0888375325958</v>
      </c>
    </row>
    <row r="5284" spans="2:4" x14ac:dyDescent="0.25">
      <c r="B5284">
        <f t="shared" ca="1" si="248"/>
        <v>48679.60228202986</v>
      </c>
      <c r="C5284">
        <f t="shared" ca="1" si="246"/>
        <v>0</v>
      </c>
      <c r="D5284">
        <f t="shared" ca="1" si="247"/>
        <v>8679.6022820298604</v>
      </c>
    </row>
    <row r="5285" spans="2:4" x14ac:dyDescent="0.25">
      <c r="B5285">
        <f t="shared" ca="1" si="248"/>
        <v>41858.568706355822</v>
      </c>
      <c r="C5285">
        <f t="shared" ca="1" si="246"/>
        <v>0</v>
      </c>
      <c r="D5285">
        <f t="shared" ca="1" si="247"/>
        <v>1858.5687063558216</v>
      </c>
    </row>
    <row r="5286" spans="2:4" x14ac:dyDescent="0.25">
      <c r="B5286">
        <f t="shared" ca="1" si="248"/>
        <v>45765.416767527786</v>
      </c>
      <c r="C5286">
        <f t="shared" ca="1" si="246"/>
        <v>0</v>
      </c>
      <c r="D5286">
        <f t="shared" ca="1" si="247"/>
        <v>5765.4167675277859</v>
      </c>
    </row>
    <row r="5287" spans="2:4" x14ac:dyDescent="0.25">
      <c r="B5287">
        <f t="shared" ca="1" si="248"/>
        <v>41947.596565021704</v>
      </c>
      <c r="C5287">
        <f t="shared" ca="1" si="246"/>
        <v>0</v>
      </c>
      <c r="D5287">
        <f t="shared" ca="1" si="247"/>
        <v>1947.596565021704</v>
      </c>
    </row>
    <row r="5288" spans="2:4" x14ac:dyDescent="0.25">
      <c r="B5288">
        <f t="shared" ca="1" si="248"/>
        <v>44258.837053493582</v>
      </c>
      <c r="C5288">
        <f t="shared" ca="1" si="246"/>
        <v>0</v>
      </c>
      <c r="D5288">
        <f t="shared" ca="1" si="247"/>
        <v>4258.8370534935821</v>
      </c>
    </row>
    <row r="5289" spans="2:4" x14ac:dyDescent="0.25">
      <c r="B5289">
        <f t="shared" ca="1" si="248"/>
        <v>42793.146461213095</v>
      </c>
      <c r="C5289">
        <f t="shared" ca="1" si="246"/>
        <v>0</v>
      </c>
      <c r="D5289">
        <f t="shared" ca="1" si="247"/>
        <v>2793.1464612130949</v>
      </c>
    </row>
    <row r="5290" spans="2:4" x14ac:dyDescent="0.25">
      <c r="B5290">
        <f t="shared" ca="1" si="248"/>
        <v>47564.164371273226</v>
      </c>
      <c r="C5290">
        <f t="shared" ca="1" si="246"/>
        <v>0</v>
      </c>
      <c r="D5290">
        <f t="shared" ca="1" si="247"/>
        <v>7564.1643712732257</v>
      </c>
    </row>
    <row r="5291" spans="2:4" x14ac:dyDescent="0.25">
      <c r="B5291">
        <f t="shared" ca="1" si="248"/>
        <v>36239.914171661047</v>
      </c>
      <c r="C5291">
        <f t="shared" ca="1" si="246"/>
        <v>3760.0858283389534</v>
      </c>
      <c r="D5291">
        <f t="shared" ca="1" si="247"/>
        <v>0</v>
      </c>
    </row>
    <row r="5292" spans="2:4" x14ac:dyDescent="0.25">
      <c r="B5292">
        <f t="shared" ca="1" si="248"/>
        <v>46222.050887856058</v>
      </c>
      <c r="C5292">
        <f t="shared" ca="1" si="246"/>
        <v>0</v>
      </c>
      <c r="D5292">
        <f t="shared" ca="1" si="247"/>
        <v>6222.0508878560577</v>
      </c>
    </row>
    <row r="5293" spans="2:4" x14ac:dyDescent="0.25">
      <c r="B5293">
        <f t="shared" ca="1" si="248"/>
        <v>44191.608895605073</v>
      </c>
      <c r="C5293">
        <f t="shared" ca="1" si="246"/>
        <v>0</v>
      </c>
      <c r="D5293">
        <f t="shared" ca="1" si="247"/>
        <v>4191.6088956050735</v>
      </c>
    </row>
    <row r="5294" spans="2:4" x14ac:dyDescent="0.25">
      <c r="B5294">
        <f t="shared" ca="1" si="248"/>
        <v>43339.131888163945</v>
      </c>
      <c r="C5294">
        <f t="shared" ca="1" si="246"/>
        <v>0</v>
      </c>
      <c r="D5294">
        <f t="shared" ca="1" si="247"/>
        <v>3339.1318881639454</v>
      </c>
    </row>
    <row r="5295" spans="2:4" x14ac:dyDescent="0.25">
      <c r="B5295">
        <f t="shared" ca="1" si="248"/>
        <v>45894.91837362825</v>
      </c>
      <c r="C5295">
        <f t="shared" ca="1" si="246"/>
        <v>0</v>
      </c>
      <c r="D5295">
        <f t="shared" ca="1" si="247"/>
        <v>5894.9183736282503</v>
      </c>
    </row>
    <row r="5296" spans="2:4" x14ac:dyDescent="0.25">
      <c r="B5296">
        <f t="shared" ca="1" si="248"/>
        <v>41860.945288564704</v>
      </c>
      <c r="C5296">
        <f t="shared" ca="1" si="246"/>
        <v>0</v>
      </c>
      <c r="D5296">
        <f t="shared" ca="1" si="247"/>
        <v>1860.9452885647042</v>
      </c>
    </row>
    <row r="5297" spans="2:4" x14ac:dyDescent="0.25">
      <c r="B5297">
        <f t="shared" ca="1" si="248"/>
        <v>51901.649876035262</v>
      </c>
      <c r="C5297">
        <f t="shared" ca="1" si="246"/>
        <v>0</v>
      </c>
      <c r="D5297">
        <f t="shared" ca="1" si="247"/>
        <v>11901.649876035262</v>
      </c>
    </row>
    <row r="5298" spans="2:4" x14ac:dyDescent="0.25">
      <c r="B5298">
        <f t="shared" ca="1" si="248"/>
        <v>41222.886663223711</v>
      </c>
      <c r="C5298">
        <f t="shared" ca="1" si="246"/>
        <v>0</v>
      </c>
      <c r="D5298">
        <f t="shared" ca="1" si="247"/>
        <v>1222.8866632237114</v>
      </c>
    </row>
    <row r="5299" spans="2:4" x14ac:dyDescent="0.25">
      <c r="B5299">
        <f t="shared" ca="1" si="248"/>
        <v>41079.969282329046</v>
      </c>
      <c r="C5299">
        <f t="shared" ca="1" si="246"/>
        <v>0</v>
      </c>
      <c r="D5299">
        <f t="shared" ca="1" si="247"/>
        <v>1079.9692823290461</v>
      </c>
    </row>
    <row r="5300" spans="2:4" x14ac:dyDescent="0.25">
      <c r="B5300">
        <f t="shared" ca="1" si="248"/>
        <v>38999.630035033435</v>
      </c>
      <c r="C5300">
        <f t="shared" ca="1" si="246"/>
        <v>1000.369964966565</v>
      </c>
      <c r="D5300">
        <f t="shared" ca="1" si="247"/>
        <v>0</v>
      </c>
    </row>
    <row r="5301" spans="2:4" x14ac:dyDescent="0.25">
      <c r="B5301">
        <f t="shared" ca="1" si="248"/>
        <v>42802.241639254287</v>
      </c>
      <c r="C5301">
        <f t="shared" ca="1" si="246"/>
        <v>0</v>
      </c>
      <c r="D5301">
        <f t="shared" ca="1" si="247"/>
        <v>2802.2416392542873</v>
      </c>
    </row>
    <row r="5302" spans="2:4" x14ac:dyDescent="0.25">
      <c r="B5302">
        <f t="shared" ca="1" si="248"/>
        <v>47976.890196943503</v>
      </c>
      <c r="C5302">
        <f t="shared" ca="1" si="246"/>
        <v>0</v>
      </c>
      <c r="D5302">
        <f t="shared" ca="1" si="247"/>
        <v>7976.8901969435028</v>
      </c>
    </row>
    <row r="5303" spans="2:4" x14ac:dyDescent="0.25">
      <c r="B5303">
        <f t="shared" ca="1" si="248"/>
        <v>48768.673780948673</v>
      </c>
      <c r="C5303">
        <f t="shared" ca="1" si="246"/>
        <v>0</v>
      </c>
      <c r="D5303">
        <f t="shared" ca="1" si="247"/>
        <v>8768.6737809486731</v>
      </c>
    </row>
    <row r="5304" spans="2:4" x14ac:dyDescent="0.25">
      <c r="B5304">
        <f t="shared" ca="1" si="248"/>
        <v>51937.961081407608</v>
      </c>
      <c r="C5304">
        <f t="shared" ca="1" si="246"/>
        <v>0</v>
      </c>
      <c r="D5304">
        <f t="shared" ca="1" si="247"/>
        <v>11937.961081407608</v>
      </c>
    </row>
    <row r="5305" spans="2:4" x14ac:dyDescent="0.25">
      <c r="B5305">
        <f t="shared" ca="1" si="248"/>
        <v>48862.164884508915</v>
      </c>
      <c r="C5305">
        <f t="shared" ca="1" si="246"/>
        <v>0</v>
      </c>
      <c r="D5305">
        <f t="shared" ca="1" si="247"/>
        <v>8862.1648845089148</v>
      </c>
    </row>
    <row r="5306" spans="2:4" x14ac:dyDescent="0.25">
      <c r="B5306">
        <f t="shared" ca="1" si="248"/>
        <v>52850.927140764776</v>
      </c>
      <c r="C5306">
        <f t="shared" ca="1" si="246"/>
        <v>0</v>
      </c>
      <c r="D5306">
        <f t="shared" ca="1" si="247"/>
        <v>12850.927140764776</v>
      </c>
    </row>
    <row r="5307" spans="2:4" x14ac:dyDescent="0.25">
      <c r="B5307">
        <f t="shared" ca="1" si="248"/>
        <v>42694.366862907846</v>
      </c>
      <c r="C5307">
        <f t="shared" ca="1" si="246"/>
        <v>0</v>
      </c>
      <c r="D5307">
        <f t="shared" ca="1" si="247"/>
        <v>2694.3668629078456</v>
      </c>
    </row>
    <row r="5308" spans="2:4" x14ac:dyDescent="0.25">
      <c r="B5308">
        <f t="shared" ca="1" si="248"/>
        <v>50196.411746280763</v>
      </c>
      <c r="C5308">
        <f t="shared" ca="1" si="246"/>
        <v>0</v>
      </c>
      <c r="D5308">
        <f t="shared" ca="1" si="247"/>
        <v>10196.411746280763</v>
      </c>
    </row>
    <row r="5309" spans="2:4" x14ac:dyDescent="0.25">
      <c r="B5309">
        <f t="shared" ca="1" si="248"/>
        <v>57400.912906692742</v>
      </c>
      <c r="C5309">
        <f t="shared" ca="1" si="246"/>
        <v>0</v>
      </c>
      <c r="D5309">
        <f t="shared" ca="1" si="247"/>
        <v>17400.912906692742</v>
      </c>
    </row>
    <row r="5310" spans="2:4" x14ac:dyDescent="0.25">
      <c r="B5310">
        <f t="shared" ca="1" si="248"/>
        <v>41201.316411377666</v>
      </c>
      <c r="C5310">
        <f t="shared" ca="1" si="246"/>
        <v>0</v>
      </c>
      <c r="D5310">
        <f t="shared" ca="1" si="247"/>
        <v>1201.3164113776656</v>
      </c>
    </row>
    <row r="5311" spans="2:4" x14ac:dyDescent="0.25">
      <c r="B5311">
        <f t="shared" ca="1" si="248"/>
        <v>45930.923528170766</v>
      </c>
      <c r="C5311">
        <f t="shared" ca="1" si="246"/>
        <v>0</v>
      </c>
      <c r="D5311">
        <f t="shared" ca="1" si="247"/>
        <v>5930.9235281707661</v>
      </c>
    </row>
    <row r="5312" spans="2:4" x14ac:dyDescent="0.25">
      <c r="B5312">
        <f t="shared" ca="1" si="248"/>
        <v>47703.892691452158</v>
      </c>
      <c r="C5312">
        <f t="shared" ca="1" si="246"/>
        <v>0</v>
      </c>
      <c r="D5312">
        <f t="shared" ca="1" si="247"/>
        <v>7703.892691452158</v>
      </c>
    </row>
    <row r="5313" spans="2:4" x14ac:dyDescent="0.25">
      <c r="B5313">
        <f t="shared" ca="1" si="248"/>
        <v>47118.302023379445</v>
      </c>
      <c r="C5313">
        <f t="shared" ca="1" si="246"/>
        <v>0</v>
      </c>
      <c r="D5313">
        <f t="shared" ca="1" si="247"/>
        <v>7118.302023379445</v>
      </c>
    </row>
    <row r="5314" spans="2:4" x14ac:dyDescent="0.25">
      <c r="B5314">
        <f t="shared" ca="1" si="248"/>
        <v>41080.493340393601</v>
      </c>
      <c r="C5314">
        <f t="shared" ca="1" si="246"/>
        <v>0</v>
      </c>
      <c r="D5314">
        <f t="shared" ca="1" si="247"/>
        <v>1080.4933403936011</v>
      </c>
    </row>
    <row r="5315" spans="2:4" x14ac:dyDescent="0.25">
      <c r="B5315">
        <f t="shared" ca="1" si="248"/>
        <v>44107.586013092034</v>
      </c>
      <c r="C5315">
        <f t="shared" ca="1" si="246"/>
        <v>0</v>
      </c>
      <c r="D5315">
        <f t="shared" ca="1" si="247"/>
        <v>4107.5860130920337</v>
      </c>
    </row>
    <row r="5316" spans="2:4" x14ac:dyDescent="0.25">
      <c r="B5316">
        <f t="shared" ca="1" si="248"/>
        <v>51679.632012574279</v>
      </c>
      <c r="C5316">
        <f t="shared" ca="1" si="246"/>
        <v>0</v>
      </c>
      <c r="D5316">
        <f t="shared" ca="1" si="247"/>
        <v>11679.632012574279</v>
      </c>
    </row>
    <row r="5317" spans="2:4" x14ac:dyDescent="0.25">
      <c r="B5317">
        <f t="shared" ca="1" si="248"/>
        <v>42105.48650423222</v>
      </c>
      <c r="C5317">
        <f t="shared" ca="1" si="246"/>
        <v>0</v>
      </c>
      <c r="D5317">
        <f t="shared" ca="1" si="247"/>
        <v>2105.4865042322199</v>
      </c>
    </row>
    <row r="5318" spans="2:4" x14ac:dyDescent="0.25">
      <c r="B5318">
        <f t="shared" ca="1" si="248"/>
        <v>41828.78116735864</v>
      </c>
      <c r="C5318">
        <f t="shared" ca="1" si="246"/>
        <v>0</v>
      </c>
      <c r="D5318">
        <f t="shared" ca="1" si="247"/>
        <v>1828.7811673586402</v>
      </c>
    </row>
    <row r="5319" spans="2:4" x14ac:dyDescent="0.25">
      <c r="B5319">
        <f t="shared" ca="1" si="248"/>
        <v>49554.131956123361</v>
      </c>
      <c r="C5319">
        <f t="shared" ca="1" si="246"/>
        <v>0</v>
      </c>
      <c r="D5319">
        <f t="shared" ca="1" si="247"/>
        <v>9554.1319561233613</v>
      </c>
    </row>
    <row r="5320" spans="2:4" x14ac:dyDescent="0.25">
      <c r="B5320">
        <f t="shared" ca="1" si="248"/>
        <v>41016.443699868658</v>
      </c>
      <c r="C5320">
        <f t="shared" ca="1" si="246"/>
        <v>0</v>
      </c>
      <c r="D5320">
        <f t="shared" ca="1" si="247"/>
        <v>1016.4436998686579</v>
      </c>
    </row>
    <row r="5321" spans="2:4" x14ac:dyDescent="0.25">
      <c r="B5321">
        <f t="shared" ca="1" si="248"/>
        <v>43121.064466937532</v>
      </c>
      <c r="C5321">
        <f t="shared" ca="1" si="246"/>
        <v>0</v>
      </c>
      <c r="D5321">
        <f t="shared" ca="1" si="247"/>
        <v>3121.0644669375324</v>
      </c>
    </row>
    <row r="5322" spans="2:4" x14ac:dyDescent="0.25">
      <c r="B5322">
        <f t="shared" ca="1" si="248"/>
        <v>37904.340070551843</v>
      </c>
      <c r="C5322">
        <f t="shared" ca="1" si="246"/>
        <v>2095.6599294481566</v>
      </c>
      <c r="D5322">
        <f t="shared" ca="1" si="247"/>
        <v>0</v>
      </c>
    </row>
    <row r="5323" spans="2:4" x14ac:dyDescent="0.25">
      <c r="B5323">
        <f t="shared" ca="1" si="248"/>
        <v>50812.007693461979</v>
      </c>
      <c r="C5323">
        <f t="shared" ca="1" si="246"/>
        <v>0</v>
      </c>
      <c r="D5323">
        <f t="shared" ca="1" si="247"/>
        <v>10812.007693461979</v>
      </c>
    </row>
    <row r="5324" spans="2:4" x14ac:dyDescent="0.25">
      <c r="B5324">
        <f t="shared" ca="1" si="248"/>
        <v>39264.278888128414</v>
      </c>
      <c r="C5324">
        <f t="shared" ref="C5324:C5387" ca="1" si="249">IF(MAX($B$2-B5324)&lt;0,0,$B$2-B5324)</f>
        <v>735.72111187158589</v>
      </c>
      <c r="D5324">
        <f t="shared" ref="D5324:D5387" ca="1" si="250">IF(MAX(B5324-$B$2)&lt;0,0,B5324-$B$2)</f>
        <v>0</v>
      </c>
    </row>
    <row r="5325" spans="2:4" x14ac:dyDescent="0.25">
      <c r="B5325">
        <f t="shared" ref="B5325:B5388" ca="1" si="251">$B$1*EXP((($B$4-($B$3^2)/2)*$B$5+$B$3*SQRT($B$5)*NORMSINV(RAND())))</f>
        <v>41890.933434671075</v>
      </c>
      <c r="C5325">
        <f t="shared" ca="1" si="249"/>
        <v>0</v>
      </c>
      <c r="D5325">
        <f t="shared" ca="1" si="250"/>
        <v>1890.9334346710748</v>
      </c>
    </row>
    <row r="5326" spans="2:4" x14ac:dyDescent="0.25">
      <c r="B5326">
        <f t="shared" ca="1" si="251"/>
        <v>37427.348300098587</v>
      </c>
      <c r="C5326">
        <f t="shared" ca="1" si="249"/>
        <v>2572.6516999014129</v>
      </c>
      <c r="D5326">
        <f t="shared" ca="1" si="250"/>
        <v>0</v>
      </c>
    </row>
    <row r="5327" spans="2:4" x14ac:dyDescent="0.25">
      <c r="B5327">
        <f t="shared" ca="1" si="251"/>
        <v>45675.471268288209</v>
      </c>
      <c r="C5327">
        <f t="shared" ca="1" si="249"/>
        <v>0</v>
      </c>
      <c r="D5327">
        <f t="shared" ca="1" si="250"/>
        <v>5675.4712682882091</v>
      </c>
    </row>
    <row r="5328" spans="2:4" x14ac:dyDescent="0.25">
      <c r="B5328">
        <f t="shared" ca="1" si="251"/>
        <v>46610.323387444827</v>
      </c>
      <c r="C5328">
        <f t="shared" ca="1" si="249"/>
        <v>0</v>
      </c>
      <c r="D5328">
        <f t="shared" ca="1" si="250"/>
        <v>6610.3233874448269</v>
      </c>
    </row>
    <row r="5329" spans="2:4" x14ac:dyDescent="0.25">
      <c r="B5329">
        <f t="shared" ca="1" si="251"/>
        <v>43823.676074795861</v>
      </c>
      <c r="C5329">
        <f t="shared" ca="1" si="249"/>
        <v>0</v>
      </c>
      <c r="D5329">
        <f t="shared" ca="1" si="250"/>
        <v>3823.6760747958615</v>
      </c>
    </row>
    <row r="5330" spans="2:4" x14ac:dyDescent="0.25">
      <c r="B5330">
        <f t="shared" ca="1" si="251"/>
        <v>38462.579769940363</v>
      </c>
      <c r="C5330">
        <f t="shared" ca="1" si="249"/>
        <v>1537.4202300596371</v>
      </c>
      <c r="D5330">
        <f t="shared" ca="1" si="250"/>
        <v>0</v>
      </c>
    </row>
    <row r="5331" spans="2:4" x14ac:dyDescent="0.25">
      <c r="B5331">
        <f t="shared" ca="1" si="251"/>
        <v>47191.901137427485</v>
      </c>
      <c r="C5331">
        <f t="shared" ca="1" si="249"/>
        <v>0</v>
      </c>
      <c r="D5331">
        <f t="shared" ca="1" si="250"/>
        <v>7191.9011374274851</v>
      </c>
    </row>
    <row r="5332" spans="2:4" x14ac:dyDescent="0.25">
      <c r="B5332">
        <f t="shared" ca="1" si="251"/>
        <v>41310.736451267338</v>
      </c>
      <c r="C5332">
        <f t="shared" ca="1" si="249"/>
        <v>0</v>
      </c>
      <c r="D5332">
        <f t="shared" ca="1" si="250"/>
        <v>1310.7364512673375</v>
      </c>
    </row>
    <row r="5333" spans="2:4" x14ac:dyDescent="0.25">
      <c r="B5333">
        <f t="shared" ca="1" si="251"/>
        <v>50585.073984397379</v>
      </c>
      <c r="C5333">
        <f t="shared" ca="1" si="249"/>
        <v>0</v>
      </c>
      <c r="D5333">
        <f t="shared" ca="1" si="250"/>
        <v>10585.073984397379</v>
      </c>
    </row>
    <row r="5334" spans="2:4" x14ac:dyDescent="0.25">
      <c r="B5334">
        <f t="shared" ca="1" si="251"/>
        <v>38607.250035374862</v>
      </c>
      <c r="C5334">
        <f t="shared" ca="1" si="249"/>
        <v>1392.7499646251381</v>
      </c>
      <c r="D5334">
        <f t="shared" ca="1" si="250"/>
        <v>0</v>
      </c>
    </row>
    <row r="5335" spans="2:4" x14ac:dyDescent="0.25">
      <c r="B5335">
        <f t="shared" ca="1" si="251"/>
        <v>46519.118184084247</v>
      </c>
      <c r="C5335">
        <f t="shared" ca="1" si="249"/>
        <v>0</v>
      </c>
      <c r="D5335">
        <f t="shared" ca="1" si="250"/>
        <v>6519.1181840842473</v>
      </c>
    </row>
    <row r="5336" spans="2:4" x14ac:dyDescent="0.25">
      <c r="B5336">
        <f t="shared" ca="1" si="251"/>
        <v>47652.513627358938</v>
      </c>
      <c r="C5336">
        <f t="shared" ca="1" si="249"/>
        <v>0</v>
      </c>
      <c r="D5336">
        <f t="shared" ca="1" si="250"/>
        <v>7652.5136273589378</v>
      </c>
    </row>
    <row r="5337" spans="2:4" x14ac:dyDescent="0.25">
      <c r="B5337">
        <f t="shared" ca="1" si="251"/>
        <v>44116.174337989687</v>
      </c>
      <c r="C5337">
        <f t="shared" ca="1" si="249"/>
        <v>0</v>
      </c>
      <c r="D5337">
        <f t="shared" ca="1" si="250"/>
        <v>4116.174337989687</v>
      </c>
    </row>
    <row r="5338" spans="2:4" x14ac:dyDescent="0.25">
      <c r="B5338">
        <f t="shared" ca="1" si="251"/>
        <v>47351.284114020222</v>
      </c>
      <c r="C5338">
        <f t="shared" ca="1" si="249"/>
        <v>0</v>
      </c>
      <c r="D5338">
        <f t="shared" ca="1" si="250"/>
        <v>7351.2841140202218</v>
      </c>
    </row>
    <row r="5339" spans="2:4" x14ac:dyDescent="0.25">
      <c r="B5339">
        <f t="shared" ca="1" si="251"/>
        <v>46414.36557182292</v>
      </c>
      <c r="C5339">
        <f t="shared" ca="1" si="249"/>
        <v>0</v>
      </c>
      <c r="D5339">
        <f t="shared" ca="1" si="250"/>
        <v>6414.3655718229202</v>
      </c>
    </row>
    <row r="5340" spans="2:4" x14ac:dyDescent="0.25">
      <c r="B5340">
        <f t="shared" ca="1" si="251"/>
        <v>43165.577615137991</v>
      </c>
      <c r="C5340">
        <f t="shared" ca="1" si="249"/>
        <v>0</v>
      </c>
      <c r="D5340">
        <f t="shared" ca="1" si="250"/>
        <v>3165.5776151379905</v>
      </c>
    </row>
    <row r="5341" spans="2:4" x14ac:dyDescent="0.25">
      <c r="B5341">
        <f t="shared" ca="1" si="251"/>
        <v>47708.11075943688</v>
      </c>
      <c r="C5341">
        <f t="shared" ca="1" si="249"/>
        <v>0</v>
      </c>
      <c r="D5341">
        <f t="shared" ca="1" si="250"/>
        <v>7708.1107594368805</v>
      </c>
    </row>
    <row r="5342" spans="2:4" x14ac:dyDescent="0.25">
      <c r="B5342">
        <f t="shared" ca="1" si="251"/>
        <v>41190.232652823594</v>
      </c>
      <c r="C5342">
        <f t="shared" ca="1" si="249"/>
        <v>0</v>
      </c>
      <c r="D5342">
        <f t="shared" ca="1" si="250"/>
        <v>1190.2326528235935</v>
      </c>
    </row>
    <row r="5343" spans="2:4" x14ac:dyDescent="0.25">
      <c r="B5343">
        <f t="shared" ca="1" si="251"/>
        <v>43013.756195936679</v>
      </c>
      <c r="C5343">
        <f t="shared" ca="1" si="249"/>
        <v>0</v>
      </c>
      <c r="D5343">
        <f t="shared" ca="1" si="250"/>
        <v>3013.7561959366794</v>
      </c>
    </row>
    <row r="5344" spans="2:4" x14ac:dyDescent="0.25">
      <c r="B5344">
        <f t="shared" ca="1" si="251"/>
        <v>50093.4083044621</v>
      </c>
      <c r="C5344">
        <f t="shared" ca="1" si="249"/>
        <v>0</v>
      </c>
      <c r="D5344">
        <f t="shared" ca="1" si="250"/>
        <v>10093.4083044621</v>
      </c>
    </row>
    <row r="5345" spans="2:4" x14ac:dyDescent="0.25">
      <c r="B5345">
        <f t="shared" ca="1" si="251"/>
        <v>44763.506459739525</v>
      </c>
      <c r="C5345">
        <f t="shared" ca="1" si="249"/>
        <v>0</v>
      </c>
      <c r="D5345">
        <f t="shared" ca="1" si="250"/>
        <v>4763.5064597395249</v>
      </c>
    </row>
    <row r="5346" spans="2:4" x14ac:dyDescent="0.25">
      <c r="B5346">
        <f t="shared" ca="1" si="251"/>
        <v>37815.048010506107</v>
      </c>
      <c r="C5346">
        <f t="shared" ca="1" si="249"/>
        <v>2184.9519894938931</v>
      </c>
      <c r="D5346">
        <f t="shared" ca="1" si="250"/>
        <v>0</v>
      </c>
    </row>
    <row r="5347" spans="2:4" x14ac:dyDescent="0.25">
      <c r="B5347">
        <f t="shared" ca="1" si="251"/>
        <v>40073.848820549159</v>
      </c>
      <c r="C5347">
        <f t="shared" ca="1" si="249"/>
        <v>0</v>
      </c>
      <c r="D5347">
        <f t="shared" ca="1" si="250"/>
        <v>73.848820549159427</v>
      </c>
    </row>
    <row r="5348" spans="2:4" x14ac:dyDescent="0.25">
      <c r="B5348">
        <f t="shared" ca="1" si="251"/>
        <v>55337.770193885022</v>
      </c>
      <c r="C5348">
        <f t="shared" ca="1" si="249"/>
        <v>0</v>
      </c>
      <c r="D5348">
        <f t="shared" ca="1" si="250"/>
        <v>15337.770193885022</v>
      </c>
    </row>
    <row r="5349" spans="2:4" x14ac:dyDescent="0.25">
      <c r="B5349">
        <f t="shared" ca="1" si="251"/>
        <v>42711.17172100491</v>
      </c>
      <c r="C5349">
        <f t="shared" ca="1" si="249"/>
        <v>0</v>
      </c>
      <c r="D5349">
        <f t="shared" ca="1" si="250"/>
        <v>2711.1717210049101</v>
      </c>
    </row>
    <row r="5350" spans="2:4" x14ac:dyDescent="0.25">
      <c r="B5350">
        <f t="shared" ca="1" si="251"/>
        <v>40447.974484556857</v>
      </c>
      <c r="C5350">
        <f t="shared" ca="1" si="249"/>
        <v>0</v>
      </c>
      <c r="D5350">
        <f t="shared" ca="1" si="250"/>
        <v>447.97448455685662</v>
      </c>
    </row>
    <row r="5351" spans="2:4" x14ac:dyDescent="0.25">
      <c r="B5351">
        <f t="shared" ca="1" si="251"/>
        <v>45541.076986547647</v>
      </c>
      <c r="C5351">
        <f t="shared" ca="1" si="249"/>
        <v>0</v>
      </c>
      <c r="D5351">
        <f t="shared" ca="1" si="250"/>
        <v>5541.0769865476468</v>
      </c>
    </row>
    <row r="5352" spans="2:4" x14ac:dyDescent="0.25">
      <c r="B5352">
        <f t="shared" ca="1" si="251"/>
        <v>48929.633966051631</v>
      </c>
      <c r="C5352">
        <f t="shared" ca="1" si="249"/>
        <v>0</v>
      </c>
      <c r="D5352">
        <f t="shared" ca="1" si="250"/>
        <v>8929.6339660516314</v>
      </c>
    </row>
    <row r="5353" spans="2:4" x14ac:dyDescent="0.25">
      <c r="B5353">
        <f t="shared" ca="1" si="251"/>
        <v>54759.546162686209</v>
      </c>
      <c r="C5353">
        <f t="shared" ca="1" si="249"/>
        <v>0</v>
      </c>
      <c r="D5353">
        <f t="shared" ca="1" si="250"/>
        <v>14759.546162686209</v>
      </c>
    </row>
    <row r="5354" spans="2:4" x14ac:dyDescent="0.25">
      <c r="B5354">
        <f t="shared" ca="1" si="251"/>
        <v>48830.173262805511</v>
      </c>
      <c r="C5354">
        <f t="shared" ca="1" si="249"/>
        <v>0</v>
      </c>
      <c r="D5354">
        <f t="shared" ca="1" si="250"/>
        <v>8830.1732628055106</v>
      </c>
    </row>
    <row r="5355" spans="2:4" x14ac:dyDescent="0.25">
      <c r="B5355">
        <f t="shared" ca="1" si="251"/>
        <v>55987.842777432394</v>
      </c>
      <c r="C5355">
        <f t="shared" ca="1" si="249"/>
        <v>0</v>
      </c>
      <c r="D5355">
        <f t="shared" ca="1" si="250"/>
        <v>15987.842777432394</v>
      </c>
    </row>
    <row r="5356" spans="2:4" x14ac:dyDescent="0.25">
      <c r="B5356">
        <f t="shared" ca="1" si="251"/>
        <v>38265.103446821799</v>
      </c>
      <c r="C5356">
        <f t="shared" ca="1" si="249"/>
        <v>1734.8965531782014</v>
      </c>
      <c r="D5356">
        <f t="shared" ca="1" si="250"/>
        <v>0</v>
      </c>
    </row>
    <row r="5357" spans="2:4" x14ac:dyDescent="0.25">
      <c r="B5357">
        <f t="shared" ca="1" si="251"/>
        <v>45210.356723258068</v>
      </c>
      <c r="C5357">
        <f t="shared" ca="1" si="249"/>
        <v>0</v>
      </c>
      <c r="D5357">
        <f t="shared" ca="1" si="250"/>
        <v>5210.3567232580681</v>
      </c>
    </row>
    <row r="5358" spans="2:4" x14ac:dyDescent="0.25">
      <c r="B5358">
        <f t="shared" ca="1" si="251"/>
        <v>49374.608353716547</v>
      </c>
      <c r="C5358">
        <f t="shared" ca="1" si="249"/>
        <v>0</v>
      </c>
      <c r="D5358">
        <f t="shared" ca="1" si="250"/>
        <v>9374.6083537165468</v>
      </c>
    </row>
    <row r="5359" spans="2:4" x14ac:dyDescent="0.25">
      <c r="B5359">
        <f t="shared" ca="1" si="251"/>
        <v>42547.648506980157</v>
      </c>
      <c r="C5359">
        <f t="shared" ca="1" si="249"/>
        <v>0</v>
      </c>
      <c r="D5359">
        <f t="shared" ca="1" si="250"/>
        <v>2547.6485069801565</v>
      </c>
    </row>
    <row r="5360" spans="2:4" x14ac:dyDescent="0.25">
      <c r="B5360">
        <f t="shared" ca="1" si="251"/>
        <v>45844.347553204119</v>
      </c>
      <c r="C5360">
        <f t="shared" ca="1" si="249"/>
        <v>0</v>
      </c>
      <c r="D5360">
        <f t="shared" ca="1" si="250"/>
        <v>5844.3475532041193</v>
      </c>
    </row>
    <row r="5361" spans="2:4" x14ac:dyDescent="0.25">
      <c r="B5361">
        <f t="shared" ca="1" si="251"/>
        <v>43756.936560874914</v>
      </c>
      <c r="C5361">
        <f t="shared" ca="1" si="249"/>
        <v>0</v>
      </c>
      <c r="D5361">
        <f t="shared" ca="1" si="250"/>
        <v>3756.936560874914</v>
      </c>
    </row>
    <row r="5362" spans="2:4" x14ac:dyDescent="0.25">
      <c r="B5362">
        <f t="shared" ca="1" si="251"/>
        <v>48050.493258511277</v>
      </c>
      <c r="C5362">
        <f t="shared" ca="1" si="249"/>
        <v>0</v>
      </c>
      <c r="D5362">
        <f t="shared" ca="1" si="250"/>
        <v>8050.4932585112765</v>
      </c>
    </row>
    <row r="5363" spans="2:4" x14ac:dyDescent="0.25">
      <c r="B5363">
        <f t="shared" ca="1" si="251"/>
        <v>45803.665931980853</v>
      </c>
      <c r="C5363">
        <f t="shared" ca="1" si="249"/>
        <v>0</v>
      </c>
      <c r="D5363">
        <f t="shared" ca="1" si="250"/>
        <v>5803.6659319808532</v>
      </c>
    </row>
    <row r="5364" spans="2:4" x14ac:dyDescent="0.25">
      <c r="B5364">
        <f t="shared" ca="1" si="251"/>
        <v>41458.776606523774</v>
      </c>
      <c r="C5364">
        <f t="shared" ca="1" si="249"/>
        <v>0</v>
      </c>
      <c r="D5364">
        <f t="shared" ca="1" si="250"/>
        <v>1458.7766065237738</v>
      </c>
    </row>
    <row r="5365" spans="2:4" x14ac:dyDescent="0.25">
      <c r="B5365">
        <f t="shared" ca="1" si="251"/>
        <v>38271.497922948009</v>
      </c>
      <c r="C5365">
        <f t="shared" ca="1" si="249"/>
        <v>1728.5020770519914</v>
      </c>
      <c r="D5365">
        <f t="shared" ca="1" si="250"/>
        <v>0</v>
      </c>
    </row>
    <row r="5366" spans="2:4" x14ac:dyDescent="0.25">
      <c r="B5366">
        <f t="shared" ca="1" si="251"/>
        <v>47734.991009581565</v>
      </c>
      <c r="C5366">
        <f t="shared" ca="1" si="249"/>
        <v>0</v>
      </c>
      <c r="D5366">
        <f t="shared" ca="1" si="250"/>
        <v>7734.9910095815649</v>
      </c>
    </row>
    <row r="5367" spans="2:4" x14ac:dyDescent="0.25">
      <c r="B5367">
        <f t="shared" ca="1" si="251"/>
        <v>51532.81293927323</v>
      </c>
      <c r="C5367">
        <f t="shared" ca="1" si="249"/>
        <v>0</v>
      </c>
      <c r="D5367">
        <f t="shared" ca="1" si="250"/>
        <v>11532.81293927323</v>
      </c>
    </row>
    <row r="5368" spans="2:4" x14ac:dyDescent="0.25">
      <c r="B5368">
        <f t="shared" ca="1" si="251"/>
        <v>50986.867527073991</v>
      </c>
      <c r="C5368">
        <f t="shared" ca="1" si="249"/>
        <v>0</v>
      </c>
      <c r="D5368">
        <f t="shared" ca="1" si="250"/>
        <v>10986.867527073991</v>
      </c>
    </row>
    <row r="5369" spans="2:4" x14ac:dyDescent="0.25">
      <c r="B5369">
        <f t="shared" ca="1" si="251"/>
        <v>42774.835674356822</v>
      </c>
      <c r="C5369">
        <f t="shared" ca="1" si="249"/>
        <v>0</v>
      </c>
      <c r="D5369">
        <f t="shared" ca="1" si="250"/>
        <v>2774.835674356822</v>
      </c>
    </row>
    <row r="5370" spans="2:4" x14ac:dyDescent="0.25">
      <c r="B5370">
        <f t="shared" ca="1" si="251"/>
        <v>46841.237556444488</v>
      </c>
      <c r="C5370">
        <f t="shared" ca="1" si="249"/>
        <v>0</v>
      </c>
      <c r="D5370">
        <f t="shared" ca="1" si="250"/>
        <v>6841.2375564444883</v>
      </c>
    </row>
    <row r="5371" spans="2:4" x14ac:dyDescent="0.25">
      <c r="B5371">
        <f t="shared" ca="1" si="251"/>
        <v>48564.876055122601</v>
      </c>
      <c r="C5371">
        <f t="shared" ca="1" si="249"/>
        <v>0</v>
      </c>
      <c r="D5371">
        <f t="shared" ca="1" si="250"/>
        <v>8564.8760551226005</v>
      </c>
    </row>
    <row r="5372" spans="2:4" x14ac:dyDescent="0.25">
      <c r="B5372">
        <f t="shared" ca="1" si="251"/>
        <v>57277.996365420244</v>
      </c>
      <c r="C5372">
        <f t="shared" ca="1" si="249"/>
        <v>0</v>
      </c>
      <c r="D5372">
        <f t="shared" ca="1" si="250"/>
        <v>17277.996365420244</v>
      </c>
    </row>
    <row r="5373" spans="2:4" x14ac:dyDescent="0.25">
      <c r="B5373">
        <f t="shared" ca="1" si="251"/>
        <v>38805.158013933236</v>
      </c>
      <c r="C5373">
        <f t="shared" ca="1" si="249"/>
        <v>1194.8419860667636</v>
      </c>
      <c r="D5373">
        <f t="shared" ca="1" si="250"/>
        <v>0</v>
      </c>
    </row>
    <row r="5374" spans="2:4" x14ac:dyDescent="0.25">
      <c r="B5374">
        <f t="shared" ca="1" si="251"/>
        <v>45154.621110939523</v>
      </c>
      <c r="C5374">
        <f t="shared" ca="1" si="249"/>
        <v>0</v>
      </c>
      <c r="D5374">
        <f t="shared" ca="1" si="250"/>
        <v>5154.6211109395226</v>
      </c>
    </row>
    <row r="5375" spans="2:4" x14ac:dyDescent="0.25">
      <c r="B5375">
        <f t="shared" ca="1" si="251"/>
        <v>43499.794167910761</v>
      </c>
      <c r="C5375">
        <f t="shared" ca="1" si="249"/>
        <v>0</v>
      </c>
      <c r="D5375">
        <f t="shared" ca="1" si="250"/>
        <v>3499.7941679107607</v>
      </c>
    </row>
    <row r="5376" spans="2:4" x14ac:dyDescent="0.25">
      <c r="B5376">
        <f t="shared" ca="1" si="251"/>
        <v>46939.800381766203</v>
      </c>
      <c r="C5376">
        <f t="shared" ca="1" si="249"/>
        <v>0</v>
      </c>
      <c r="D5376">
        <f t="shared" ca="1" si="250"/>
        <v>6939.8003817662029</v>
      </c>
    </row>
    <row r="5377" spans="2:4" x14ac:dyDescent="0.25">
      <c r="B5377">
        <f t="shared" ca="1" si="251"/>
        <v>48705.266154097364</v>
      </c>
      <c r="C5377">
        <f t="shared" ca="1" si="249"/>
        <v>0</v>
      </c>
      <c r="D5377">
        <f t="shared" ca="1" si="250"/>
        <v>8705.2661540973641</v>
      </c>
    </row>
    <row r="5378" spans="2:4" x14ac:dyDescent="0.25">
      <c r="B5378">
        <f t="shared" ca="1" si="251"/>
        <v>40403.450660092902</v>
      </c>
      <c r="C5378">
        <f t="shared" ca="1" si="249"/>
        <v>0</v>
      </c>
      <c r="D5378">
        <f t="shared" ca="1" si="250"/>
        <v>403.45066009290167</v>
      </c>
    </row>
    <row r="5379" spans="2:4" x14ac:dyDescent="0.25">
      <c r="B5379">
        <f t="shared" ca="1" si="251"/>
        <v>36974.447218831665</v>
      </c>
      <c r="C5379">
        <f t="shared" ca="1" si="249"/>
        <v>3025.5527811683351</v>
      </c>
      <c r="D5379">
        <f t="shared" ca="1" si="250"/>
        <v>0</v>
      </c>
    </row>
    <row r="5380" spans="2:4" x14ac:dyDescent="0.25">
      <c r="B5380">
        <f t="shared" ca="1" si="251"/>
        <v>49268.960466096592</v>
      </c>
      <c r="C5380">
        <f t="shared" ca="1" si="249"/>
        <v>0</v>
      </c>
      <c r="D5380">
        <f t="shared" ca="1" si="250"/>
        <v>9268.9604660965924</v>
      </c>
    </row>
    <row r="5381" spans="2:4" x14ac:dyDescent="0.25">
      <c r="B5381">
        <f t="shared" ca="1" si="251"/>
        <v>36921.275564029653</v>
      </c>
      <c r="C5381">
        <f t="shared" ca="1" si="249"/>
        <v>3078.7244359703473</v>
      </c>
      <c r="D5381">
        <f t="shared" ca="1" si="250"/>
        <v>0</v>
      </c>
    </row>
    <row r="5382" spans="2:4" x14ac:dyDescent="0.25">
      <c r="B5382">
        <f t="shared" ca="1" si="251"/>
        <v>41960.534091786772</v>
      </c>
      <c r="C5382">
        <f t="shared" ca="1" si="249"/>
        <v>0</v>
      </c>
      <c r="D5382">
        <f t="shared" ca="1" si="250"/>
        <v>1960.5340917867725</v>
      </c>
    </row>
    <row r="5383" spans="2:4" x14ac:dyDescent="0.25">
      <c r="B5383">
        <f t="shared" ca="1" si="251"/>
        <v>49116.828857573382</v>
      </c>
      <c r="C5383">
        <f t="shared" ca="1" si="249"/>
        <v>0</v>
      </c>
      <c r="D5383">
        <f t="shared" ca="1" si="250"/>
        <v>9116.8288575733823</v>
      </c>
    </row>
    <row r="5384" spans="2:4" x14ac:dyDescent="0.25">
      <c r="B5384">
        <f t="shared" ca="1" si="251"/>
        <v>42733.82111783186</v>
      </c>
      <c r="C5384">
        <f t="shared" ca="1" si="249"/>
        <v>0</v>
      </c>
      <c r="D5384">
        <f t="shared" ca="1" si="250"/>
        <v>2733.8211178318597</v>
      </c>
    </row>
    <row r="5385" spans="2:4" x14ac:dyDescent="0.25">
      <c r="B5385">
        <f t="shared" ca="1" si="251"/>
        <v>47034.318545233007</v>
      </c>
      <c r="C5385">
        <f t="shared" ca="1" si="249"/>
        <v>0</v>
      </c>
      <c r="D5385">
        <f t="shared" ca="1" si="250"/>
        <v>7034.3185452330072</v>
      </c>
    </row>
    <row r="5386" spans="2:4" x14ac:dyDescent="0.25">
      <c r="B5386">
        <f t="shared" ca="1" si="251"/>
        <v>49798.498991325883</v>
      </c>
      <c r="C5386">
        <f t="shared" ca="1" si="249"/>
        <v>0</v>
      </c>
      <c r="D5386">
        <f t="shared" ca="1" si="250"/>
        <v>9798.4989913258833</v>
      </c>
    </row>
    <row r="5387" spans="2:4" x14ac:dyDescent="0.25">
      <c r="B5387">
        <f t="shared" ca="1" si="251"/>
        <v>38302.009238969571</v>
      </c>
      <c r="C5387">
        <f t="shared" ca="1" si="249"/>
        <v>1697.990761030429</v>
      </c>
      <c r="D5387">
        <f t="shared" ca="1" si="250"/>
        <v>0</v>
      </c>
    </row>
    <row r="5388" spans="2:4" x14ac:dyDescent="0.25">
      <c r="B5388">
        <f t="shared" ca="1" si="251"/>
        <v>47351.14905630565</v>
      </c>
      <c r="C5388">
        <f t="shared" ref="C5388:C5451" ca="1" si="252">IF(MAX($B$2-B5388)&lt;0,0,$B$2-B5388)</f>
        <v>0</v>
      </c>
      <c r="D5388">
        <f t="shared" ref="D5388:D5451" ca="1" si="253">IF(MAX(B5388-$B$2)&lt;0,0,B5388-$B$2)</f>
        <v>7351.1490563056504</v>
      </c>
    </row>
    <row r="5389" spans="2:4" x14ac:dyDescent="0.25">
      <c r="B5389">
        <f t="shared" ref="B5389:B5452" ca="1" si="254">$B$1*EXP((($B$4-($B$3^2)/2)*$B$5+$B$3*SQRT($B$5)*NORMSINV(RAND())))</f>
        <v>46558.55930927334</v>
      </c>
      <c r="C5389">
        <f t="shared" ca="1" si="252"/>
        <v>0</v>
      </c>
      <c r="D5389">
        <f t="shared" ca="1" si="253"/>
        <v>6558.5593092733397</v>
      </c>
    </row>
    <row r="5390" spans="2:4" x14ac:dyDescent="0.25">
      <c r="B5390">
        <f t="shared" ca="1" si="254"/>
        <v>39096.414988595905</v>
      </c>
      <c r="C5390">
        <f t="shared" ca="1" si="252"/>
        <v>903.58501140409498</v>
      </c>
      <c r="D5390">
        <f t="shared" ca="1" si="253"/>
        <v>0</v>
      </c>
    </row>
    <row r="5391" spans="2:4" x14ac:dyDescent="0.25">
      <c r="B5391">
        <f t="shared" ca="1" si="254"/>
        <v>39815.511315814401</v>
      </c>
      <c r="C5391">
        <f t="shared" ca="1" si="252"/>
        <v>184.48868418559869</v>
      </c>
      <c r="D5391">
        <f t="shared" ca="1" si="253"/>
        <v>0</v>
      </c>
    </row>
    <row r="5392" spans="2:4" x14ac:dyDescent="0.25">
      <c r="B5392">
        <f t="shared" ca="1" si="254"/>
        <v>42146.748049183021</v>
      </c>
      <c r="C5392">
        <f t="shared" ca="1" si="252"/>
        <v>0</v>
      </c>
      <c r="D5392">
        <f t="shared" ca="1" si="253"/>
        <v>2146.7480491830211</v>
      </c>
    </row>
    <row r="5393" spans="2:4" x14ac:dyDescent="0.25">
      <c r="B5393">
        <f t="shared" ca="1" si="254"/>
        <v>44084.204563967622</v>
      </c>
      <c r="C5393">
        <f t="shared" ca="1" si="252"/>
        <v>0</v>
      </c>
      <c r="D5393">
        <f t="shared" ca="1" si="253"/>
        <v>4084.2045639676217</v>
      </c>
    </row>
    <row r="5394" spans="2:4" x14ac:dyDescent="0.25">
      <c r="B5394">
        <f t="shared" ca="1" si="254"/>
        <v>51466.415231637453</v>
      </c>
      <c r="C5394">
        <f t="shared" ca="1" si="252"/>
        <v>0</v>
      </c>
      <c r="D5394">
        <f t="shared" ca="1" si="253"/>
        <v>11466.415231637453</v>
      </c>
    </row>
    <row r="5395" spans="2:4" x14ac:dyDescent="0.25">
      <c r="B5395">
        <f t="shared" ca="1" si="254"/>
        <v>47012.445535406361</v>
      </c>
      <c r="C5395">
        <f t="shared" ca="1" si="252"/>
        <v>0</v>
      </c>
      <c r="D5395">
        <f t="shared" ca="1" si="253"/>
        <v>7012.4455354063612</v>
      </c>
    </row>
    <row r="5396" spans="2:4" x14ac:dyDescent="0.25">
      <c r="B5396">
        <f t="shared" ca="1" si="254"/>
        <v>54840.521474730951</v>
      </c>
      <c r="C5396">
        <f t="shared" ca="1" si="252"/>
        <v>0</v>
      </c>
      <c r="D5396">
        <f t="shared" ca="1" si="253"/>
        <v>14840.521474730951</v>
      </c>
    </row>
    <row r="5397" spans="2:4" x14ac:dyDescent="0.25">
      <c r="B5397">
        <f t="shared" ca="1" si="254"/>
        <v>39384.189944180755</v>
      </c>
      <c r="C5397">
        <f t="shared" ca="1" si="252"/>
        <v>615.81005581924546</v>
      </c>
      <c r="D5397">
        <f t="shared" ca="1" si="253"/>
        <v>0</v>
      </c>
    </row>
    <row r="5398" spans="2:4" x14ac:dyDescent="0.25">
      <c r="B5398">
        <f t="shared" ca="1" si="254"/>
        <v>44018.777697040539</v>
      </c>
      <c r="C5398">
        <f t="shared" ca="1" si="252"/>
        <v>0</v>
      </c>
      <c r="D5398">
        <f t="shared" ca="1" si="253"/>
        <v>4018.7776970405394</v>
      </c>
    </row>
    <row r="5399" spans="2:4" x14ac:dyDescent="0.25">
      <c r="B5399">
        <f t="shared" ca="1" si="254"/>
        <v>45374.844833988187</v>
      </c>
      <c r="C5399">
        <f t="shared" ca="1" si="252"/>
        <v>0</v>
      </c>
      <c r="D5399">
        <f t="shared" ca="1" si="253"/>
        <v>5374.844833988187</v>
      </c>
    </row>
    <row r="5400" spans="2:4" x14ac:dyDescent="0.25">
      <c r="B5400">
        <f t="shared" ca="1" si="254"/>
        <v>49872.031506114829</v>
      </c>
      <c r="C5400">
        <f t="shared" ca="1" si="252"/>
        <v>0</v>
      </c>
      <c r="D5400">
        <f t="shared" ca="1" si="253"/>
        <v>9872.0315061148285</v>
      </c>
    </row>
    <row r="5401" spans="2:4" x14ac:dyDescent="0.25">
      <c r="B5401">
        <f t="shared" ca="1" si="254"/>
        <v>39620.012555497415</v>
      </c>
      <c r="C5401">
        <f t="shared" ca="1" si="252"/>
        <v>379.98744450258528</v>
      </c>
      <c r="D5401">
        <f t="shared" ca="1" si="253"/>
        <v>0</v>
      </c>
    </row>
    <row r="5402" spans="2:4" x14ac:dyDescent="0.25">
      <c r="B5402">
        <f t="shared" ca="1" si="254"/>
        <v>42322.656792779548</v>
      </c>
      <c r="C5402">
        <f t="shared" ca="1" si="252"/>
        <v>0</v>
      </c>
      <c r="D5402">
        <f t="shared" ca="1" si="253"/>
        <v>2322.6567927795477</v>
      </c>
    </row>
    <row r="5403" spans="2:4" x14ac:dyDescent="0.25">
      <c r="B5403">
        <f t="shared" ca="1" si="254"/>
        <v>48195.212730304767</v>
      </c>
      <c r="C5403">
        <f t="shared" ca="1" si="252"/>
        <v>0</v>
      </c>
      <c r="D5403">
        <f t="shared" ca="1" si="253"/>
        <v>8195.2127303047673</v>
      </c>
    </row>
    <row r="5404" spans="2:4" x14ac:dyDescent="0.25">
      <c r="B5404">
        <f t="shared" ca="1" si="254"/>
        <v>50221.971943875229</v>
      </c>
      <c r="C5404">
        <f t="shared" ca="1" si="252"/>
        <v>0</v>
      </c>
      <c r="D5404">
        <f t="shared" ca="1" si="253"/>
        <v>10221.971943875229</v>
      </c>
    </row>
    <row r="5405" spans="2:4" x14ac:dyDescent="0.25">
      <c r="B5405">
        <f t="shared" ca="1" si="254"/>
        <v>48348.294778011041</v>
      </c>
      <c r="C5405">
        <f t="shared" ca="1" si="252"/>
        <v>0</v>
      </c>
      <c r="D5405">
        <f t="shared" ca="1" si="253"/>
        <v>8348.2947780110408</v>
      </c>
    </row>
    <row r="5406" spans="2:4" x14ac:dyDescent="0.25">
      <c r="B5406">
        <f t="shared" ca="1" si="254"/>
        <v>48589.295913051799</v>
      </c>
      <c r="C5406">
        <f t="shared" ca="1" si="252"/>
        <v>0</v>
      </c>
      <c r="D5406">
        <f t="shared" ca="1" si="253"/>
        <v>8589.2959130517993</v>
      </c>
    </row>
    <row r="5407" spans="2:4" x14ac:dyDescent="0.25">
      <c r="B5407">
        <f t="shared" ca="1" si="254"/>
        <v>47063.6967579134</v>
      </c>
      <c r="C5407">
        <f t="shared" ca="1" si="252"/>
        <v>0</v>
      </c>
      <c r="D5407">
        <f t="shared" ca="1" si="253"/>
        <v>7063.6967579133998</v>
      </c>
    </row>
    <row r="5408" spans="2:4" x14ac:dyDescent="0.25">
      <c r="B5408">
        <f t="shared" ca="1" si="254"/>
        <v>50576.225219434957</v>
      </c>
      <c r="C5408">
        <f t="shared" ca="1" si="252"/>
        <v>0</v>
      </c>
      <c r="D5408">
        <f t="shared" ca="1" si="253"/>
        <v>10576.225219434957</v>
      </c>
    </row>
    <row r="5409" spans="2:4" x14ac:dyDescent="0.25">
      <c r="B5409">
        <f t="shared" ca="1" si="254"/>
        <v>44868.146588135794</v>
      </c>
      <c r="C5409">
        <f t="shared" ca="1" si="252"/>
        <v>0</v>
      </c>
      <c r="D5409">
        <f t="shared" ca="1" si="253"/>
        <v>4868.1465881357944</v>
      </c>
    </row>
    <row r="5410" spans="2:4" x14ac:dyDescent="0.25">
      <c r="B5410">
        <f t="shared" ca="1" si="254"/>
        <v>40372.539399476722</v>
      </c>
      <c r="C5410">
        <f t="shared" ca="1" si="252"/>
        <v>0</v>
      </c>
      <c r="D5410">
        <f t="shared" ca="1" si="253"/>
        <v>372.53939947672188</v>
      </c>
    </row>
    <row r="5411" spans="2:4" x14ac:dyDescent="0.25">
      <c r="B5411">
        <f t="shared" ca="1" si="254"/>
        <v>40460.831821533095</v>
      </c>
      <c r="C5411">
        <f t="shared" ca="1" si="252"/>
        <v>0</v>
      </c>
      <c r="D5411">
        <f t="shared" ca="1" si="253"/>
        <v>460.83182153309463</v>
      </c>
    </row>
    <row r="5412" spans="2:4" x14ac:dyDescent="0.25">
      <c r="B5412">
        <f t="shared" ca="1" si="254"/>
        <v>42203.783880120354</v>
      </c>
      <c r="C5412">
        <f t="shared" ca="1" si="252"/>
        <v>0</v>
      </c>
      <c r="D5412">
        <f t="shared" ca="1" si="253"/>
        <v>2203.7838801203543</v>
      </c>
    </row>
    <row r="5413" spans="2:4" x14ac:dyDescent="0.25">
      <c r="B5413">
        <f t="shared" ca="1" si="254"/>
        <v>42228.547690401792</v>
      </c>
      <c r="C5413">
        <f t="shared" ca="1" si="252"/>
        <v>0</v>
      </c>
      <c r="D5413">
        <f t="shared" ca="1" si="253"/>
        <v>2228.5476904017924</v>
      </c>
    </row>
    <row r="5414" spans="2:4" x14ac:dyDescent="0.25">
      <c r="B5414">
        <f t="shared" ca="1" si="254"/>
        <v>40260.092073434171</v>
      </c>
      <c r="C5414">
        <f t="shared" ca="1" si="252"/>
        <v>0</v>
      </c>
      <c r="D5414">
        <f t="shared" ca="1" si="253"/>
        <v>260.09207343417074</v>
      </c>
    </row>
    <row r="5415" spans="2:4" x14ac:dyDescent="0.25">
      <c r="B5415">
        <f t="shared" ca="1" si="254"/>
        <v>47608.663217740846</v>
      </c>
      <c r="C5415">
        <f t="shared" ca="1" si="252"/>
        <v>0</v>
      </c>
      <c r="D5415">
        <f t="shared" ca="1" si="253"/>
        <v>7608.6632177408464</v>
      </c>
    </row>
    <row r="5416" spans="2:4" x14ac:dyDescent="0.25">
      <c r="B5416">
        <f t="shared" ca="1" si="254"/>
        <v>49880.232942102266</v>
      </c>
      <c r="C5416">
        <f t="shared" ca="1" si="252"/>
        <v>0</v>
      </c>
      <c r="D5416">
        <f t="shared" ca="1" si="253"/>
        <v>9880.232942102266</v>
      </c>
    </row>
    <row r="5417" spans="2:4" x14ac:dyDescent="0.25">
      <c r="B5417">
        <f t="shared" ca="1" si="254"/>
        <v>39550.120130034127</v>
      </c>
      <c r="C5417">
        <f t="shared" ca="1" si="252"/>
        <v>449.87986996587279</v>
      </c>
      <c r="D5417">
        <f t="shared" ca="1" si="253"/>
        <v>0</v>
      </c>
    </row>
    <row r="5418" spans="2:4" x14ac:dyDescent="0.25">
      <c r="B5418">
        <f t="shared" ca="1" si="254"/>
        <v>44493.191580560291</v>
      </c>
      <c r="C5418">
        <f t="shared" ca="1" si="252"/>
        <v>0</v>
      </c>
      <c r="D5418">
        <f t="shared" ca="1" si="253"/>
        <v>4493.1915805602912</v>
      </c>
    </row>
    <row r="5419" spans="2:4" x14ac:dyDescent="0.25">
      <c r="B5419">
        <f t="shared" ca="1" si="254"/>
        <v>41902.677132219302</v>
      </c>
      <c r="C5419">
        <f t="shared" ca="1" si="252"/>
        <v>0</v>
      </c>
      <c r="D5419">
        <f t="shared" ca="1" si="253"/>
        <v>1902.6771322193017</v>
      </c>
    </row>
    <row r="5420" spans="2:4" x14ac:dyDescent="0.25">
      <c r="B5420">
        <f t="shared" ca="1" si="254"/>
        <v>41135.626705215429</v>
      </c>
      <c r="C5420">
        <f t="shared" ca="1" si="252"/>
        <v>0</v>
      </c>
      <c r="D5420">
        <f t="shared" ca="1" si="253"/>
        <v>1135.626705215429</v>
      </c>
    </row>
    <row r="5421" spans="2:4" x14ac:dyDescent="0.25">
      <c r="B5421">
        <f t="shared" ca="1" si="254"/>
        <v>45426.404969272277</v>
      </c>
      <c r="C5421">
        <f t="shared" ca="1" si="252"/>
        <v>0</v>
      </c>
      <c r="D5421">
        <f t="shared" ca="1" si="253"/>
        <v>5426.4049692722765</v>
      </c>
    </row>
    <row r="5422" spans="2:4" x14ac:dyDescent="0.25">
      <c r="B5422">
        <f t="shared" ca="1" si="254"/>
        <v>47655.748887821275</v>
      </c>
      <c r="C5422">
        <f t="shared" ca="1" si="252"/>
        <v>0</v>
      </c>
      <c r="D5422">
        <f t="shared" ca="1" si="253"/>
        <v>7655.7488878212753</v>
      </c>
    </row>
    <row r="5423" spans="2:4" x14ac:dyDescent="0.25">
      <c r="B5423">
        <f t="shared" ca="1" si="254"/>
        <v>46978.267277083069</v>
      </c>
      <c r="C5423">
        <f t="shared" ca="1" si="252"/>
        <v>0</v>
      </c>
      <c r="D5423">
        <f t="shared" ca="1" si="253"/>
        <v>6978.2672770830686</v>
      </c>
    </row>
    <row r="5424" spans="2:4" x14ac:dyDescent="0.25">
      <c r="B5424">
        <f t="shared" ca="1" si="254"/>
        <v>47840.629876550272</v>
      </c>
      <c r="C5424">
        <f t="shared" ca="1" si="252"/>
        <v>0</v>
      </c>
      <c r="D5424">
        <f t="shared" ca="1" si="253"/>
        <v>7840.6298765502725</v>
      </c>
    </row>
    <row r="5425" spans="2:4" x14ac:dyDescent="0.25">
      <c r="B5425">
        <f t="shared" ca="1" si="254"/>
        <v>44172.119891678238</v>
      </c>
      <c r="C5425">
        <f t="shared" ca="1" si="252"/>
        <v>0</v>
      </c>
      <c r="D5425">
        <f t="shared" ca="1" si="253"/>
        <v>4172.1198916782378</v>
      </c>
    </row>
    <row r="5426" spans="2:4" x14ac:dyDescent="0.25">
      <c r="B5426">
        <f t="shared" ca="1" si="254"/>
        <v>43416.690149962466</v>
      </c>
      <c r="C5426">
        <f t="shared" ca="1" si="252"/>
        <v>0</v>
      </c>
      <c r="D5426">
        <f t="shared" ca="1" si="253"/>
        <v>3416.6901499624655</v>
      </c>
    </row>
    <row r="5427" spans="2:4" x14ac:dyDescent="0.25">
      <c r="B5427">
        <f t="shared" ca="1" si="254"/>
        <v>32667.671928080232</v>
      </c>
      <c r="C5427">
        <f t="shared" ca="1" si="252"/>
        <v>7332.3280719197683</v>
      </c>
      <c r="D5427">
        <f t="shared" ca="1" si="253"/>
        <v>0</v>
      </c>
    </row>
    <row r="5428" spans="2:4" x14ac:dyDescent="0.25">
      <c r="B5428">
        <f t="shared" ca="1" si="254"/>
        <v>35091.789872533693</v>
      </c>
      <c r="C5428">
        <f t="shared" ca="1" si="252"/>
        <v>4908.2101274663073</v>
      </c>
      <c r="D5428">
        <f t="shared" ca="1" si="253"/>
        <v>0</v>
      </c>
    </row>
    <row r="5429" spans="2:4" x14ac:dyDescent="0.25">
      <c r="B5429">
        <f t="shared" ca="1" si="254"/>
        <v>45973.212468364472</v>
      </c>
      <c r="C5429">
        <f t="shared" ca="1" si="252"/>
        <v>0</v>
      </c>
      <c r="D5429">
        <f t="shared" ca="1" si="253"/>
        <v>5973.2124683644724</v>
      </c>
    </row>
    <row r="5430" spans="2:4" x14ac:dyDescent="0.25">
      <c r="B5430">
        <f t="shared" ca="1" si="254"/>
        <v>42370.085979204465</v>
      </c>
      <c r="C5430">
        <f t="shared" ca="1" si="252"/>
        <v>0</v>
      </c>
      <c r="D5430">
        <f t="shared" ca="1" si="253"/>
        <v>2370.0859792044648</v>
      </c>
    </row>
    <row r="5431" spans="2:4" x14ac:dyDescent="0.25">
      <c r="B5431">
        <f t="shared" ca="1" si="254"/>
        <v>55981.134224578047</v>
      </c>
      <c r="C5431">
        <f t="shared" ca="1" si="252"/>
        <v>0</v>
      </c>
      <c r="D5431">
        <f t="shared" ca="1" si="253"/>
        <v>15981.134224578047</v>
      </c>
    </row>
    <row r="5432" spans="2:4" x14ac:dyDescent="0.25">
      <c r="B5432">
        <f t="shared" ca="1" si="254"/>
        <v>42491.216000004002</v>
      </c>
      <c r="C5432">
        <f t="shared" ca="1" si="252"/>
        <v>0</v>
      </c>
      <c r="D5432">
        <f t="shared" ca="1" si="253"/>
        <v>2491.2160000040021</v>
      </c>
    </row>
    <row r="5433" spans="2:4" x14ac:dyDescent="0.25">
      <c r="B5433">
        <f t="shared" ca="1" si="254"/>
        <v>44100.409000830812</v>
      </c>
      <c r="C5433">
        <f t="shared" ca="1" si="252"/>
        <v>0</v>
      </c>
      <c r="D5433">
        <f t="shared" ca="1" si="253"/>
        <v>4100.4090008308121</v>
      </c>
    </row>
    <row r="5434" spans="2:4" x14ac:dyDescent="0.25">
      <c r="B5434">
        <f t="shared" ca="1" si="254"/>
        <v>48417.401364861325</v>
      </c>
      <c r="C5434">
        <f t="shared" ca="1" si="252"/>
        <v>0</v>
      </c>
      <c r="D5434">
        <f t="shared" ca="1" si="253"/>
        <v>8417.4013648613254</v>
      </c>
    </row>
    <row r="5435" spans="2:4" x14ac:dyDescent="0.25">
      <c r="B5435">
        <f t="shared" ca="1" si="254"/>
        <v>51877.490199535852</v>
      </c>
      <c r="C5435">
        <f t="shared" ca="1" si="252"/>
        <v>0</v>
      </c>
      <c r="D5435">
        <f t="shared" ca="1" si="253"/>
        <v>11877.490199535852</v>
      </c>
    </row>
    <row r="5436" spans="2:4" x14ac:dyDescent="0.25">
      <c r="B5436">
        <f t="shared" ca="1" si="254"/>
        <v>46307.528322978964</v>
      </c>
      <c r="C5436">
        <f t="shared" ca="1" si="252"/>
        <v>0</v>
      </c>
      <c r="D5436">
        <f t="shared" ca="1" si="253"/>
        <v>6307.5283229789638</v>
      </c>
    </row>
    <row r="5437" spans="2:4" x14ac:dyDescent="0.25">
      <c r="B5437">
        <f t="shared" ca="1" si="254"/>
        <v>35124.700776243044</v>
      </c>
      <c r="C5437">
        <f t="shared" ca="1" si="252"/>
        <v>4875.2992237569561</v>
      </c>
      <c r="D5437">
        <f t="shared" ca="1" si="253"/>
        <v>0</v>
      </c>
    </row>
    <row r="5438" spans="2:4" x14ac:dyDescent="0.25">
      <c r="B5438">
        <f t="shared" ca="1" si="254"/>
        <v>39558.481356377655</v>
      </c>
      <c r="C5438">
        <f t="shared" ca="1" si="252"/>
        <v>441.51864362234483</v>
      </c>
      <c r="D5438">
        <f t="shared" ca="1" si="253"/>
        <v>0</v>
      </c>
    </row>
    <row r="5439" spans="2:4" x14ac:dyDescent="0.25">
      <c r="B5439">
        <f t="shared" ca="1" si="254"/>
        <v>48198.019289238749</v>
      </c>
      <c r="C5439">
        <f t="shared" ca="1" si="252"/>
        <v>0</v>
      </c>
      <c r="D5439">
        <f t="shared" ca="1" si="253"/>
        <v>8198.0192892387495</v>
      </c>
    </row>
    <row r="5440" spans="2:4" x14ac:dyDescent="0.25">
      <c r="B5440">
        <f t="shared" ca="1" si="254"/>
        <v>36903.213691822144</v>
      </c>
      <c r="C5440">
        <f t="shared" ca="1" si="252"/>
        <v>3096.786308177856</v>
      </c>
      <c r="D5440">
        <f t="shared" ca="1" si="253"/>
        <v>0</v>
      </c>
    </row>
    <row r="5441" spans="2:4" x14ac:dyDescent="0.25">
      <c r="B5441">
        <f t="shared" ca="1" si="254"/>
        <v>44568.619446349599</v>
      </c>
      <c r="C5441">
        <f t="shared" ca="1" si="252"/>
        <v>0</v>
      </c>
      <c r="D5441">
        <f t="shared" ca="1" si="253"/>
        <v>4568.6194463495995</v>
      </c>
    </row>
    <row r="5442" spans="2:4" x14ac:dyDescent="0.25">
      <c r="B5442">
        <f t="shared" ca="1" si="254"/>
        <v>39572.030457843815</v>
      </c>
      <c r="C5442">
        <f t="shared" ca="1" si="252"/>
        <v>427.96954215618462</v>
      </c>
      <c r="D5442">
        <f t="shared" ca="1" si="253"/>
        <v>0</v>
      </c>
    </row>
    <row r="5443" spans="2:4" x14ac:dyDescent="0.25">
      <c r="B5443">
        <f t="shared" ca="1" si="254"/>
        <v>42095.183145698429</v>
      </c>
      <c r="C5443">
        <f t="shared" ca="1" si="252"/>
        <v>0</v>
      </c>
      <c r="D5443">
        <f t="shared" ca="1" si="253"/>
        <v>2095.1831456984291</v>
      </c>
    </row>
    <row r="5444" spans="2:4" x14ac:dyDescent="0.25">
      <c r="B5444">
        <f t="shared" ca="1" si="254"/>
        <v>49762.370890718397</v>
      </c>
      <c r="C5444">
        <f t="shared" ca="1" si="252"/>
        <v>0</v>
      </c>
      <c r="D5444">
        <f t="shared" ca="1" si="253"/>
        <v>9762.3708907183973</v>
      </c>
    </row>
    <row r="5445" spans="2:4" x14ac:dyDescent="0.25">
      <c r="B5445">
        <f t="shared" ca="1" si="254"/>
        <v>48988.091158779578</v>
      </c>
      <c r="C5445">
        <f t="shared" ca="1" si="252"/>
        <v>0</v>
      </c>
      <c r="D5445">
        <f t="shared" ca="1" si="253"/>
        <v>8988.0911587795781</v>
      </c>
    </row>
    <row r="5446" spans="2:4" x14ac:dyDescent="0.25">
      <c r="B5446">
        <f t="shared" ca="1" si="254"/>
        <v>51578.65643962803</v>
      </c>
      <c r="C5446">
        <f t="shared" ca="1" si="252"/>
        <v>0</v>
      </c>
      <c r="D5446">
        <f t="shared" ca="1" si="253"/>
        <v>11578.65643962803</v>
      </c>
    </row>
    <row r="5447" spans="2:4" x14ac:dyDescent="0.25">
      <c r="B5447">
        <f t="shared" ca="1" si="254"/>
        <v>46700.634803844572</v>
      </c>
      <c r="C5447">
        <f t="shared" ca="1" si="252"/>
        <v>0</v>
      </c>
      <c r="D5447">
        <f t="shared" ca="1" si="253"/>
        <v>6700.6348038445722</v>
      </c>
    </row>
    <row r="5448" spans="2:4" x14ac:dyDescent="0.25">
      <c r="B5448">
        <f t="shared" ca="1" si="254"/>
        <v>44277.688438274898</v>
      </c>
      <c r="C5448">
        <f t="shared" ca="1" si="252"/>
        <v>0</v>
      </c>
      <c r="D5448">
        <f t="shared" ca="1" si="253"/>
        <v>4277.6884382748976</v>
      </c>
    </row>
    <row r="5449" spans="2:4" x14ac:dyDescent="0.25">
      <c r="B5449">
        <f t="shared" ca="1" si="254"/>
        <v>43158.70820886673</v>
      </c>
      <c r="C5449">
        <f t="shared" ca="1" si="252"/>
        <v>0</v>
      </c>
      <c r="D5449">
        <f t="shared" ca="1" si="253"/>
        <v>3158.7082088667303</v>
      </c>
    </row>
    <row r="5450" spans="2:4" x14ac:dyDescent="0.25">
      <c r="B5450">
        <f t="shared" ca="1" si="254"/>
        <v>38710.045163416238</v>
      </c>
      <c r="C5450">
        <f t="shared" ca="1" si="252"/>
        <v>1289.9548365837618</v>
      </c>
      <c r="D5450">
        <f t="shared" ca="1" si="253"/>
        <v>0</v>
      </c>
    </row>
    <row r="5451" spans="2:4" x14ac:dyDescent="0.25">
      <c r="B5451">
        <f t="shared" ca="1" si="254"/>
        <v>57215.744525012378</v>
      </c>
      <c r="C5451">
        <f t="shared" ca="1" si="252"/>
        <v>0</v>
      </c>
      <c r="D5451">
        <f t="shared" ca="1" si="253"/>
        <v>17215.744525012378</v>
      </c>
    </row>
    <row r="5452" spans="2:4" x14ac:dyDescent="0.25">
      <c r="B5452">
        <f t="shared" ca="1" si="254"/>
        <v>55201.430930905277</v>
      </c>
      <c r="C5452">
        <f t="shared" ref="C5452:C5515" ca="1" si="255">IF(MAX($B$2-B5452)&lt;0,0,$B$2-B5452)</f>
        <v>0</v>
      </c>
      <c r="D5452">
        <f t="shared" ref="D5452:D5515" ca="1" si="256">IF(MAX(B5452-$B$2)&lt;0,0,B5452-$B$2)</f>
        <v>15201.430930905277</v>
      </c>
    </row>
    <row r="5453" spans="2:4" x14ac:dyDescent="0.25">
      <c r="B5453">
        <f t="shared" ref="B5453:B5516" ca="1" si="257">$B$1*EXP((($B$4-($B$3^2)/2)*$B$5+$B$3*SQRT($B$5)*NORMSINV(RAND())))</f>
        <v>42013.393120432775</v>
      </c>
      <c r="C5453">
        <f t="shared" ca="1" si="255"/>
        <v>0</v>
      </c>
      <c r="D5453">
        <f t="shared" ca="1" si="256"/>
        <v>2013.3931204327746</v>
      </c>
    </row>
    <row r="5454" spans="2:4" x14ac:dyDescent="0.25">
      <c r="B5454">
        <f t="shared" ca="1" si="257"/>
        <v>40634.475409799838</v>
      </c>
      <c r="C5454">
        <f t="shared" ca="1" si="255"/>
        <v>0</v>
      </c>
      <c r="D5454">
        <f t="shared" ca="1" si="256"/>
        <v>634.47540979983751</v>
      </c>
    </row>
    <row r="5455" spans="2:4" x14ac:dyDescent="0.25">
      <c r="B5455">
        <f t="shared" ca="1" si="257"/>
        <v>41052.61773163185</v>
      </c>
      <c r="C5455">
        <f t="shared" ca="1" si="255"/>
        <v>0</v>
      </c>
      <c r="D5455">
        <f t="shared" ca="1" si="256"/>
        <v>1052.6177316318499</v>
      </c>
    </row>
    <row r="5456" spans="2:4" x14ac:dyDescent="0.25">
      <c r="B5456">
        <f t="shared" ca="1" si="257"/>
        <v>41077.18862532331</v>
      </c>
      <c r="C5456">
        <f t="shared" ca="1" si="255"/>
        <v>0</v>
      </c>
      <c r="D5456">
        <f t="shared" ca="1" si="256"/>
        <v>1077.1886253233097</v>
      </c>
    </row>
    <row r="5457" spans="2:4" x14ac:dyDescent="0.25">
      <c r="B5457">
        <f t="shared" ca="1" si="257"/>
        <v>43682.843733445974</v>
      </c>
      <c r="C5457">
        <f t="shared" ca="1" si="255"/>
        <v>0</v>
      </c>
      <c r="D5457">
        <f t="shared" ca="1" si="256"/>
        <v>3682.8437334459741</v>
      </c>
    </row>
    <row r="5458" spans="2:4" x14ac:dyDescent="0.25">
      <c r="B5458">
        <f t="shared" ca="1" si="257"/>
        <v>42218.896827721917</v>
      </c>
      <c r="C5458">
        <f t="shared" ca="1" si="255"/>
        <v>0</v>
      </c>
      <c r="D5458">
        <f t="shared" ca="1" si="256"/>
        <v>2218.8968277219174</v>
      </c>
    </row>
    <row r="5459" spans="2:4" x14ac:dyDescent="0.25">
      <c r="B5459">
        <f t="shared" ca="1" si="257"/>
        <v>44274.412725681395</v>
      </c>
      <c r="C5459">
        <f t="shared" ca="1" si="255"/>
        <v>0</v>
      </c>
      <c r="D5459">
        <f t="shared" ca="1" si="256"/>
        <v>4274.4127256813954</v>
      </c>
    </row>
    <row r="5460" spans="2:4" x14ac:dyDescent="0.25">
      <c r="B5460">
        <f t="shared" ca="1" si="257"/>
        <v>47108.16134774252</v>
      </c>
      <c r="C5460">
        <f t="shared" ca="1" si="255"/>
        <v>0</v>
      </c>
      <c r="D5460">
        <f t="shared" ca="1" si="256"/>
        <v>7108.1613477425199</v>
      </c>
    </row>
    <row r="5461" spans="2:4" x14ac:dyDescent="0.25">
      <c r="B5461">
        <f t="shared" ca="1" si="257"/>
        <v>42945.200470839125</v>
      </c>
      <c r="C5461">
        <f t="shared" ca="1" si="255"/>
        <v>0</v>
      </c>
      <c r="D5461">
        <f t="shared" ca="1" si="256"/>
        <v>2945.200470839125</v>
      </c>
    </row>
    <row r="5462" spans="2:4" x14ac:dyDescent="0.25">
      <c r="B5462">
        <f t="shared" ca="1" si="257"/>
        <v>47040.766371278762</v>
      </c>
      <c r="C5462">
        <f t="shared" ca="1" si="255"/>
        <v>0</v>
      </c>
      <c r="D5462">
        <f t="shared" ca="1" si="256"/>
        <v>7040.7663712787617</v>
      </c>
    </row>
    <row r="5463" spans="2:4" x14ac:dyDescent="0.25">
      <c r="B5463">
        <f t="shared" ca="1" si="257"/>
        <v>48365.973222899913</v>
      </c>
      <c r="C5463">
        <f t="shared" ca="1" si="255"/>
        <v>0</v>
      </c>
      <c r="D5463">
        <f t="shared" ca="1" si="256"/>
        <v>8365.9732228999128</v>
      </c>
    </row>
    <row r="5464" spans="2:4" x14ac:dyDescent="0.25">
      <c r="B5464">
        <f t="shared" ca="1" si="257"/>
        <v>49628.566471401566</v>
      </c>
      <c r="C5464">
        <f t="shared" ca="1" si="255"/>
        <v>0</v>
      </c>
      <c r="D5464">
        <f t="shared" ca="1" si="256"/>
        <v>9628.5664714015657</v>
      </c>
    </row>
    <row r="5465" spans="2:4" x14ac:dyDescent="0.25">
      <c r="B5465">
        <f t="shared" ca="1" si="257"/>
        <v>41464.646000644207</v>
      </c>
      <c r="C5465">
        <f t="shared" ca="1" si="255"/>
        <v>0</v>
      </c>
      <c r="D5465">
        <f t="shared" ca="1" si="256"/>
        <v>1464.6460006442067</v>
      </c>
    </row>
    <row r="5466" spans="2:4" x14ac:dyDescent="0.25">
      <c r="B5466">
        <f t="shared" ca="1" si="257"/>
        <v>42492.283656860185</v>
      </c>
      <c r="C5466">
        <f t="shared" ca="1" si="255"/>
        <v>0</v>
      </c>
      <c r="D5466">
        <f t="shared" ca="1" si="256"/>
        <v>2492.2836568601851</v>
      </c>
    </row>
    <row r="5467" spans="2:4" x14ac:dyDescent="0.25">
      <c r="B5467">
        <f t="shared" ca="1" si="257"/>
        <v>47432.140777798835</v>
      </c>
      <c r="C5467">
        <f t="shared" ca="1" si="255"/>
        <v>0</v>
      </c>
      <c r="D5467">
        <f t="shared" ca="1" si="256"/>
        <v>7432.1407777988352</v>
      </c>
    </row>
    <row r="5468" spans="2:4" x14ac:dyDescent="0.25">
      <c r="B5468">
        <f t="shared" ca="1" si="257"/>
        <v>45195.702201312364</v>
      </c>
      <c r="C5468">
        <f t="shared" ca="1" si="255"/>
        <v>0</v>
      </c>
      <c r="D5468">
        <f t="shared" ca="1" si="256"/>
        <v>5195.7022013123642</v>
      </c>
    </row>
    <row r="5469" spans="2:4" x14ac:dyDescent="0.25">
      <c r="B5469">
        <f t="shared" ca="1" si="257"/>
        <v>49436.74541544199</v>
      </c>
      <c r="C5469">
        <f t="shared" ca="1" si="255"/>
        <v>0</v>
      </c>
      <c r="D5469">
        <f t="shared" ca="1" si="256"/>
        <v>9436.7454154419902</v>
      </c>
    </row>
    <row r="5470" spans="2:4" x14ac:dyDescent="0.25">
      <c r="B5470">
        <f t="shared" ca="1" si="257"/>
        <v>43629.974445934764</v>
      </c>
      <c r="C5470">
        <f t="shared" ca="1" si="255"/>
        <v>0</v>
      </c>
      <c r="D5470">
        <f t="shared" ca="1" si="256"/>
        <v>3629.9744459347639</v>
      </c>
    </row>
    <row r="5471" spans="2:4" x14ac:dyDescent="0.25">
      <c r="B5471">
        <f t="shared" ca="1" si="257"/>
        <v>49389.257080358519</v>
      </c>
      <c r="C5471">
        <f t="shared" ca="1" si="255"/>
        <v>0</v>
      </c>
      <c r="D5471">
        <f t="shared" ca="1" si="256"/>
        <v>9389.2570803585186</v>
      </c>
    </row>
    <row r="5472" spans="2:4" x14ac:dyDescent="0.25">
      <c r="B5472">
        <f t="shared" ca="1" si="257"/>
        <v>46003.573625680612</v>
      </c>
      <c r="C5472">
        <f t="shared" ca="1" si="255"/>
        <v>0</v>
      </c>
      <c r="D5472">
        <f t="shared" ca="1" si="256"/>
        <v>6003.5736256806122</v>
      </c>
    </row>
    <row r="5473" spans="2:4" x14ac:dyDescent="0.25">
      <c r="B5473">
        <f t="shared" ca="1" si="257"/>
        <v>43516.820546334668</v>
      </c>
      <c r="C5473">
        <f t="shared" ca="1" si="255"/>
        <v>0</v>
      </c>
      <c r="D5473">
        <f t="shared" ca="1" si="256"/>
        <v>3516.8205463346676</v>
      </c>
    </row>
    <row r="5474" spans="2:4" x14ac:dyDescent="0.25">
      <c r="B5474">
        <f t="shared" ca="1" si="257"/>
        <v>41124.439149103695</v>
      </c>
      <c r="C5474">
        <f t="shared" ca="1" si="255"/>
        <v>0</v>
      </c>
      <c r="D5474">
        <f t="shared" ca="1" si="256"/>
        <v>1124.4391491036949</v>
      </c>
    </row>
    <row r="5475" spans="2:4" x14ac:dyDescent="0.25">
      <c r="B5475">
        <f t="shared" ca="1" si="257"/>
        <v>46045.495178409597</v>
      </c>
      <c r="C5475">
        <f t="shared" ca="1" si="255"/>
        <v>0</v>
      </c>
      <c r="D5475">
        <f t="shared" ca="1" si="256"/>
        <v>6045.4951784095974</v>
      </c>
    </row>
    <row r="5476" spans="2:4" x14ac:dyDescent="0.25">
      <c r="B5476">
        <f t="shared" ca="1" si="257"/>
        <v>45977.961970500757</v>
      </c>
      <c r="C5476">
        <f t="shared" ca="1" si="255"/>
        <v>0</v>
      </c>
      <c r="D5476">
        <f t="shared" ca="1" si="256"/>
        <v>5977.9619705007572</v>
      </c>
    </row>
    <row r="5477" spans="2:4" x14ac:dyDescent="0.25">
      <c r="B5477">
        <f t="shared" ca="1" si="257"/>
        <v>39279.699715492381</v>
      </c>
      <c r="C5477">
        <f t="shared" ca="1" si="255"/>
        <v>720.30028450761893</v>
      </c>
      <c r="D5477">
        <f t="shared" ca="1" si="256"/>
        <v>0</v>
      </c>
    </row>
    <row r="5478" spans="2:4" x14ac:dyDescent="0.25">
      <c r="B5478">
        <f t="shared" ca="1" si="257"/>
        <v>45973.785325228608</v>
      </c>
      <c r="C5478">
        <f t="shared" ca="1" si="255"/>
        <v>0</v>
      </c>
      <c r="D5478">
        <f t="shared" ca="1" si="256"/>
        <v>5973.7853252286077</v>
      </c>
    </row>
    <row r="5479" spans="2:4" x14ac:dyDescent="0.25">
      <c r="B5479">
        <f t="shared" ca="1" si="257"/>
        <v>44421.543260022336</v>
      </c>
      <c r="C5479">
        <f t="shared" ca="1" si="255"/>
        <v>0</v>
      </c>
      <c r="D5479">
        <f t="shared" ca="1" si="256"/>
        <v>4421.5432600223357</v>
      </c>
    </row>
    <row r="5480" spans="2:4" x14ac:dyDescent="0.25">
      <c r="B5480">
        <f t="shared" ca="1" si="257"/>
        <v>47426.448516511213</v>
      </c>
      <c r="C5480">
        <f t="shared" ca="1" si="255"/>
        <v>0</v>
      </c>
      <c r="D5480">
        <f t="shared" ca="1" si="256"/>
        <v>7426.4485165112128</v>
      </c>
    </row>
    <row r="5481" spans="2:4" x14ac:dyDescent="0.25">
      <c r="B5481">
        <f t="shared" ca="1" si="257"/>
        <v>42557.166407953693</v>
      </c>
      <c r="C5481">
        <f t="shared" ca="1" si="255"/>
        <v>0</v>
      </c>
      <c r="D5481">
        <f t="shared" ca="1" si="256"/>
        <v>2557.1664079536931</v>
      </c>
    </row>
    <row r="5482" spans="2:4" x14ac:dyDescent="0.25">
      <c r="B5482">
        <f t="shared" ca="1" si="257"/>
        <v>49300.495660660454</v>
      </c>
      <c r="C5482">
        <f t="shared" ca="1" si="255"/>
        <v>0</v>
      </c>
      <c r="D5482">
        <f t="shared" ca="1" si="256"/>
        <v>9300.4956606604537</v>
      </c>
    </row>
    <row r="5483" spans="2:4" x14ac:dyDescent="0.25">
      <c r="B5483">
        <f t="shared" ca="1" si="257"/>
        <v>44319.924759287693</v>
      </c>
      <c r="C5483">
        <f t="shared" ca="1" si="255"/>
        <v>0</v>
      </c>
      <c r="D5483">
        <f t="shared" ca="1" si="256"/>
        <v>4319.9247592876927</v>
      </c>
    </row>
    <row r="5484" spans="2:4" x14ac:dyDescent="0.25">
      <c r="B5484">
        <f t="shared" ca="1" si="257"/>
        <v>39728.077921573335</v>
      </c>
      <c r="C5484">
        <f t="shared" ca="1" si="255"/>
        <v>271.92207842666539</v>
      </c>
      <c r="D5484">
        <f t="shared" ca="1" si="256"/>
        <v>0</v>
      </c>
    </row>
    <row r="5485" spans="2:4" x14ac:dyDescent="0.25">
      <c r="B5485">
        <f t="shared" ca="1" si="257"/>
        <v>50158.368680780091</v>
      </c>
      <c r="C5485">
        <f t="shared" ca="1" si="255"/>
        <v>0</v>
      </c>
      <c r="D5485">
        <f t="shared" ca="1" si="256"/>
        <v>10158.368680780091</v>
      </c>
    </row>
    <row r="5486" spans="2:4" x14ac:dyDescent="0.25">
      <c r="B5486">
        <f t="shared" ca="1" si="257"/>
        <v>40163.905237763225</v>
      </c>
      <c r="C5486">
        <f t="shared" ca="1" si="255"/>
        <v>0</v>
      </c>
      <c r="D5486">
        <f t="shared" ca="1" si="256"/>
        <v>163.90523776322516</v>
      </c>
    </row>
    <row r="5487" spans="2:4" x14ac:dyDescent="0.25">
      <c r="B5487">
        <f t="shared" ca="1" si="257"/>
        <v>49826.24543665204</v>
      </c>
      <c r="C5487">
        <f t="shared" ca="1" si="255"/>
        <v>0</v>
      </c>
      <c r="D5487">
        <f t="shared" ca="1" si="256"/>
        <v>9826.2454366520396</v>
      </c>
    </row>
    <row r="5488" spans="2:4" x14ac:dyDescent="0.25">
      <c r="B5488">
        <f t="shared" ca="1" si="257"/>
        <v>44866.40037786615</v>
      </c>
      <c r="C5488">
        <f t="shared" ca="1" si="255"/>
        <v>0</v>
      </c>
      <c r="D5488">
        <f t="shared" ca="1" si="256"/>
        <v>4866.4003778661499</v>
      </c>
    </row>
    <row r="5489" spans="2:4" x14ac:dyDescent="0.25">
      <c r="B5489">
        <f t="shared" ca="1" si="257"/>
        <v>42801.575762817578</v>
      </c>
      <c r="C5489">
        <f t="shared" ca="1" si="255"/>
        <v>0</v>
      </c>
      <c r="D5489">
        <f t="shared" ca="1" si="256"/>
        <v>2801.5757628175779</v>
      </c>
    </row>
    <row r="5490" spans="2:4" x14ac:dyDescent="0.25">
      <c r="B5490">
        <f t="shared" ca="1" si="257"/>
        <v>45650.195064538617</v>
      </c>
      <c r="C5490">
        <f t="shared" ca="1" si="255"/>
        <v>0</v>
      </c>
      <c r="D5490">
        <f t="shared" ca="1" si="256"/>
        <v>5650.1950645386169</v>
      </c>
    </row>
    <row r="5491" spans="2:4" x14ac:dyDescent="0.25">
      <c r="B5491">
        <f t="shared" ca="1" si="257"/>
        <v>46901.65578113457</v>
      </c>
      <c r="C5491">
        <f t="shared" ca="1" si="255"/>
        <v>0</v>
      </c>
      <c r="D5491">
        <f t="shared" ca="1" si="256"/>
        <v>6901.6557811345701</v>
      </c>
    </row>
    <row r="5492" spans="2:4" x14ac:dyDescent="0.25">
      <c r="B5492">
        <f t="shared" ca="1" si="257"/>
        <v>42222.803954377705</v>
      </c>
      <c r="C5492">
        <f t="shared" ca="1" si="255"/>
        <v>0</v>
      </c>
      <c r="D5492">
        <f t="shared" ca="1" si="256"/>
        <v>2222.8039543777049</v>
      </c>
    </row>
    <row r="5493" spans="2:4" x14ac:dyDescent="0.25">
      <c r="B5493">
        <f t="shared" ca="1" si="257"/>
        <v>46029.884501340792</v>
      </c>
      <c r="C5493">
        <f t="shared" ca="1" si="255"/>
        <v>0</v>
      </c>
      <c r="D5493">
        <f t="shared" ca="1" si="256"/>
        <v>6029.8845013407918</v>
      </c>
    </row>
    <row r="5494" spans="2:4" x14ac:dyDescent="0.25">
      <c r="B5494">
        <f t="shared" ca="1" si="257"/>
        <v>49959.886825074318</v>
      </c>
      <c r="C5494">
        <f t="shared" ca="1" si="255"/>
        <v>0</v>
      </c>
      <c r="D5494">
        <f t="shared" ca="1" si="256"/>
        <v>9959.886825074318</v>
      </c>
    </row>
    <row r="5495" spans="2:4" x14ac:dyDescent="0.25">
      <c r="B5495">
        <f t="shared" ca="1" si="257"/>
        <v>47429.584366925999</v>
      </c>
      <c r="C5495">
        <f t="shared" ca="1" si="255"/>
        <v>0</v>
      </c>
      <c r="D5495">
        <f t="shared" ca="1" si="256"/>
        <v>7429.5843669259993</v>
      </c>
    </row>
    <row r="5496" spans="2:4" x14ac:dyDescent="0.25">
      <c r="B5496">
        <f t="shared" ca="1" si="257"/>
        <v>46686.49650472682</v>
      </c>
      <c r="C5496">
        <f t="shared" ca="1" si="255"/>
        <v>0</v>
      </c>
      <c r="D5496">
        <f t="shared" ca="1" si="256"/>
        <v>6686.4965047268197</v>
      </c>
    </row>
    <row r="5497" spans="2:4" x14ac:dyDescent="0.25">
      <c r="B5497">
        <f t="shared" ca="1" si="257"/>
        <v>44417.763932752481</v>
      </c>
      <c r="C5497">
        <f t="shared" ca="1" si="255"/>
        <v>0</v>
      </c>
      <c r="D5497">
        <f t="shared" ca="1" si="256"/>
        <v>4417.7639327524812</v>
      </c>
    </row>
    <row r="5498" spans="2:4" x14ac:dyDescent="0.25">
      <c r="B5498">
        <f t="shared" ca="1" si="257"/>
        <v>46072.148511573534</v>
      </c>
      <c r="C5498">
        <f t="shared" ca="1" si="255"/>
        <v>0</v>
      </c>
      <c r="D5498">
        <f t="shared" ca="1" si="256"/>
        <v>6072.1485115735341</v>
      </c>
    </row>
    <row r="5499" spans="2:4" x14ac:dyDescent="0.25">
      <c r="B5499">
        <f t="shared" ca="1" si="257"/>
        <v>42346.270224030246</v>
      </c>
      <c r="C5499">
        <f t="shared" ca="1" si="255"/>
        <v>0</v>
      </c>
      <c r="D5499">
        <f t="shared" ca="1" si="256"/>
        <v>2346.270224030246</v>
      </c>
    </row>
    <row r="5500" spans="2:4" x14ac:dyDescent="0.25">
      <c r="B5500">
        <f t="shared" ca="1" si="257"/>
        <v>41230.212574972596</v>
      </c>
      <c r="C5500">
        <f t="shared" ca="1" si="255"/>
        <v>0</v>
      </c>
      <c r="D5500">
        <f t="shared" ca="1" si="256"/>
        <v>1230.2125749725965</v>
      </c>
    </row>
    <row r="5501" spans="2:4" x14ac:dyDescent="0.25">
      <c r="B5501">
        <f t="shared" ca="1" si="257"/>
        <v>41813.226867946636</v>
      </c>
      <c r="C5501">
        <f t="shared" ca="1" si="255"/>
        <v>0</v>
      </c>
      <c r="D5501">
        <f t="shared" ca="1" si="256"/>
        <v>1813.226867946636</v>
      </c>
    </row>
    <row r="5502" spans="2:4" x14ac:dyDescent="0.25">
      <c r="B5502">
        <f t="shared" ca="1" si="257"/>
        <v>45249.122628297817</v>
      </c>
      <c r="C5502">
        <f t="shared" ca="1" si="255"/>
        <v>0</v>
      </c>
      <c r="D5502">
        <f t="shared" ca="1" si="256"/>
        <v>5249.1226282978168</v>
      </c>
    </row>
    <row r="5503" spans="2:4" x14ac:dyDescent="0.25">
      <c r="B5503">
        <f t="shared" ca="1" si="257"/>
        <v>46790.940647104922</v>
      </c>
      <c r="C5503">
        <f t="shared" ca="1" si="255"/>
        <v>0</v>
      </c>
      <c r="D5503">
        <f t="shared" ca="1" si="256"/>
        <v>6790.9406471049224</v>
      </c>
    </row>
    <row r="5504" spans="2:4" x14ac:dyDescent="0.25">
      <c r="B5504">
        <f t="shared" ca="1" si="257"/>
        <v>48666.585487177283</v>
      </c>
      <c r="C5504">
        <f t="shared" ca="1" si="255"/>
        <v>0</v>
      </c>
      <c r="D5504">
        <f t="shared" ca="1" si="256"/>
        <v>8666.5854871772826</v>
      </c>
    </row>
    <row r="5505" spans="2:4" x14ac:dyDescent="0.25">
      <c r="B5505">
        <f t="shared" ca="1" si="257"/>
        <v>42684.745491878573</v>
      </c>
      <c r="C5505">
        <f t="shared" ca="1" si="255"/>
        <v>0</v>
      </c>
      <c r="D5505">
        <f t="shared" ca="1" si="256"/>
        <v>2684.7454918785734</v>
      </c>
    </row>
    <row r="5506" spans="2:4" x14ac:dyDescent="0.25">
      <c r="B5506">
        <f t="shared" ca="1" si="257"/>
        <v>39802.905393291061</v>
      </c>
      <c r="C5506">
        <f t="shared" ca="1" si="255"/>
        <v>197.09460670893895</v>
      </c>
      <c r="D5506">
        <f t="shared" ca="1" si="256"/>
        <v>0</v>
      </c>
    </row>
    <row r="5507" spans="2:4" x14ac:dyDescent="0.25">
      <c r="B5507">
        <f t="shared" ca="1" si="257"/>
        <v>44780.04864523514</v>
      </c>
      <c r="C5507">
        <f t="shared" ca="1" si="255"/>
        <v>0</v>
      </c>
      <c r="D5507">
        <f t="shared" ca="1" si="256"/>
        <v>4780.0486452351397</v>
      </c>
    </row>
    <row r="5508" spans="2:4" x14ac:dyDescent="0.25">
      <c r="B5508">
        <f t="shared" ca="1" si="257"/>
        <v>47858.31729061855</v>
      </c>
      <c r="C5508">
        <f t="shared" ca="1" si="255"/>
        <v>0</v>
      </c>
      <c r="D5508">
        <f t="shared" ca="1" si="256"/>
        <v>7858.31729061855</v>
      </c>
    </row>
    <row r="5509" spans="2:4" x14ac:dyDescent="0.25">
      <c r="B5509">
        <f t="shared" ca="1" si="257"/>
        <v>47678.569067525175</v>
      </c>
      <c r="C5509">
        <f t="shared" ca="1" si="255"/>
        <v>0</v>
      </c>
      <c r="D5509">
        <f t="shared" ca="1" si="256"/>
        <v>7678.5690675251753</v>
      </c>
    </row>
    <row r="5510" spans="2:4" x14ac:dyDescent="0.25">
      <c r="B5510">
        <f t="shared" ca="1" si="257"/>
        <v>35821.038866089781</v>
      </c>
      <c r="C5510">
        <f t="shared" ca="1" si="255"/>
        <v>4178.9611339102194</v>
      </c>
      <c r="D5510">
        <f t="shared" ca="1" si="256"/>
        <v>0</v>
      </c>
    </row>
    <row r="5511" spans="2:4" x14ac:dyDescent="0.25">
      <c r="B5511">
        <f t="shared" ca="1" si="257"/>
        <v>37280.678243480535</v>
      </c>
      <c r="C5511">
        <f t="shared" ca="1" si="255"/>
        <v>2719.3217565194645</v>
      </c>
      <c r="D5511">
        <f t="shared" ca="1" si="256"/>
        <v>0</v>
      </c>
    </row>
    <row r="5512" spans="2:4" x14ac:dyDescent="0.25">
      <c r="B5512">
        <f t="shared" ca="1" si="257"/>
        <v>38273.608521674527</v>
      </c>
      <c r="C5512">
        <f t="shared" ca="1" si="255"/>
        <v>1726.3914783254731</v>
      </c>
      <c r="D5512">
        <f t="shared" ca="1" si="256"/>
        <v>0</v>
      </c>
    </row>
    <row r="5513" spans="2:4" x14ac:dyDescent="0.25">
      <c r="B5513">
        <f t="shared" ca="1" si="257"/>
        <v>45271.603147857473</v>
      </c>
      <c r="C5513">
        <f t="shared" ca="1" si="255"/>
        <v>0</v>
      </c>
      <c r="D5513">
        <f t="shared" ca="1" si="256"/>
        <v>5271.6031478574732</v>
      </c>
    </row>
    <row r="5514" spans="2:4" x14ac:dyDescent="0.25">
      <c r="B5514">
        <f t="shared" ca="1" si="257"/>
        <v>47443.134266609501</v>
      </c>
      <c r="C5514">
        <f t="shared" ca="1" si="255"/>
        <v>0</v>
      </c>
      <c r="D5514">
        <f t="shared" ca="1" si="256"/>
        <v>7443.1342666095006</v>
      </c>
    </row>
    <row r="5515" spans="2:4" x14ac:dyDescent="0.25">
      <c r="B5515">
        <f t="shared" ca="1" si="257"/>
        <v>47561.328953774886</v>
      </c>
      <c r="C5515">
        <f t="shared" ca="1" si="255"/>
        <v>0</v>
      </c>
      <c r="D5515">
        <f t="shared" ca="1" si="256"/>
        <v>7561.328953774886</v>
      </c>
    </row>
    <row r="5516" spans="2:4" x14ac:dyDescent="0.25">
      <c r="B5516">
        <f t="shared" ca="1" si="257"/>
        <v>40751.312794442849</v>
      </c>
      <c r="C5516">
        <f t="shared" ref="C5516:C5579" ca="1" si="258">IF(MAX($B$2-B5516)&lt;0,0,$B$2-B5516)</f>
        <v>0</v>
      </c>
      <c r="D5516">
        <f t="shared" ref="D5516:D5579" ca="1" si="259">IF(MAX(B5516-$B$2)&lt;0,0,B5516-$B$2)</f>
        <v>751.31279444284883</v>
      </c>
    </row>
    <row r="5517" spans="2:4" x14ac:dyDescent="0.25">
      <c r="B5517">
        <f t="shared" ref="B5517:B5580" ca="1" si="260">$B$1*EXP((($B$4-($B$3^2)/2)*$B$5+$B$3*SQRT($B$5)*NORMSINV(RAND())))</f>
        <v>51537.511428441212</v>
      </c>
      <c r="C5517">
        <f t="shared" ca="1" si="258"/>
        <v>0</v>
      </c>
      <c r="D5517">
        <f t="shared" ca="1" si="259"/>
        <v>11537.511428441212</v>
      </c>
    </row>
    <row r="5518" spans="2:4" x14ac:dyDescent="0.25">
      <c r="B5518">
        <f t="shared" ca="1" si="260"/>
        <v>55848.040753720794</v>
      </c>
      <c r="C5518">
        <f t="shared" ca="1" si="258"/>
        <v>0</v>
      </c>
      <c r="D5518">
        <f t="shared" ca="1" si="259"/>
        <v>15848.040753720794</v>
      </c>
    </row>
    <row r="5519" spans="2:4" x14ac:dyDescent="0.25">
      <c r="B5519">
        <f t="shared" ca="1" si="260"/>
        <v>49590.669345670474</v>
      </c>
      <c r="C5519">
        <f t="shared" ca="1" si="258"/>
        <v>0</v>
      </c>
      <c r="D5519">
        <f t="shared" ca="1" si="259"/>
        <v>9590.6693456704743</v>
      </c>
    </row>
    <row r="5520" spans="2:4" x14ac:dyDescent="0.25">
      <c r="B5520">
        <f t="shared" ca="1" si="260"/>
        <v>47404.6972815142</v>
      </c>
      <c r="C5520">
        <f t="shared" ca="1" si="258"/>
        <v>0</v>
      </c>
      <c r="D5520">
        <f t="shared" ca="1" si="259"/>
        <v>7404.6972815141999</v>
      </c>
    </row>
    <row r="5521" spans="2:4" x14ac:dyDescent="0.25">
      <c r="B5521">
        <f t="shared" ca="1" si="260"/>
        <v>51210.436346735522</v>
      </c>
      <c r="C5521">
        <f t="shared" ca="1" si="258"/>
        <v>0</v>
      </c>
      <c r="D5521">
        <f t="shared" ca="1" si="259"/>
        <v>11210.436346735522</v>
      </c>
    </row>
    <row r="5522" spans="2:4" x14ac:dyDescent="0.25">
      <c r="B5522">
        <f t="shared" ca="1" si="260"/>
        <v>52344.164527311194</v>
      </c>
      <c r="C5522">
        <f t="shared" ca="1" si="258"/>
        <v>0</v>
      </c>
      <c r="D5522">
        <f t="shared" ca="1" si="259"/>
        <v>12344.164527311194</v>
      </c>
    </row>
    <row r="5523" spans="2:4" x14ac:dyDescent="0.25">
      <c r="B5523">
        <f t="shared" ca="1" si="260"/>
        <v>46028.374314952365</v>
      </c>
      <c r="C5523">
        <f t="shared" ca="1" si="258"/>
        <v>0</v>
      </c>
      <c r="D5523">
        <f t="shared" ca="1" si="259"/>
        <v>6028.3743149523652</v>
      </c>
    </row>
    <row r="5524" spans="2:4" x14ac:dyDescent="0.25">
      <c r="B5524">
        <f t="shared" ca="1" si="260"/>
        <v>45073.051184885655</v>
      </c>
      <c r="C5524">
        <f t="shared" ca="1" si="258"/>
        <v>0</v>
      </c>
      <c r="D5524">
        <f t="shared" ca="1" si="259"/>
        <v>5073.0511848856549</v>
      </c>
    </row>
    <row r="5525" spans="2:4" x14ac:dyDescent="0.25">
      <c r="B5525">
        <f t="shared" ca="1" si="260"/>
        <v>44706.864717478347</v>
      </c>
      <c r="C5525">
        <f t="shared" ca="1" si="258"/>
        <v>0</v>
      </c>
      <c r="D5525">
        <f t="shared" ca="1" si="259"/>
        <v>4706.8647174783473</v>
      </c>
    </row>
    <row r="5526" spans="2:4" x14ac:dyDescent="0.25">
      <c r="B5526">
        <f t="shared" ca="1" si="260"/>
        <v>48417.878466658942</v>
      </c>
      <c r="C5526">
        <f t="shared" ca="1" si="258"/>
        <v>0</v>
      </c>
      <c r="D5526">
        <f t="shared" ca="1" si="259"/>
        <v>8417.8784666589418</v>
      </c>
    </row>
    <row r="5527" spans="2:4" x14ac:dyDescent="0.25">
      <c r="B5527">
        <f t="shared" ca="1" si="260"/>
        <v>44983.50920330557</v>
      </c>
      <c r="C5527">
        <f t="shared" ca="1" si="258"/>
        <v>0</v>
      </c>
      <c r="D5527">
        <f t="shared" ca="1" si="259"/>
        <v>4983.5092033055698</v>
      </c>
    </row>
    <row r="5528" spans="2:4" x14ac:dyDescent="0.25">
      <c r="B5528">
        <f t="shared" ca="1" si="260"/>
        <v>46666.696554245842</v>
      </c>
      <c r="C5528">
        <f t="shared" ca="1" si="258"/>
        <v>0</v>
      </c>
      <c r="D5528">
        <f t="shared" ca="1" si="259"/>
        <v>6666.696554245842</v>
      </c>
    </row>
    <row r="5529" spans="2:4" x14ac:dyDescent="0.25">
      <c r="B5529">
        <f t="shared" ca="1" si="260"/>
        <v>42205.622487081353</v>
      </c>
      <c r="C5529">
        <f t="shared" ca="1" si="258"/>
        <v>0</v>
      </c>
      <c r="D5529">
        <f t="shared" ca="1" si="259"/>
        <v>2205.622487081353</v>
      </c>
    </row>
    <row r="5530" spans="2:4" x14ac:dyDescent="0.25">
      <c r="B5530">
        <f t="shared" ca="1" si="260"/>
        <v>38285.477784832539</v>
      </c>
      <c r="C5530">
        <f t="shared" ca="1" si="258"/>
        <v>1714.5222151674607</v>
      </c>
      <c r="D5530">
        <f t="shared" ca="1" si="259"/>
        <v>0</v>
      </c>
    </row>
    <row r="5531" spans="2:4" x14ac:dyDescent="0.25">
      <c r="B5531">
        <f t="shared" ca="1" si="260"/>
        <v>41201.245695114754</v>
      </c>
      <c r="C5531">
        <f t="shared" ca="1" si="258"/>
        <v>0</v>
      </c>
      <c r="D5531">
        <f t="shared" ca="1" si="259"/>
        <v>1201.2456951147542</v>
      </c>
    </row>
    <row r="5532" spans="2:4" x14ac:dyDescent="0.25">
      <c r="B5532">
        <f t="shared" ca="1" si="260"/>
        <v>51621.260925444665</v>
      </c>
      <c r="C5532">
        <f t="shared" ca="1" si="258"/>
        <v>0</v>
      </c>
      <c r="D5532">
        <f t="shared" ca="1" si="259"/>
        <v>11621.260925444665</v>
      </c>
    </row>
    <row r="5533" spans="2:4" x14ac:dyDescent="0.25">
      <c r="B5533">
        <f t="shared" ca="1" si="260"/>
        <v>46279.617361484037</v>
      </c>
      <c r="C5533">
        <f t="shared" ca="1" si="258"/>
        <v>0</v>
      </c>
      <c r="D5533">
        <f t="shared" ca="1" si="259"/>
        <v>6279.6173614840372</v>
      </c>
    </row>
    <row r="5534" spans="2:4" x14ac:dyDescent="0.25">
      <c r="B5534">
        <f t="shared" ca="1" si="260"/>
        <v>45574.773040287044</v>
      </c>
      <c r="C5534">
        <f t="shared" ca="1" si="258"/>
        <v>0</v>
      </c>
      <c r="D5534">
        <f t="shared" ca="1" si="259"/>
        <v>5574.7730402870438</v>
      </c>
    </row>
    <row r="5535" spans="2:4" x14ac:dyDescent="0.25">
      <c r="B5535">
        <f t="shared" ca="1" si="260"/>
        <v>44699.081337949385</v>
      </c>
      <c r="C5535">
        <f t="shared" ca="1" si="258"/>
        <v>0</v>
      </c>
      <c r="D5535">
        <f t="shared" ca="1" si="259"/>
        <v>4699.0813379493848</v>
      </c>
    </row>
    <row r="5536" spans="2:4" x14ac:dyDescent="0.25">
      <c r="B5536">
        <f t="shared" ca="1" si="260"/>
        <v>41064.486614676716</v>
      </c>
      <c r="C5536">
        <f t="shared" ca="1" si="258"/>
        <v>0</v>
      </c>
      <c r="D5536">
        <f t="shared" ca="1" si="259"/>
        <v>1064.4866146767163</v>
      </c>
    </row>
    <row r="5537" spans="2:4" x14ac:dyDescent="0.25">
      <c r="B5537">
        <f t="shared" ca="1" si="260"/>
        <v>56780.048718902653</v>
      </c>
      <c r="C5537">
        <f t="shared" ca="1" si="258"/>
        <v>0</v>
      </c>
      <c r="D5537">
        <f t="shared" ca="1" si="259"/>
        <v>16780.048718902653</v>
      </c>
    </row>
    <row r="5538" spans="2:4" x14ac:dyDescent="0.25">
      <c r="B5538">
        <f t="shared" ca="1" si="260"/>
        <v>44965.552451686191</v>
      </c>
      <c r="C5538">
        <f t="shared" ca="1" si="258"/>
        <v>0</v>
      </c>
      <c r="D5538">
        <f t="shared" ca="1" si="259"/>
        <v>4965.5524516861915</v>
      </c>
    </row>
    <row r="5539" spans="2:4" x14ac:dyDescent="0.25">
      <c r="B5539">
        <f t="shared" ca="1" si="260"/>
        <v>47137.212781119859</v>
      </c>
      <c r="C5539">
        <f t="shared" ca="1" si="258"/>
        <v>0</v>
      </c>
      <c r="D5539">
        <f t="shared" ca="1" si="259"/>
        <v>7137.2127811198588</v>
      </c>
    </row>
    <row r="5540" spans="2:4" x14ac:dyDescent="0.25">
      <c r="B5540">
        <f t="shared" ca="1" si="260"/>
        <v>49444.667799171533</v>
      </c>
      <c r="C5540">
        <f t="shared" ca="1" si="258"/>
        <v>0</v>
      </c>
      <c r="D5540">
        <f t="shared" ca="1" si="259"/>
        <v>9444.6677991715333</v>
      </c>
    </row>
    <row r="5541" spans="2:4" x14ac:dyDescent="0.25">
      <c r="B5541">
        <f t="shared" ca="1" si="260"/>
        <v>54529.953854623818</v>
      </c>
      <c r="C5541">
        <f t="shared" ca="1" si="258"/>
        <v>0</v>
      </c>
      <c r="D5541">
        <f t="shared" ca="1" si="259"/>
        <v>14529.953854623818</v>
      </c>
    </row>
    <row r="5542" spans="2:4" x14ac:dyDescent="0.25">
      <c r="B5542">
        <f t="shared" ca="1" si="260"/>
        <v>46727.318946368898</v>
      </c>
      <c r="C5542">
        <f t="shared" ca="1" si="258"/>
        <v>0</v>
      </c>
      <c r="D5542">
        <f t="shared" ca="1" si="259"/>
        <v>6727.3189463688977</v>
      </c>
    </row>
    <row r="5543" spans="2:4" x14ac:dyDescent="0.25">
      <c r="B5543">
        <f t="shared" ca="1" si="260"/>
        <v>39615.308637427072</v>
      </c>
      <c r="C5543">
        <f t="shared" ca="1" si="258"/>
        <v>384.69136257292848</v>
      </c>
      <c r="D5543">
        <f t="shared" ca="1" si="259"/>
        <v>0</v>
      </c>
    </row>
    <row r="5544" spans="2:4" x14ac:dyDescent="0.25">
      <c r="B5544">
        <f t="shared" ca="1" si="260"/>
        <v>48222.459290004255</v>
      </c>
      <c r="C5544">
        <f t="shared" ca="1" si="258"/>
        <v>0</v>
      </c>
      <c r="D5544">
        <f t="shared" ca="1" si="259"/>
        <v>8222.4592900042553</v>
      </c>
    </row>
    <row r="5545" spans="2:4" x14ac:dyDescent="0.25">
      <c r="B5545">
        <f t="shared" ca="1" si="260"/>
        <v>43851.800889181533</v>
      </c>
      <c r="C5545">
        <f t="shared" ca="1" si="258"/>
        <v>0</v>
      </c>
      <c r="D5545">
        <f t="shared" ca="1" si="259"/>
        <v>3851.8008891815334</v>
      </c>
    </row>
    <row r="5546" spans="2:4" x14ac:dyDescent="0.25">
      <c r="B5546">
        <f t="shared" ca="1" si="260"/>
        <v>49660.3241434089</v>
      </c>
      <c r="C5546">
        <f t="shared" ca="1" si="258"/>
        <v>0</v>
      </c>
      <c r="D5546">
        <f t="shared" ca="1" si="259"/>
        <v>9660.3241434088995</v>
      </c>
    </row>
    <row r="5547" spans="2:4" x14ac:dyDescent="0.25">
      <c r="B5547">
        <f t="shared" ca="1" si="260"/>
        <v>54133.584969162541</v>
      </c>
      <c r="C5547">
        <f t="shared" ca="1" si="258"/>
        <v>0</v>
      </c>
      <c r="D5547">
        <f t="shared" ca="1" si="259"/>
        <v>14133.584969162541</v>
      </c>
    </row>
    <row r="5548" spans="2:4" x14ac:dyDescent="0.25">
      <c r="B5548">
        <f t="shared" ca="1" si="260"/>
        <v>50961.894361750041</v>
      </c>
      <c r="C5548">
        <f t="shared" ca="1" si="258"/>
        <v>0</v>
      </c>
      <c r="D5548">
        <f t="shared" ca="1" si="259"/>
        <v>10961.894361750041</v>
      </c>
    </row>
    <row r="5549" spans="2:4" x14ac:dyDescent="0.25">
      <c r="B5549">
        <f t="shared" ca="1" si="260"/>
        <v>50106.838054663887</v>
      </c>
      <c r="C5549">
        <f t="shared" ca="1" si="258"/>
        <v>0</v>
      </c>
      <c r="D5549">
        <f t="shared" ca="1" si="259"/>
        <v>10106.838054663887</v>
      </c>
    </row>
    <row r="5550" spans="2:4" x14ac:dyDescent="0.25">
      <c r="B5550">
        <f t="shared" ca="1" si="260"/>
        <v>48321.980277680414</v>
      </c>
      <c r="C5550">
        <f t="shared" ca="1" si="258"/>
        <v>0</v>
      </c>
      <c r="D5550">
        <f t="shared" ca="1" si="259"/>
        <v>8321.9802776804136</v>
      </c>
    </row>
    <row r="5551" spans="2:4" x14ac:dyDescent="0.25">
      <c r="B5551">
        <f t="shared" ca="1" si="260"/>
        <v>43130.846296468313</v>
      </c>
      <c r="C5551">
        <f t="shared" ca="1" si="258"/>
        <v>0</v>
      </c>
      <c r="D5551">
        <f t="shared" ca="1" si="259"/>
        <v>3130.8462964683131</v>
      </c>
    </row>
    <row r="5552" spans="2:4" x14ac:dyDescent="0.25">
      <c r="B5552">
        <f t="shared" ca="1" si="260"/>
        <v>45712.163688243454</v>
      </c>
      <c r="C5552">
        <f t="shared" ca="1" si="258"/>
        <v>0</v>
      </c>
      <c r="D5552">
        <f t="shared" ca="1" si="259"/>
        <v>5712.1636882434541</v>
      </c>
    </row>
    <row r="5553" spans="2:4" x14ac:dyDescent="0.25">
      <c r="B5553">
        <f t="shared" ca="1" si="260"/>
        <v>44518.314484049341</v>
      </c>
      <c r="C5553">
        <f t="shared" ca="1" si="258"/>
        <v>0</v>
      </c>
      <c r="D5553">
        <f t="shared" ca="1" si="259"/>
        <v>4518.3144840493405</v>
      </c>
    </row>
    <row r="5554" spans="2:4" x14ac:dyDescent="0.25">
      <c r="B5554">
        <f t="shared" ca="1" si="260"/>
        <v>53656.946123357382</v>
      </c>
      <c r="C5554">
        <f t="shared" ca="1" si="258"/>
        <v>0</v>
      </c>
      <c r="D5554">
        <f t="shared" ca="1" si="259"/>
        <v>13656.946123357382</v>
      </c>
    </row>
    <row r="5555" spans="2:4" x14ac:dyDescent="0.25">
      <c r="B5555">
        <f t="shared" ca="1" si="260"/>
        <v>53130.483345281624</v>
      </c>
      <c r="C5555">
        <f t="shared" ca="1" si="258"/>
        <v>0</v>
      </c>
      <c r="D5555">
        <f t="shared" ca="1" si="259"/>
        <v>13130.483345281624</v>
      </c>
    </row>
    <row r="5556" spans="2:4" x14ac:dyDescent="0.25">
      <c r="B5556">
        <f t="shared" ca="1" si="260"/>
        <v>44489.26731456886</v>
      </c>
      <c r="C5556">
        <f t="shared" ca="1" si="258"/>
        <v>0</v>
      </c>
      <c r="D5556">
        <f t="shared" ca="1" si="259"/>
        <v>4489.2673145688605</v>
      </c>
    </row>
    <row r="5557" spans="2:4" x14ac:dyDescent="0.25">
      <c r="B5557">
        <f t="shared" ca="1" si="260"/>
        <v>41254.743627130811</v>
      </c>
      <c r="C5557">
        <f t="shared" ca="1" si="258"/>
        <v>0</v>
      </c>
      <c r="D5557">
        <f t="shared" ca="1" si="259"/>
        <v>1254.7436271308106</v>
      </c>
    </row>
    <row r="5558" spans="2:4" x14ac:dyDescent="0.25">
      <c r="B5558">
        <f t="shared" ca="1" si="260"/>
        <v>52386.994437581146</v>
      </c>
      <c r="C5558">
        <f t="shared" ca="1" si="258"/>
        <v>0</v>
      </c>
      <c r="D5558">
        <f t="shared" ca="1" si="259"/>
        <v>12386.994437581146</v>
      </c>
    </row>
    <row r="5559" spans="2:4" x14ac:dyDescent="0.25">
      <c r="B5559">
        <f t="shared" ca="1" si="260"/>
        <v>37444.376074291707</v>
      </c>
      <c r="C5559">
        <f t="shared" ca="1" si="258"/>
        <v>2555.6239257082925</v>
      </c>
      <c r="D5559">
        <f t="shared" ca="1" si="259"/>
        <v>0</v>
      </c>
    </row>
    <row r="5560" spans="2:4" x14ac:dyDescent="0.25">
      <c r="B5560">
        <f t="shared" ca="1" si="260"/>
        <v>40775.307342689921</v>
      </c>
      <c r="C5560">
        <f t="shared" ca="1" si="258"/>
        <v>0</v>
      </c>
      <c r="D5560">
        <f t="shared" ca="1" si="259"/>
        <v>775.30734268992092</v>
      </c>
    </row>
    <row r="5561" spans="2:4" x14ac:dyDescent="0.25">
      <c r="B5561">
        <f t="shared" ca="1" si="260"/>
        <v>39931.828562214374</v>
      </c>
      <c r="C5561">
        <f t="shared" ca="1" si="258"/>
        <v>68.17143778562604</v>
      </c>
      <c r="D5561">
        <f t="shared" ca="1" si="259"/>
        <v>0</v>
      </c>
    </row>
    <row r="5562" spans="2:4" x14ac:dyDescent="0.25">
      <c r="B5562">
        <f t="shared" ca="1" si="260"/>
        <v>42774.163641561994</v>
      </c>
      <c r="C5562">
        <f t="shared" ca="1" si="258"/>
        <v>0</v>
      </c>
      <c r="D5562">
        <f t="shared" ca="1" si="259"/>
        <v>2774.1636415619942</v>
      </c>
    </row>
    <row r="5563" spans="2:4" x14ac:dyDescent="0.25">
      <c r="B5563">
        <f t="shared" ca="1" si="260"/>
        <v>43547.754316566512</v>
      </c>
      <c r="C5563">
        <f t="shared" ca="1" si="258"/>
        <v>0</v>
      </c>
      <c r="D5563">
        <f t="shared" ca="1" si="259"/>
        <v>3547.754316566512</v>
      </c>
    </row>
    <row r="5564" spans="2:4" x14ac:dyDescent="0.25">
      <c r="B5564">
        <f t="shared" ca="1" si="260"/>
        <v>48130.518306266298</v>
      </c>
      <c r="C5564">
        <f t="shared" ca="1" si="258"/>
        <v>0</v>
      </c>
      <c r="D5564">
        <f t="shared" ca="1" si="259"/>
        <v>8130.5183062662982</v>
      </c>
    </row>
    <row r="5565" spans="2:4" x14ac:dyDescent="0.25">
      <c r="B5565">
        <f t="shared" ca="1" si="260"/>
        <v>44081.515774323067</v>
      </c>
      <c r="C5565">
        <f t="shared" ca="1" si="258"/>
        <v>0</v>
      </c>
      <c r="D5565">
        <f t="shared" ca="1" si="259"/>
        <v>4081.5157743230666</v>
      </c>
    </row>
    <row r="5566" spans="2:4" x14ac:dyDescent="0.25">
      <c r="B5566">
        <f t="shared" ca="1" si="260"/>
        <v>39051.67853079443</v>
      </c>
      <c r="C5566">
        <f t="shared" ca="1" si="258"/>
        <v>948.32146920556988</v>
      </c>
      <c r="D5566">
        <f t="shared" ca="1" si="259"/>
        <v>0</v>
      </c>
    </row>
    <row r="5567" spans="2:4" x14ac:dyDescent="0.25">
      <c r="B5567">
        <f t="shared" ca="1" si="260"/>
        <v>42723.511540095729</v>
      </c>
      <c r="C5567">
        <f t="shared" ca="1" si="258"/>
        <v>0</v>
      </c>
      <c r="D5567">
        <f t="shared" ca="1" si="259"/>
        <v>2723.5115400957293</v>
      </c>
    </row>
    <row r="5568" spans="2:4" x14ac:dyDescent="0.25">
      <c r="B5568">
        <f t="shared" ca="1" si="260"/>
        <v>39549.854308119051</v>
      </c>
      <c r="C5568">
        <f t="shared" ca="1" si="258"/>
        <v>450.14569188094902</v>
      </c>
      <c r="D5568">
        <f t="shared" ca="1" si="259"/>
        <v>0</v>
      </c>
    </row>
    <row r="5569" spans="2:4" x14ac:dyDescent="0.25">
      <c r="B5569">
        <f t="shared" ca="1" si="260"/>
        <v>46368.835826641625</v>
      </c>
      <c r="C5569">
        <f t="shared" ca="1" si="258"/>
        <v>0</v>
      </c>
      <c r="D5569">
        <f t="shared" ca="1" si="259"/>
        <v>6368.8358266416253</v>
      </c>
    </row>
    <row r="5570" spans="2:4" x14ac:dyDescent="0.25">
      <c r="B5570">
        <f t="shared" ca="1" si="260"/>
        <v>38654.1550220055</v>
      </c>
      <c r="C5570">
        <f t="shared" ca="1" si="258"/>
        <v>1345.8449779945004</v>
      </c>
      <c r="D5570">
        <f t="shared" ca="1" si="259"/>
        <v>0</v>
      </c>
    </row>
    <row r="5571" spans="2:4" x14ac:dyDescent="0.25">
      <c r="B5571">
        <f t="shared" ca="1" si="260"/>
        <v>37341.658494698058</v>
      </c>
      <c r="C5571">
        <f t="shared" ca="1" si="258"/>
        <v>2658.3415053019417</v>
      </c>
      <c r="D5571">
        <f t="shared" ca="1" si="259"/>
        <v>0</v>
      </c>
    </row>
    <row r="5572" spans="2:4" x14ac:dyDescent="0.25">
      <c r="B5572">
        <f t="shared" ca="1" si="260"/>
        <v>43540.514974858408</v>
      </c>
      <c r="C5572">
        <f t="shared" ca="1" si="258"/>
        <v>0</v>
      </c>
      <c r="D5572">
        <f t="shared" ca="1" si="259"/>
        <v>3540.5149748584081</v>
      </c>
    </row>
    <row r="5573" spans="2:4" x14ac:dyDescent="0.25">
      <c r="B5573">
        <f t="shared" ca="1" si="260"/>
        <v>44764.03377151351</v>
      </c>
      <c r="C5573">
        <f t="shared" ca="1" si="258"/>
        <v>0</v>
      </c>
      <c r="D5573">
        <f t="shared" ca="1" si="259"/>
        <v>4764.0337715135101</v>
      </c>
    </row>
    <row r="5574" spans="2:4" x14ac:dyDescent="0.25">
      <c r="B5574">
        <f t="shared" ca="1" si="260"/>
        <v>40681.076115218799</v>
      </c>
      <c r="C5574">
        <f t="shared" ca="1" si="258"/>
        <v>0</v>
      </c>
      <c r="D5574">
        <f t="shared" ca="1" si="259"/>
        <v>681.0761152187988</v>
      </c>
    </row>
    <row r="5575" spans="2:4" x14ac:dyDescent="0.25">
      <c r="B5575">
        <f t="shared" ca="1" si="260"/>
        <v>37725.031396662183</v>
      </c>
      <c r="C5575">
        <f t="shared" ca="1" si="258"/>
        <v>2274.9686033378166</v>
      </c>
      <c r="D5575">
        <f t="shared" ca="1" si="259"/>
        <v>0</v>
      </c>
    </row>
    <row r="5576" spans="2:4" x14ac:dyDescent="0.25">
      <c r="B5576">
        <f t="shared" ca="1" si="260"/>
        <v>42092.960563277105</v>
      </c>
      <c r="C5576">
        <f t="shared" ca="1" si="258"/>
        <v>0</v>
      </c>
      <c r="D5576">
        <f t="shared" ca="1" si="259"/>
        <v>2092.9605632771054</v>
      </c>
    </row>
    <row r="5577" spans="2:4" x14ac:dyDescent="0.25">
      <c r="B5577">
        <f t="shared" ca="1" si="260"/>
        <v>42116.796439081219</v>
      </c>
      <c r="C5577">
        <f t="shared" ca="1" si="258"/>
        <v>0</v>
      </c>
      <c r="D5577">
        <f t="shared" ca="1" si="259"/>
        <v>2116.7964390812194</v>
      </c>
    </row>
    <row r="5578" spans="2:4" x14ac:dyDescent="0.25">
      <c r="B5578">
        <f t="shared" ca="1" si="260"/>
        <v>51069.4215561245</v>
      </c>
      <c r="C5578">
        <f t="shared" ca="1" si="258"/>
        <v>0</v>
      </c>
      <c r="D5578">
        <f t="shared" ca="1" si="259"/>
        <v>11069.4215561245</v>
      </c>
    </row>
    <row r="5579" spans="2:4" x14ac:dyDescent="0.25">
      <c r="B5579">
        <f t="shared" ca="1" si="260"/>
        <v>41426.127141136902</v>
      </c>
      <c r="C5579">
        <f t="shared" ca="1" si="258"/>
        <v>0</v>
      </c>
      <c r="D5579">
        <f t="shared" ca="1" si="259"/>
        <v>1426.1271411369016</v>
      </c>
    </row>
    <row r="5580" spans="2:4" x14ac:dyDescent="0.25">
      <c r="B5580">
        <f t="shared" ca="1" si="260"/>
        <v>52807.33907821052</v>
      </c>
      <c r="C5580">
        <f t="shared" ref="C5580:C5643" ca="1" si="261">IF(MAX($B$2-B5580)&lt;0,0,$B$2-B5580)</f>
        <v>0</v>
      </c>
      <c r="D5580">
        <f t="shared" ref="D5580:D5643" ca="1" si="262">IF(MAX(B5580-$B$2)&lt;0,0,B5580-$B$2)</f>
        <v>12807.33907821052</v>
      </c>
    </row>
    <row r="5581" spans="2:4" x14ac:dyDescent="0.25">
      <c r="B5581">
        <f t="shared" ref="B5581:B5644" ca="1" si="263">$B$1*EXP((($B$4-($B$3^2)/2)*$B$5+$B$3*SQRT($B$5)*NORMSINV(RAND())))</f>
        <v>50588.349484562379</v>
      </c>
      <c r="C5581">
        <f t="shared" ca="1" si="261"/>
        <v>0</v>
      </c>
      <c r="D5581">
        <f t="shared" ca="1" si="262"/>
        <v>10588.349484562379</v>
      </c>
    </row>
    <row r="5582" spans="2:4" x14ac:dyDescent="0.25">
      <c r="B5582">
        <f t="shared" ca="1" si="263"/>
        <v>42647.440594678752</v>
      </c>
      <c r="C5582">
        <f t="shared" ca="1" si="261"/>
        <v>0</v>
      </c>
      <c r="D5582">
        <f t="shared" ca="1" si="262"/>
        <v>2647.4405946787519</v>
      </c>
    </row>
    <row r="5583" spans="2:4" x14ac:dyDescent="0.25">
      <c r="B5583">
        <f t="shared" ca="1" si="263"/>
        <v>49982.929684329807</v>
      </c>
      <c r="C5583">
        <f t="shared" ca="1" si="261"/>
        <v>0</v>
      </c>
      <c r="D5583">
        <f t="shared" ca="1" si="262"/>
        <v>9982.9296843298071</v>
      </c>
    </row>
    <row r="5584" spans="2:4" x14ac:dyDescent="0.25">
      <c r="B5584">
        <f t="shared" ca="1" si="263"/>
        <v>43415.690476249947</v>
      </c>
      <c r="C5584">
        <f t="shared" ca="1" si="261"/>
        <v>0</v>
      </c>
      <c r="D5584">
        <f t="shared" ca="1" si="262"/>
        <v>3415.6904762499471</v>
      </c>
    </row>
    <row r="5585" spans="2:4" x14ac:dyDescent="0.25">
      <c r="B5585">
        <f t="shared" ca="1" si="263"/>
        <v>42483.685014482726</v>
      </c>
      <c r="C5585">
        <f t="shared" ca="1" si="261"/>
        <v>0</v>
      </c>
      <c r="D5585">
        <f t="shared" ca="1" si="262"/>
        <v>2483.6850144827258</v>
      </c>
    </row>
    <row r="5586" spans="2:4" x14ac:dyDescent="0.25">
      <c r="B5586">
        <f t="shared" ca="1" si="263"/>
        <v>42398.720902528745</v>
      </c>
      <c r="C5586">
        <f t="shared" ca="1" si="261"/>
        <v>0</v>
      </c>
      <c r="D5586">
        <f t="shared" ca="1" si="262"/>
        <v>2398.7209025287448</v>
      </c>
    </row>
    <row r="5587" spans="2:4" x14ac:dyDescent="0.25">
      <c r="B5587">
        <f t="shared" ca="1" si="263"/>
        <v>39259.096553236712</v>
      </c>
      <c r="C5587">
        <f t="shared" ca="1" si="261"/>
        <v>740.90344676328823</v>
      </c>
      <c r="D5587">
        <f t="shared" ca="1" si="262"/>
        <v>0</v>
      </c>
    </row>
    <row r="5588" spans="2:4" x14ac:dyDescent="0.25">
      <c r="B5588">
        <f t="shared" ca="1" si="263"/>
        <v>39341.887674030142</v>
      </c>
      <c r="C5588">
        <f t="shared" ca="1" si="261"/>
        <v>658.11232596985792</v>
      </c>
      <c r="D5588">
        <f t="shared" ca="1" si="262"/>
        <v>0</v>
      </c>
    </row>
    <row r="5589" spans="2:4" x14ac:dyDescent="0.25">
      <c r="B5589">
        <f t="shared" ca="1" si="263"/>
        <v>43708.584794413044</v>
      </c>
      <c r="C5589">
        <f t="shared" ca="1" si="261"/>
        <v>0</v>
      </c>
      <c r="D5589">
        <f t="shared" ca="1" si="262"/>
        <v>3708.5847944130437</v>
      </c>
    </row>
    <row r="5590" spans="2:4" x14ac:dyDescent="0.25">
      <c r="B5590">
        <f t="shared" ca="1" si="263"/>
        <v>43329.981861152963</v>
      </c>
      <c r="C5590">
        <f t="shared" ca="1" si="261"/>
        <v>0</v>
      </c>
      <c r="D5590">
        <f t="shared" ca="1" si="262"/>
        <v>3329.9818611529627</v>
      </c>
    </row>
    <row r="5591" spans="2:4" x14ac:dyDescent="0.25">
      <c r="B5591">
        <f t="shared" ca="1" si="263"/>
        <v>41554.888069535758</v>
      </c>
      <c r="C5591">
        <f t="shared" ca="1" si="261"/>
        <v>0</v>
      </c>
      <c r="D5591">
        <f t="shared" ca="1" si="262"/>
        <v>1554.8880695357584</v>
      </c>
    </row>
    <row r="5592" spans="2:4" x14ac:dyDescent="0.25">
      <c r="B5592">
        <f t="shared" ca="1" si="263"/>
        <v>47306.266329853308</v>
      </c>
      <c r="C5592">
        <f t="shared" ca="1" si="261"/>
        <v>0</v>
      </c>
      <c r="D5592">
        <f t="shared" ca="1" si="262"/>
        <v>7306.266329853308</v>
      </c>
    </row>
    <row r="5593" spans="2:4" x14ac:dyDescent="0.25">
      <c r="B5593">
        <f t="shared" ca="1" si="263"/>
        <v>44830.631307659976</v>
      </c>
      <c r="C5593">
        <f t="shared" ca="1" si="261"/>
        <v>0</v>
      </c>
      <c r="D5593">
        <f t="shared" ca="1" si="262"/>
        <v>4830.6313076599763</v>
      </c>
    </row>
    <row r="5594" spans="2:4" x14ac:dyDescent="0.25">
      <c r="B5594">
        <f t="shared" ca="1" si="263"/>
        <v>43313.086293544904</v>
      </c>
      <c r="C5594">
        <f t="shared" ca="1" si="261"/>
        <v>0</v>
      </c>
      <c r="D5594">
        <f t="shared" ca="1" si="262"/>
        <v>3313.086293544904</v>
      </c>
    </row>
    <row r="5595" spans="2:4" x14ac:dyDescent="0.25">
      <c r="B5595">
        <f t="shared" ca="1" si="263"/>
        <v>39744.244796088344</v>
      </c>
      <c r="C5595">
        <f t="shared" ca="1" si="261"/>
        <v>255.75520391165628</v>
      </c>
      <c r="D5595">
        <f t="shared" ca="1" si="262"/>
        <v>0</v>
      </c>
    </row>
    <row r="5596" spans="2:4" x14ac:dyDescent="0.25">
      <c r="B5596">
        <f t="shared" ca="1" si="263"/>
        <v>41471.201780163537</v>
      </c>
      <c r="C5596">
        <f t="shared" ca="1" si="261"/>
        <v>0</v>
      </c>
      <c r="D5596">
        <f t="shared" ca="1" si="262"/>
        <v>1471.2017801635375</v>
      </c>
    </row>
    <row r="5597" spans="2:4" x14ac:dyDescent="0.25">
      <c r="B5597">
        <f t="shared" ca="1" si="263"/>
        <v>44841.86670843367</v>
      </c>
      <c r="C5597">
        <f t="shared" ca="1" si="261"/>
        <v>0</v>
      </c>
      <c r="D5597">
        <f t="shared" ca="1" si="262"/>
        <v>4841.8667084336703</v>
      </c>
    </row>
    <row r="5598" spans="2:4" x14ac:dyDescent="0.25">
      <c r="B5598">
        <f t="shared" ca="1" si="263"/>
        <v>53763.894467244994</v>
      </c>
      <c r="C5598">
        <f t="shared" ca="1" si="261"/>
        <v>0</v>
      </c>
      <c r="D5598">
        <f t="shared" ca="1" si="262"/>
        <v>13763.894467244994</v>
      </c>
    </row>
    <row r="5599" spans="2:4" x14ac:dyDescent="0.25">
      <c r="B5599">
        <f t="shared" ca="1" si="263"/>
        <v>38822.662537993725</v>
      </c>
      <c r="C5599">
        <f t="shared" ca="1" si="261"/>
        <v>1177.337462006275</v>
      </c>
      <c r="D5599">
        <f t="shared" ca="1" si="262"/>
        <v>0</v>
      </c>
    </row>
    <row r="5600" spans="2:4" x14ac:dyDescent="0.25">
      <c r="B5600">
        <f t="shared" ca="1" si="263"/>
        <v>43336.234797803147</v>
      </c>
      <c r="C5600">
        <f t="shared" ca="1" si="261"/>
        <v>0</v>
      </c>
      <c r="D5600">
        <f t="shared" ca="1" si="262"/>
        <v>3336.2347978031466</v>
      </c>
    </row>
    <row r="5601" spans="2:4" x14ac:dyDescent="0.25">
      <c r="B5601">
        <f t="shared" ca="1" si="263"/>
        <v>49590.562809216113</v>
      </c>
      <c r="C5601">
        <f t="shared" ca="1" si="261"/>
        <v>0</v>
      </c>
      <c r="D5601">
        <f t="shared" ca="1" si="262"/>
        <v>9590.5628092161132</v>
      </c>
    </row>
    <row r="5602" spans="2:4" x14ac:dyDescent="0.25">
      <c r="B5602">
        <f t="shared" ca="1" si="263"/>
        <v>44872.614002805007</v>
      </c>
      <c r="C5602">
        <f t="shared" ca="1" si="261"/>
        <v>0</v>
      </c>
      <c r="D5602">
        <f t="shared" ca="1" si="262"/>
        <v>4872.6140028050067</v>
      </c>
    </row>
    <row r="5603" spans="2:4" x14ac:dyDescent="0.25">
      <c r="B5603">
        <f t="shared" ca="1" si="263"/>
        <v>41624.203163076505</v>
      </c>
      <c r="C5603">
        <f t="shared" ca="1" si="261"/>
        <v>0</v>
      </c>
      <c r="D5603">
        <f t="shared" ca="1" si="262"/>
        <v>1624.203163076505</v>
      </c>
    </row>
    <row r="5604" spans="2:4" x14ac:dyDescent="0.25">
      <c r="B5604">
        <f t="shared" ca="1" si="263"/>
        <v>40788.755305463768</v>
      </c>
      <c r="C5604">
        <f t="shared" ca="1" si="261"/>
        <v>0</v>
      </c>
      <c r="D5604">
        <f t="shared" ca="1" si="262"/>
        <v>788.75530546376831</v>
      </c>
    </row>
    <row r="5605" spans="2:4" x14ac:dyDescent="0.25">
      <c r="B5605">
        <f t="shared" ca="1" si="263"/>
        <v>36811.740260040104</v>
      </c>
      <c r="C5605">
        <f t="shared" ca="1" si="261"/>
        <v>3188.2597399598963</v>
      </c>
      <c r="D5605">
        <f t="shared" ca="1" si="262"/>
        <v>0</v>
      </c>
    </row>
    <row r="5606" spans="2:4" x14ac:dyDescent="0.25">
      <c r="B5606">
        <f t="shared" ca="1" si="263"/>
        <v>50337.915256952831</v>
      </c>
      <c r="C5606">
        <f t="shared" ca="1" si="261"/>
        <v>0</v>
      </c>
      <c r="D5606">
        <f t="shared" ca="1" si="262"/>
        <v>10337.915256952831</v>
      </c>
    </row>
    <row r="5607" spans="2:4" x14ac:dyDescent="0.25">
      <c r="B5607">
        <f t="shared" ca="1" si="263"/>
        <v>41170.650282792296</v>
      </c>
      <c r="C5607">
        <f t="shared" ca="1" si="261"/>
        <v>0</v>
      </c>
      <c r="D5607">
        <f t="shared" ca="1" si="262"/>
        <v>1170.6502827922959</v>
      </c>
    </row>
    <row r="5608" spans="2:4" x14ac:dyDescent="0.25">
      <c r="B5608">
        <f t="shared" ca="1" si="263"/>
        <v>42119.618708902373</v>
      </c>
      <c r="C5608">
        <f t="shared" ca="1" si="261"/>
        <v>0</v>
      </c>
      <c r="D5608">
        <f t="shared" ca="1" si="262"/>
        <v>2119.6187089023733</v>
      </c>
    </row>
    <row r="5609" spans="2:4" x14ac:dyDescent="0.25">
      <c r="B5609">
        <f t="shared" ca="1" si="263"/>
        <v>42709.57083683963</v>
      </c>
      <c r="C5609">
        <f t="shared" ca="1" si="261"/>
        <v>0</v>
      </c>
      <c r="D5609">
        <f t="shared" ca="1" si="262"/>
        <v>2709.5708368396299</v>
      </c>
    </row>
    <row r="5610" spans="2:4" x14ac:dyDescent="0.25">
      <c r="B5610">
        <f t="shared" ca="1" si="263"/>
        <v>43137.038335284989</v>
      </c>
      <c r="C5610">
        <f t="shared" ca="1" si="261"/>
        <v>0</v>
      </c>
      <c r="D5610">
        <f t="shared" ca="1" si="262"/>
        <v>3137.0383352849894</v>
      </c>
    </row>
    <row r="5611" spans="2:4" x14ac:dyDescent="0.25">
      <c r="B5611">
        <f t="shared" ca="1" si="263"/>
        <v>41006.502496403766</v>
      </c>
      <c r="C5611">
        <f t="shared" ca="1" si="261"/>
        <v>0</v>
      </c>
      <c r="D5611">
        <f t="shared" ca="1" si="262"/>
        <v>1006.5024964037657</v>
      </c>
    </row>
    <row r="5612" spans="2:4" x14ac:dyDescent="0.25">
      <c r="B5612">
        <f t="shared" ca="1" si="263"/>
        <v>51305.272324413512</v>
      </c>
      <c r="C5612">
        <f t="shared" ca="1" si="261"/>
        <v>0</v>
      </c>
      <c r="D5612">
        <f t="shared" ca="1" si="262"/>
        <v>11305.272324413512</v>
      </c>
    </row>
    <row r="5613" spans="2:4" x14ac:dyDescent="0.25">
      <c r="B5613">
        <f t="shared" ca="1" si="263"/>
        <v>39424.923694519086</v>
      </c>
      <c r="C5613">
        <f t="shared" ca="1" si="261"/>
        <v>575.07630548091402</v>
      </c>
      <c r="D5613">
        <f t="shared" ca="1" si="262"/>
        <v>0</v>
      </c>
    </row>
    <row r="5614" spans="2:4" x14ac:dyDescent="0.25">
      <c r="B5614">
        <f t="shared" ca="1" si="263"/>
        <v>48019.782482383445</v>
      </c>
      <c r="C5614">
        <f t="shared" ca="1" si="261"/>
        <v>0</v>
      </c>
      <c r="D5614">
        <f t="shared" ca="1" si="262"/>
        <v>8019.7824823834453</v>
      </c>
    </row>
    <row r="5615" spans="2:4" x14ac:dyDescent="0.25">
      <c r="B5615">
        <f t="shared" ca="1" si="263"/>
        <v>38871.961531599736</v>
      </c>
      <c r="C5615">
        <f t="shared" ca="1" si="261"/>
        <v>1128.0384684002638</v>
      </c>
      <c r="D5615">
        <f t="shared" ca="1" si="262"/>
        <v>0</v>
      </c>
    </row>
    <row r="5616" spans="2:4" x14ac:dyDescent="0.25">
      <c r="B5616">
        <f t="shared" ca="1" si="263"/>
        <v>45934.619128337436</v>
      </c>
      <c r="C5616">
        <f t="shared" ca="1" si="261"/>
        <v>0</v>
      </c>
      <c r="D5616">
        <f t="shared" ca="1" si="262"/>
        <v>5934.6191283374355</v>
      </c>
    </row>
    <row r="5617" spans="2:4" x14ac:dyDescent="0.25">
      <c r="B5617">
        <f t="shared" ca="1" si="263"/>
        <v>45608.899071413296</v>
      </c>
      <c r="C5617">
        <f t="shared" ca="1" si="261"/>
        <v>0</v>
      </c>
      <c r="D5617">
        <f t="shared" ca="1" si="262"/>
        <v>5608.899071413296</v>
      </c>
    </row>
    <row r="5618" spans="2:4" x14ac:dyDescent="0.25">
      <c r="B5618">
        <f t="shared" ca="1" si="263"/>
        <v>46019.854825039496</v>
      </c>
      <c r="C5618">
        <f t="shared" ca="1" si="261"/>
        <v>0</v>
      </c>
      <c r="D5618">
        <f t="shared" ca="1" si="262"/>
        <v>6019.8548250394961</v>
      </c>
    </row>
    <row r="5619" spans="2:4" x14ac:dyDescent="0.25">
      <c r="B5619">
        <f t="shared" ca="1" si="263"/>
        <v>35450.866433022456</v>
      </c>
      <c r="C5619">
        <f t="shared" ca="1" si="261"/>
        <v>4549.1335669775435</v>
      </c>
      <c r="D5619">
        <f t="shared" ca="1" si="262"/>
        <v>0</v>
      </c>
    </row>
    <row r="5620" spans="2:4" x14ac:dyDescent="0.25">
      <c r="B5620">
        <f t="shared" ca="1" si="263"/>
        <v>44836.889510104316</v>
      </c>
      <c r="C5620">
        <f t="shared" ca="1" si="261"/>
        <v>0</v>
      </c>
      <c r="D5620">
        <f t="shared" ca="1" si="262"/>
        <v>4836.8895101043163</v>
      </c>
    </row>
    <row r="5621" spans="2:4" x14ac:dyDescent="0.25">
      <c r="B5621">
        <f t="shared" ca="1" si="263"/>
        <v>53036.639495515206</v>
      </c>
      <c r="C5621">
        <f t="shared" ca="1" si="261"/>
        <v>0</v>
      </c>
      <c r="D5621">
        <f t="shared" ca="1" si="262"/>
        <v>13036.639495515206</v>
      </c>
    </row>
    <row r="5622" spans="2:4" x14ac:dyDescent="0.25">
      <c r="B5622">
        <f t="shared" ca="1" si="263"/>
        <v>41607.2017879903</v>
      </c>
      <c r="C5622">
        <f t="shared" ca="1" si="261"/>
        <v>0</v>
      </c>
      <c r="D5622">
        <f t="shared" ca="1" si="262"/>
        <v>1607.2017879902996</v>
      </c>
    </row>
    <row r="5623" spans="2:4" x14ac:dyDescent="0.25">
      <c r="B5623">
        <f t="shared" ca="1" si="263"/>
        <v>41960.854509521392</v>
      </c>
      <c r="C5623">
        <f t="shared" ca="1" si="261"/>
        <v>0</v>
      </c>
      <c r="D5623">
        <f t="shared" ca="1" si="262"/>
        <v>1960.8545095213922</v>
      </c>
    </row>
    <row r="5624" spans="2:4" x14ac:dyDescent="0.25">
      <c r="B5624">
        <f t="shared" ca="1" si="263"/>
        <v>46703.45030917057</v>
      </c>
      <c r="C5624">
        <f t="shared" ca="1" si="261"/>
        <v>0</v>
      </c>
      <c r="D5624">
        <f t="shared" ca="1" si="262"/>
        <v>6703.4503091705701</v>
      </c>
    </row>
    <row r="5625" spans="2:4" x14ac:dyDescent="0.25">
      <c r="B5625">
        <f t="shared" ca="1" si="263"/>
        <v>45536.312309407127</v>
      </c>
      <c r="C5625">
        <f t="shared" ca="1" si="261"/>
        <v>0</v>
      </c>
      <c r="D5625">
        <f t="shared" ca="1" si="262"/>
        <v>5536.312309407127</v>
      </c>
    </row>
    <row r="5626" spans="2:4" x14ac:dyDescent="0.25">
      <c r="B5626">
        <f t="shared" ca="1" si="263"/>
        <v>48188.435300651763</v>
      </c>
      <c r="C5626">
        <f t="shared" ca="1" si="261"/>
        <v>0</v>
      </c>
      <c r="D5626">
        <f t="shared" ca="1" si="262"/>
        <v>8188.4353006517631</v>
      </c>
    </row>
    <row r="5627" spans="2:4" x14ac:dyDescent="0.25">
      <c r="B5627">
        <f t="shared" ca="1" si="263"/>
        <v>43024.55935877873</v>
      </c>
      <c r="C5627">
        <f t="shared" ca="1" si="261"/>
        <v>0</v>
      </c>
      <c r="D5627">
        <f t="shared" ca="1" si="262"/>
        <v>3024.5593587787298</v>
      </c>
    </row>
    <row r="5628" spans="2:4" x14ac:dyDescent="0.25">
      <c r="B5628">
        <f t="shared" ca="1" si="263"/>
        <v>46379.972027354706</v>
      </c>
      <c r="C5628">
        <f t="shared" ca="1" si="261"/>
        <v>0</v>
      </c>
      <c r="D5628">
        <f t="shared" ca="1" si="262"/>
        <v>6379.9720273547064</v>
      </c>
    </row>
    <row r="5629" spans="2:4" x14ac:dyDescent="0.25">
      <c r="B5629">
        <f t="shared" ca="1" si="263"/>
        <v>42982.304887831175</v>
      </c>
      <c r="C5629">
        <f t="shared" ca="1" si="261"/>
        <v>0</v>
      </c>
      <c r="D5629">
        <f t="shared" ca="1" si="262"/>
        <v>2982.3048878311747</v>
      </c>
    </row>
    <row r="5630" spans="2:4" x14ac:dyDescent="0.25">
      <c r="B5630">
        <f t="shared" ca="1" si="263"/>
        <v>41876.521019660519</v>
      </c>
      <c r="C5630">
        <f t="shared" ca="1" si="261"/>
        <v>0</v>
      </c>
      <c r="D5630">
        <f t="shared" ca="1" si="262"/>
        <v>1876.5210196605185</v>
      </c>
    </row>
    <row r="5631" spans="2:4" x14ac:dyDescent="0.25">
      <c r="B5631">
        <f t="shared" ca="1" si="263"/>
        <v>40334.203584226037</v>
      </c>
      <c r="C5631">
        <f t="shared" ca="1" si="261"/>
        <v>0</v>
      </c>
      <c r="D5631">
        <f t="shared" ca="1" si="262"/>
        <v>334.20358422603749</v>
      </c>
    </row>
    <row r="5632" spans="2:4" x14ac:dyDescent="0.25">
      <c r="B5632">
        <f t="shared" ca="1" si="263"/>
        <v>45470.079856175311</v>
      </c>
      <c r="C5632">
        <f t="shared" ca="1" si="261"/>
        <v>0</v>
      </c>
      <c r="D5632">
        <f t="shared" ca="1" si="262"/>
        <v>5470.0798561753109</v>
      </c>
    </row>
    <row r="5633" spans="2:4" x14ac:dyDescent="0.25">
      <c r="B5633">
        <f t="shared" ca="1" si="263"/>
        <v>39235.103681688648</v>
      </c>
      <c r="C5633">
        <f t="shared" ca="1" si="261"/>
        <v>764.89631831135193</v>
      </c>
      <c r="D5633">
        <f t="shared" ca="1" si="262"/>
        <v>0</v>
      </c>
    </row>
    <row r="5634" spans="2:4" x14ac:dyDescent="0.25">
      <c r="B5634">
        <f t="shared" ca="1" si="263"/>
        <v>41718.894851153847</v>
      </c>
      <c r="C5634">
        <f t="shared" ca="1" si="261"/>
        <v>0</v>
      </c>
      <c r="D5634">
        <f t="shared" ca="1" si="262"/>
        <v>1718.8948511538474</v>
      </c>
    </row>
    <row r="5635" spans="2:4" x14ac:dyDescent="0.25">
      <c r="B5635">
        <f t="shared" ca="1" si="263"/>
        <v>55935.620232296314</v>
      </c>
      <c r="C5635">
        <f t="shared" ca="1" si="261"/>
        <v>0</v>
      </c>
      <c r="D5635">
        <f t="shared" ca="1" si="262"/>
        <v>15935.620232296314</v>
      </c>
    </row>
    <row r="5636" spans="2:4" x14ac:dyDescent="0.25">
      <c r="B5636">
        <f t="shared" ca="1" si="263"/>
        <v>40949.153279821046</v>
      </c>
      <c r="C5636">
        <f t="shared" ca="1" si="261"/>
        <v>0</v>
      </c>
      <c r="D5636">
        <f t="shared" ca="1" si="262"/>
        <v>949.15327982104645</v>
      </c>
    </row>
    <row r="5637" spans="2:4" x14ac:dyDescent="0.25">
      <c r="B5637">
        <f t="shared" ca="1" si="263"/>
        <v>46829.809324746871</v>
      </c>
      <c r="C5637">
        <f t="shared" ca="1" si="261"/>
        <v>0</v>
      </c>
      <c r="D5637">
        <f t="shared" ca="1" si="262"/>
        <v>6829.8093247468714</v>
      </c>
    </row>
    <row r="5638" spans="2:4" x14ac:dyDescent="0.25">
      <c r="B5638">
        <f t="shared" ca="1" si="263"/>
        <v>52001.861515814744</v>
      </c>
      <c r="C5638">
        <f t="shared" ca="1" si="261"/>
        <v>0</v>
      </c>
      <c r="D5638">
        <f t="shared" ca="1" si="262"/>
        <v>12001.861515814744</v>
      </c>
    </row>
    <row r="5639" spans="2:4" x14ac:dyDescent="0.25">
      <c r="B5639">
        <f t="shared" ca="1" si="263"/>
        <v>46658.72866796446</v>
      </c>
      <c r="C5639">
        <f t="shared" ca="1" si="261"/>
        <v>0</v>
      </c>
      <c r="D5639">
        <f t="shared" ca="1" si="262"/>
        <v>6658.7286679644603</v>
      </c>
    </row>
    <row r="5640" spans="2:4" x14ac:dyDescent="0.25">
      <c r="B5640">
        <f t="shared" ca="1" si="263"/>
        <v>49541.911631445568</v>
      </c>
      <c r="C5640">
        <f t="shared" ca="1" si="261"/>
        <v>0</v>
      </c>
      <c r="D5640">
        <f t="shared" ca="1" si="262"/>
        <v>9541.9116314455678</v>
      </c>
    </row>
    <row r="5641" spans="2:4" x14ac:dyDescent="0.25">
      <c r="B5641">
        <f t="shared" ca="1" si="263"/>
        <v>41504.611969640231</v>
      </c>
      <c r="C5641">
        <f t="shared" ca="1" si="261"/>
        <v>0</v>
      </c>
      <c r="D5641">
        <f t="shared" ca="1" si="262"/>
        <v>1504.6119696402311</v>
      </c>
    </row>
    <row r="5642" spans="2:4" x14ac:dyDescent="0.25">
      <c r="B5642">
        <f t="shared" ca="1" si="263"/>
        <v>49922.902971322474</v>
      </c>
      <c r="C5642">
        <f t="shared" ca="1" si="261"/>
        <v>0</v>
      </c>
      <c r="D5642">
        <f t="shared" ca="1" si="262"/>
        <v>9922.9029713224736</v>
      </c>
    </row>
    <row r="5643" spans="2:4" x14ac:dyDescent="0.25">
      <c r="B5643">
        <f t="shared" ca="1" si="263"/>
        <v>42075.973019586148</v>
      </c>
      <c r="C5643">
        <f t="shared" ca="1" si="261"/>
        <v>0</v>
      </c>
      <c r="D5643">
        <f t="shared" ca="1" si="262"/>
        <v>2075.9730195861484</v>
      </c>
    </row>
    <row r="5644" spans="2:4" x14ac:dyDescent="0.25">
      <c r="B5644">
        <f t="shared" ca="1" si="263"/>
        <v>44249.774541888735</v>
      </c>
      <c r="C5644">
        <f t="shared" ref="C5644:C5707" ca="1" si="264">IF(MAX($B$2-B5644)&lt;0,0,$B$2-B5644)</f>
        <v>0</v>
      </c>
      <c r="D5644">
        <f t="shared" ref="D5644:D5707" ca="1" si="265">IF(MAX(B5644-$B$2)&lt;0,0,B5644-$B$2)</f>
        <v>4249.7745418887353</v>
      </c>
    </row>
    <row r="5645" spans="2:4" x14ac:dyDescent="0.25">
      <c r="B5645">
        <f t="shared" ref="B5645:B5708" ca="1" si="266">$B$1*EXP((($B$4-($B$3^2)/2)*$B$5+$B$3*SQRT($B$5)*NORMSINV(RAND())))</f>
        <v>39889.979697272443</v>
      </c>
      <c r="C5645">
        <f t="shared" ca="1" si="264"/>
        <v>110.02030272755655</v>
      </c>
      <c r="D5645">
        <f t="shared" ca="1" si="265"/>
        <v>0</v>
      </c>
    </row>
    <row r="5646" spans="2:4" x14ac:dyDescent="0.25">
      <c r="B5646">
        <f t="shared" ca="1" si="266"/>
        <v>39969.422637379845</v>
      </c>
      <c r="C5646">
        <f t="shared" ca="1" si="264"/>
        <v>30.577362620155327</v>
      </c>
      <c r="D5646">
        <f t="shared" ca="1" si="265"/>
        <v>0</v>
      </c>
    </row>
    <row r="5647" spans="2:4" x14ac:dyDescent="0.25">
      <c r="B5647">
        <f t="shared" ca="1" si="266"/>
        <v>42638.289903580095</v>
      </c>
      <c r="C5647">
        <f t="shared" ca="1" si="264"/>
        <v>0</v>
      </c>
      <c r="D5647">
        <f t="shared" ca="1" si="265"/>
        <v>2638.2899035800947</v>
      </c>
    </row>
    <row r="5648" spans="2:4" x14ac:dyDescent="0.25">
      <c r="B5648">
        <f t="shared" ca="1" si="266"/>
        <v>41786.13989473378</v>
      </c>
      <c r="C5648">
        <f t="shared" ca="1" si="264"/>
        <v>0</v>
      </c>
      <c r="D5648">
        <f t="shared" ca="1" si="265"/>
        <v>1786.1398947337802</v>
      </c>
    </row>
    <row r="5649" spans="2:4" x14ac:dyDescent="0.25">
      <c r="B5649">
        <f t="shared" ca="1" si="266"/>
        <v>46908.796266145277</v>
      </c>
      <c r="C5649">
        <f t="shared" ca="1" si="264"/>
        <v>0</v>
      </c>
      <c r="D5649">
        <f t="shared" ca="1" si="265"/>
        <v>6908.7962661452766</v>
      </c>
    </row>
    <row r="5650" spans="2:4" x14ac:dyDescent="0.25">
      <c r="B5650">
        <f t="shared" ca="1" si="266"/>
        <v>48543.775564127143</v>
      </c>
      <c r="C5650">
        <f t="shared" ca="1" si="264"/>
        <v>0</v>
      </c>
      <c r="D5650">
        <f t="shared" ca="1" si="265"/>
        <v>8543.7755641271433</v>
      </c>
    </row>
    <row r="5651" spans="2:4" x14ac:dyDescent="0.25">
      <c r="B5651">
        <f t="shared" ca="1" si="266"/>
        <v>49071.241727568922</v>
      </c>
      <c r="C5651">
        <f t="shared" ca="1" si="264"/>
        <v>0</v>
      </c>
      <c r="D5651">
        <f t="shared" ca="1" si="265"/>
        <v>9071.2417275689222</v>
      </c>
    </row>
    <row r="5652" spans="2:4" x14ac:dyDescent="0.25">
      <c r="B5652">
        <f t="shared" ca="1" si="266"/>
        <v>47233.73093990676</v>
      </c>
      <c r="C5652">
        <f t="shared" ca="1" si="264"/>
        <v>0</v>
      </c>
      <c r="D5652">
        <f t="shared" ca="1" si="265"/>
        <v>7233.7309399067599</v>
      </c>
    </row>
    <row r="5653" spans="2:4" x14ac:dyDescent="0.25">
      <c r="B5653">
        <f t="shared" ca="1" si="266"/>
        <v>41145.92350414575</v>
      </c>
      <c r="C5653">
        <f t="shared" ca="1" si="264"/>
        <v>0</v>
      </c>
      <c r="D5653">
        <f t="shared" ca="1" si="265"/>
        <v>1145.9235041457505</v>
      </c>
    </row>
    <row r="5654" spans="2:4" x14ac:dyDescent="0.25">
      <c r="B5654">
        <f t="shared" ca="1" si="266"/>
        <v>38365.590720153596</v>
      </c>
      <c r="C5654">
        <f t="shared" ca="1" si="264"/>
        <v>1634.4092798464044</v>
      </c>
      <c r="D5654">
        <f t="shared" ca="1" si="265"/>
        <v>0</v>
      </c>
    </row>
    <row r="5655" spans="2:4" x14ac:dyDescent="0.25">
      <c r="B5655">
        <f t="shared" ca="1" si="266"/>
        <v>41300.013529449279</v>
      </c>
      <c r="C5655">
        <f t="shared" ca="1" si="264"/>
        <v>0</v>
      </c>
      <c r="D5655">
        <f t="shared" ca="1" si="265"/>
        <v>1300.0135294492793</v>
      </c>
    </row>
    <row r="5656" spans="2:4" x14ac:dyDescent="0.25">
      <c r="B5656">
        <f t="shared" ca="1" si="266"/>
        <v>46682.337275763064</v>
      </c>
      <c r="C5656">
        <f t="shared" ca="1" si="264"/>
        <v>0</v>
      </c>
      <c r="D5656">
        <f t="shared" ca="1" si="265"/>
        <v>6682.3372757630641</v>
      </c>
    </row>
    <row r="5657" spans="2:4" x14ac:dyDescent="0.25">
      <c r="B5657">
        <f t="shared" ca="1" si="266"/>
        <v>49088.984106936237</v>
      </c>
      <c r="C5657">
        <f t="shared" ca="1" si="264"/>
        <v>0</v>
      </c>
      <c r="D5657">
        <f t="shared" ca="1" si="265"/>
        <v>9088.9841069362374</v>
      </c>
    </row>
    <row r="5658" spans="2:4" x14ac:dyDescent="0.25">
      <c r="B5658">
        <f t="shared" ca="1" si="266"/>
        <v>39699.005176875682</v>
      </c>
      <c r="C5658">
        <f t="shared" ca="1" si="264"/>
        <v>300.99482312431792</v>
      </c>
      <c r="D5658">
        <f t="shared" ca="1" si="265"/>
        <v>0</v>
      </c>
    </row>
    <row r="5659" spans="2:4" x14ac:dyDescent="0.25">
      <c r="B5659">
        <f t="shared" ca="1" si="266"/>
        <v>48877.950388470912</v>
      </c>
      <c r="C5659">
        <f t="shared" ca="1" si="264"/>
        <v>0</v>
      </c>
      <c r="D5659">
        <f t="shared" ca="1" si="265"/>
        <v>8877.950388470912</v>
      </c>
    </row>
    <row r="5660" spans="2:4" x14ac:dyDescent="0.25">
      <c r="B5660">
        <f t="shared" ca="1" si="266"/>
        <v>48337.167410411588</v>
      </c>
      <c r="C5660">
        <f t="shared" ca="1" si="264"/>
        <v>0</v>
      </c>
      <c r="D5660">
        <f t="shared" ca="1" si="265"/>
        <v>8337.1674104115882</v>
      </c>
    </row>
    <row r="5661" spans="2:4" x14ac:dyDescent="0.25">
      <c r="B5661">
        <f t="shared" ca="1" si="266"/>
        <v>51966.71379346645</v>
      </c>
      <c r="C5661">
        <f t="shared" ca="1" si="264"/>
        <v>0</v>
      </c>
      <c r="D5661">
        <f t="shared" ca="1" si="265"/>
        <v>11966.71379346645</v>
      </c>
    </row>
    <row r="5662" spans="2:4" x14ac:dyDescent="0.25">
      <c r="B5662">
        <f t="shared" ca="1" si="266"/>
        <v>39600.689923897735</v>
      </c>
      <c r="C5662">
        <f t="shared" ca="1" si="264"/>
        <v>399.31007610226516</v>
      </c>
      <c r="D5662">
        <f t="shared" ca="1" si="265"/>
        <v>0</v>
      </c>
    </row>
    <row r="5663" spans="2:4" x14ac:dyDescent="0.25">
      <c r="B5663">
        <f t="shared" ca="1" si="266"/>
        <v>53613.055680876765</v>
      </c>
      <c r="C5663">
        <f t="shared" ca="1" si="264"/>
        <v>0</v>
      </c>
      <c r="D5663">
        <f t="shared" ca="1" si="265"/>
        <v>13613.055680876765</v>
      </c>
    </row>
    <row r="5664" spans="2:4" x14ac:dyDescent="0.25">
      <c r="B5664">
        <f t="shared" ca="1" si="266"/>
        <v>41135.454744386923</v>
      </c>
      <c r="C5664">
        <f t="shared" ca="1" si="264"/>
        <v>0</v>
      </c>
      <c r="D5664">
        <f t="shared" ca="1" si="265"/>
        <v>1135.4547443869233</v>
      </c>
    </row>
    <row r="5665" spans="2:4" x14ac:dyDescent="0.25">
      <c r="B5665">
        <f t="shared" ca="1" si="266"/>
        <v>40430.809561776994</v>
      </c>
      <c r="C5665">
        <f t="shared" ca="1" si="264"/>
        <v>0</v>
      </c>
      <c r="D5665">
        <f t="shared" ca="1" si="265"/>
        <v>430.80956177699409</v>
      </c>
    </row>
    <row r="5666" spans="2:4" x14ac:dyDescent="0.25">
      <c r="B5666">
        <f t="shared" ca="1" si="266"/>
        <v>38884.699522164097</v>
      </c>
      <c r="C5666">
        <f t="shared" ca="1" si="264"/>
        <v>1115.3004778359027</v>
      </c>
      <c r="D5666">
        <f t="shared" ca="1" si="265"/>
        <v>0</v>
      </c>
    </row>
    <row r="5667" spans="2:4" x14ac:dyDescent="0.25">
      <c r="B5667">
        <f t="shared" ca="1" si="266"/>
        <v>46744.023822575029</v>
      </c>
      <c r="C5667">
        <f t="shared" ca="1" si="264"/>
        <v>0</v>
      </c>
      <c r="D5667">
        <f t="shared" ca="1" si="265"/>
        <v>6744.023822575029</v>
      </c>
    </row>
    <row r="5668" spans="2:4" x14ac:dyDescent="0.25">
      <c r="B5668">
        <f t="shared" ca="1" si="266"/>
        <v>45459.393556539129</v>
      </c>
      <c r="C5668">
        <f t="shared" ca="1" si="264"/>
        <v>0</v>
      </c>
      <c r="D5668">
        <f t="shared" ca="1" si="265"/>
        <v>5459.3935565391293</v>
      </c>
    </row>
    <row r="5669" spans="2:4" x14ac:dyDescent="0.25">
      <c r="B5669">
        <f t="shared" ca="1" si="266"/>
        <v>45940.83063662221</v>
      </c>
      <c r="C5669">
        <f t="shared" ca="1" si="264"/>
        <v>0</v>
      </c>
      <c r="D5669">
        <f t="shared" ca="1" si="265"/>
        <v>5940.8306366222096</v>
      </c>
    </row>
    <row r="5670" spans="2:4" x14ac:dyDescent="0.25">
      <c r="B5670">
        <f t="shared" ca="1" si="266"/>
        <v>39503.992397507522</v>
      </c>
      <c r="C5670">
        <f t="shared" ca="1" si="264"/>
        <v>496.00760249247833</v>
      </c>
      <c r="D5670">
        <f t="shared" ca="1" si="265"/>
        <v>0</v>
      </c>
    </row>
    <row r="5671" spans="2:4" x14ac:dyDescent="0.25">
      <c r="B5671">
        <f t="shared" ca="1" si="266"/>
        <v>40448.939391042099</v>
      </c>
      <c r="C5671">
        <f t="shared" ca="1" si="264"/>
        <v>0</v>
      </c>
      <c r="D5671">
        <f t="shared" ca="1" si="265"/>
        <v>448.93939104209858</v>
      </c>
    </row>
    <row r="5672" spans="2:4" x14ac:dyDescent="0.25">
      <c r="B5672">
        <f t="shared" ca="1" si="266"/>
        <v>46698.977836097743</v>
      </c>
      <c r="C5672">
        <f t="shared" ca="1" si="264"/>
        <v>0</v>
      </c>
      <c r="D5672">
        <f t="shared" ca="1" si="265"/>
        <v>6698.9778360977434</v>
      </c>
    </row>
    <row r="5673" spans="2:4" x14ac:dyDescent="0.25">
      <c r="B5673">
        <f t="shared" ca="1" si="266"/>
        <v>48637.439754887222</v>
      </c>
      <c r="C5673">
        <f t="shared" ca="1" si="264"/>
        <v>0</v>
      </c>
      <c r="D5673">
        <f t="shared" ca="1" si="265"/>
        <v>8637.4397548872221</v>
      </c>
    </row>
    <row r="5674" spans="2:4" x14ac:dyDescent="0.25">
      <c r="B5674">
        <f t="shared" ca="1" si="266"/>
        <v>49628.943233639809</v>
      </c>
      <c r="C5674">
        <f t="shared" ca="1" si="264"/>
        <v>0</v>
      </c>
      <c r="D5674">
        <f t="shared" ca="1" si="265"/>
        <v>9628.9432336398095</v>
      </c>
    </row>
    <row r="5675" spans="2:4" x14ac:dyDescent="0.25">
      <c r="B5675">
        <f t="shared" ca="1" si="266"/>
        <v>44246.688075070975</v>
      </c>
      <c r="C5675">
        <f t="shared" ca="1" si="264"/>
        <v>0</v>
      </c>
      <c r="D5675">
        <f t="shared" ca="1" si="265"/>
        <v>4246.6880750709752</v>
      </c>
    </row>
    <row r="5676" spans="2:4" x14ac:dyDescent="0.25">
      <c r="B5676">
        <f t="shared" ca="1" si="266"/>
        <v>50305.756824969772</v>
      </c>
      <c r="C5676">
        <f t="shared" ca="1" si="264"/>
        <v>0</v>
      </c>
      <c r="D5676">
        <f t="shared" ca="1" si="265"/>
        <v>10305.756824969772</v>
      </c>
    </row>
    <row r="5677" spans="2:4" x14ac:dyDescent="0.25">
      <c r="B5677">
        <f t="shared" ca="1" si="266"/>
        <v>42640.303194543107</v>
      </c>
      <c r="C5677">
        <f t="shared" ca="1" si="264"/>
        <v>0</v>
      </c>
      <c r="D5677">
        <f t="shared" ca="1" si="265"/>
        <v>2640.3031945431067</v>
      </c>
    </row>
    <row r="5678" spans="2:4" x14ac:dyDescent="0.25">
      <c r="B5678">
        <f t="shared" ca="1" si="266"/>
        <v>43548.240741832225</v>
      </c>
      <c r="C5678">
        <f t="shared" ca="1" si="264"/>
        <v>0</v>
      </c>
      <c r="D5678">
        <f t="shared" ca="1" si="265"/>
        <v>3548.2407418322255</v>
      </c>
    </row>
    <row r="5679" spans="2:4" x14ac:dyDescent="0.25">
      <c r="B5679">
        <f t="shared" ca="1" si="266"/>
        <v>40121.294541401243</v>
      </c>
      <c r="C5679">
        <f t="shared" ca="1" si="264"/>
        <v>0</v>
      </c>
      <c r="D5679">
        <f t="shared" ca="1" si="265"/>
        <v>121.2945414012429</v>
      </c>
    </row>
    <row r="5680" spans="2:4" x14ac:dyDescent="0.25">
      <c r="B5680">
        <f t="shared" ca="1" si="266"/>
        <v>48161.998864680048</v>
      </c>
      <c r="C5680">
        <f t="shared" ca="1" si="264"/>
        <v>0</v>
      </c>
      <c r="D5680">
        <f t="shared" ca="1" si="265"/>
        <v>8161.9988646800484</v>
      </c>
    </row>
    <row r="5681" spans="2:4" x14ac:dyDescent="0.25">
      <c r="B5681">
        <f t="shared" ca="1" si="266"/>
        <v>49612.558701538852</v>
      </c>
      <c r="C5681">
        <f t="shared" ca="1" si="264"/>
        <v>0</v>
      </c>
      <c r="D5681">
        <f t="shared" ca="1" si="265"/>
        <v>9612.5587015388519</v>
      </c>
    </row>
    <row r="5682" spans="2:4" x14ac:dyDescent="0.25">
      <c r="B5682">
        <f t="shared" ca="1" si="266"/>
        <v>46990.217132428275</v>
      </c>
      <c r="C5682">
        <f t="shared" ca="1" si="264"/>
        <v>0</v>
      </c>
      <c r="D5682">
        <f t="shared" ca="1" si="265"/>
        <v>6990.2171324282754</v>
      </c>
    </row>
    <row r="5683" spans="2:4" x14ac:dyDescent="0.25">
      <c r="B5683">
        <f t="shared" ca="1" si="266"/>
        <v>43933.126057388319</v>
      </c>
      <c r="C5683">
        <f t="shared" ca="1" si="264"/>
        <v>0</v>
      </c>
      <c r="D5683">
        <f t="shared" ca="1" si="265"/>
        <v>3933.1260573883192</v>
      </c>
    </row>
    <row r="5684" spans="2:4" x14ac:dyDescent="0.25">
      <c r="B5684">
        <f t="shared" ca="1" si="266"/>
        <v>45089.791142411414</v>
      </c>
      <c r="C5684">
        <f t="shared" ca="1" si="264"/>
        <v>0</v>
      </c>
      <c r="D5684">
        <f t="shared" ca="1" si="265"/>
        <v>5089.7911424114136</v>
      </c>
    </row>
    <row r="5685" spans="2:4" x14ac:dyDescent="0.25">
      <c r="B5685">
        <f t="shared" ca="1" si="266"/>
        <v>46173.910430861477</v>
      </c>
      <c r="C5685">
        <f t="shared" ca="1" si="264"/>
        <v>0</v>
      </c>
      <c r="D5685">
        <f t="shared" ca="1" si="265"/>
        <v>6173.9104308614769</v>
      </c>
    </row>
    <row r="5686" spans="2:4" x14ac:dyDescent="0.25">
      <c r="B5686">
        <f t="shared" ca="1" si="266"/>
        <v>38512.353984802845</v>
      </c>
      <c r="C5686">
        <f t="shared" ca="1" si="264"/>
        <v>1487.6460151971551</v>
      </c>
      <c r="D5686">
        <f t="shared" ca="1" si="265"/>
        <v>0</v>
      </c>
    </row>
    <row r="5687" spans="2:4" x14ac:dyDescent="0.25">
      <c r="B5687">
        <f t="shared" ca="1" si="266"/>
        <v>40618.711076023392</v>
      </c>
      <c r="C5687">
        <f t="shared" ca="1" si="264"/>
        <v>0</v>
      </c>
      <c r="D5687">
        <f t="shared" ca="1" si="265"/>
        <v>618.7110760233918</v>
      </c>
    </row>
    <row r="5688" spans="2:4" x14ac:dyDescent="0.25">
      <c r="B5688">
        <f t="shared" ca="1" si="266"/>
        <v>49934.268784851702</v>
      </c>
      <c r="C5688">
        <f t="shared" ca="1" si="264"/>
        <v>0</v>
      </c>
      <c r="D5688">
        <f t="shared" ca="1" si="265"/>
        <v>9934.2687848517016</v>
      </c>
    </row>
    <row r="5689" spans="2:4" x14ac:dyDescent="0.25">
      <c r="B5689">
        <f t="shared" ca="1" si="266"/>
        <v>47497.972250645995</v>
      </c>
      <c r="C5689">
        <f t="shared" ca="1" si="264"/>
        <v>0</v>
      </c>
      <c r="D5689">
        <f t="shared" ca="1" si="265"/>
        <v>7497.9722506459948</v>
      </c>
    </row>
    <row r="5690" spans="2:4" x14ac:dyDescent="0.25">
      <c r="B5690">
        <f t="shared" ca="1" si="266"/>
        <v>46996.337262046211</v>
      </c>
      <c r="C5690">
        <f t="shared" ca="1" si="264"/>
        <v>0</v>
      </c>
      <c r="D5690">
        <f t="shared" ca="1" si="265"/>
        <v>6996.3372620462105</v>
      </c>
    </row>
    <row r="5691" spans="2:4" x14ac:dyDescent="0.25">
      <c r="B5691">
        <f t="shared" ca="1" si="266"/>
        <v>41985.760821734621</v>
      </c>
      <c r="C5691">
        <f t="shared" ca="1" si="264"/>
        <v>0</v>
      </c>
      <c r="D5691">
        <f t="shared" ca="1" si="265"/>
        <v>1985.7608217346205</v>
      </c>
    </row>
    <row r="5692" spans="2:4" x14ac:dyDescent="0.25">
      <c r="B5692">
        <f t="shared" ca="1" si="266"/>
        <v>40058.606091729875</v>
      </c>
      <c r="C5692">
        <f t="shared" ca="1" si="264"/>
        <v>0</v>
      </c>
      <c r="D5692">
        <f t="shared" ca="1" si="265"/>
        <v>58.606091729874606</v>
      </c>
    </row>
    <row r="5693" spans="2:4" x14ac:dyDescent="0.25">
      <c r="B5693">
        <f t="shared" ca="1" si="266"/>
        <v>46893.066823698631</v>
      </c>
      <c r="C5693">
        <f t="shared" ca="1" si="264"/>
        <v>0</v>
      </c>
      <c r="D5693">
        <f t="shared" ca="1" si="265"/>
        <v>6893.0668236986312</v>
      </c>
    </row>
    <row r="5694" spans="2:4" x14ac:dyDescent="0.25">
      <c r="B5694">
        <f t="shared" ca="1" si="266"/>
        <v>49567.313065723196</v>
      </c>
      <c r="C5694">
        <f t="shared" ca="1" si="264"/>
        <v>0</v>
      </c>
      <c r="D5694">
        <f t="shared" ca="1" si="265"/>
        <v>9567.3130657231959</v>
      </c>
    </row>
    <row r="5695" spans="2:4" x14ac:dyDescent="0.25">
      <c r="B5695">
        <f t="shared" ca="1" si="266"/>
        <v>50802.961671452176</v>
      </c>
      <c r="C5695">
        <f t="shared" ca="1" si="264"/>
        <v>0</v>
      </c>
      <c r="D5695">
        <f t="shared" ca="1" si="265"/>
        <v>10802.961671452176</v>
      </c>
    </row>
    <row r="5696" spans="2:4" x14ac:dyDescent="0.25">
      <c r="B5696">
        <f t="shared" ca="1" si="266"/>
        <v>39619.76117304041</v>
      </c>
      <c r="C5696">
        <f t="shared" ca="1" si="264"/>
        <v>380.23882695959037</v>
      </c>
      <c r="D5696">
        <f t="shared" ca="1" si="265"/>
        <v>0</v>
      </c>
    </row>
    <row r="5697" spans="2:4" x14ac:dyDescent="0.25">
      <c r="B5697">
        <f t="shared" ca="1" si="266"/>
        <v>49688.712940377452</v>
      </c>
      <c r="C5697">
        <f t="shared" ca="1" si="264"/>
        <v>0</v>
      </c>
      <c r="D5697">
        <f t="shared" ca="1" si="265"/>
        <v>9688.7129403774525</v>
      </c>
    </row>
    <row r="5698" spans="2:4" x14ac:dyDescent="0.25">
      <c r="B5698">
        <f t="shared" ca="1" si="266"/>
        <v>47291.098729167883</v>
      </c>
      <c r="C5698">
        <f t="shared" ca="1" si="264"/>
        <v>0</v>
      </c>
      <c r="D5698">
        <f t="shared" ca="1" si="265"/>
        <v>7291.098729167883</v>
      </c>
    </row>
    <row r="5699" spans="2:4" x14ac:dyDescent="0.25">
      <c r="B5699">
        <f t="shared" ca="1" si="266"/>
        <v>43801.665195875976</v>
      </c>
      <c r="C5699">
        <f t="shared" ca="1" si="264"/>
        <v>0</v>
      </c>
      <c r="D5699">
        <f t="shared" ca="1" si="265"/>
        <v>3801.6651958759758</v>
      </c>
    </row>
    <row r="5700" spans="2:4" x14ac:dyDescent="0.25">
      <c r="B5700">
        <f t="shared" ca="1" si="266"/>
        <v>48572.119687974155</v>
      </c>
      <c r="C5700">
        <f t="shared" ca="1" si="264"/>
        <v>0</v>
      </c>
      <c r="D5700">
        <f t="shared" ca="1" si="265"/>
        <v>8572.1196879741547</v>
      </c>
    </row>
    <row r="5701" spans="2:4" x14ac:dyDescent="0.25">
      <c r="B5701">
        <f t="shared" ca="1" si="266"/>
        <v>42524.293273317635</v>
      </c>
      <c r="C5701">
        <f t="shared" ca="1" si="264"/>
        <v>0</v>
      </c>
      <c r="D5701">
        <f t="shared" ca="1" si="265"/>
        <v>2524.2932733176349</v>
      </c>
    </row>
    <row r="5702" spans="2:4" x14ac:dyDescent="0.25">
      <c r="B5702">
        <f t="shared" ca="1" si="266"/>
        <v>45548.880684229858</v>
      </c>
      <c r="C5702">
        <f t="shared" ca="1" si="264"/>
        <v>0</v>
      </c>
      <c r="D5702">
        <f t="shared" ca="1" si="265"/>
        <v>5548.8806842298582</v>
      </c>
    </row>
    <row r="5703" spans="2:4" x14ac:dyDescent="0.25">
      <c r="B5703">
        <f t="shared" ca="1" si="266"/>
        <v>49259.009211549368</v>
      </c>
      <c r="C5703">
        <f t="shared" ca="1" si="264"/>
        <v>0</v>
      </c>
      <c r="D5703">
        <f t="shared" ca="1" si="265"/>
        <v>9259.009211549368</v>
      </c>
    </row>
    <row r="5704" spans="2:4" x14ac:dyDescent="0.25">
      <c r="B5704">
        <f t="shared" ca="1" si="266"/>
        <v>43469.873255896404</v>
      </c>
      <c r="C5704">
        <f t="shared" ca="1" si="264"/>
        <v>0</v>
      </c>
      <c r="D5704">
        <f t="shared" ca="1" si="265"/>
        <v>3469.8732558964039</v>
      </c>
    </row>
    <row r="5705" spans="2:4" x14ac:dyDescent="0.25">
      <c r="B5705">
        <f t="shared" ca="1" si="266"/>
        <v>36565.682754714639</v>
      </c>
      <c r="C5705">
        <f t="shared" ca="1" si="264"/>
        <v>3434.3172452853614</v>
      </c>
      <c r="D5705">
        <f t="shared" ca="1" si="265"/>
        <v>0</v>
      </c>
    </row>
    <row r="5706" spans="2:4" x14ac:dyDescent="0.25">
      <c r="B5706">
        <f t="shared" ca="1" si="266"/>
        <v>45654.244882008112</v>
      </c>
      <c r="C5706">
        <f t="shared" ca="1" si="264"/>
        <v>0</v>
      </c>
      <c r="D5706">
        <f t="shared" ca="1" si="265"/>
        <v>5654.2448820081117</v>
      </c>
    </row>
    <row r="5707" spans="2:4" x14ac:dyDescent="0.25">
      <c r="B5707">
        <f t="shared" ca="1" si="266"/>
        <v>42359.662840696357</v>
      </c>
      <c r="C5707">
        <f t="shared" ca="1" si="264"/>
        <v>0</v>
      </c>
      <c r="D5707">
        <f t="shared" ca="1" si="265"/>
        <v>2359.6628406963573</v>
      </c>
    </row>
    <row r="5708" spans="2:4" x14ac:dyDescent="0.25">
      <c r="B5708">
        <f t="shared" ca="1" si="266"/>
        <v>37565.77120497173</v>
      </c>
      <c r="C5708">
        <f t="shared" ref="C5708:C5771" ca="1" si="267">IF(MAX($B$2-B5708)&lt;0,0,$B$2-B5708)</f>
        <v>2434.2287950282698</v>
      </c>
      <c r="D5708">
        <f t="shared" ref="D5708:D5771" ca="1" si="268">IF(MAX(B5708-$B$2)&lt;0,0,B5708-$B$2)</f>
        <v>0</v>
      </c>
    </row>
    <row r="5709" spans="2:4" x14ac:dyDescent="0.25">
      <c r="B5709">
        <f t="shared" ref="B5709:B5772" ca="1" si="269">$B$1*EXP((($B$4-($B$3^2)/2)*$B$5+$B$3*SQRT($B$5)*NORMSINV(RAND())))</f>
        <v>45624.809600927503</v>
      </c>
      <c r="C5709">
        <f t="shared" ca="1" si="267"/>
        <v>0</v>
      </c>
      <c r="D5709">
        <f t="shared" ca="1" si="268"/>
        <v>5624.8096009275032</v>
      </c>
    </row>
    <row r="5710" spans="2:4" x14ac:dyDescent="0.25">
      <c r="B5710">
        <f t="shared" ca="1" si="269"/>
        <v>50507.725756687818</v>
      </c>
      <c r="C5710">
        <f t="shared" ca="1" si="267"/>
        <v>0</v>
      </c>
      <c r="D5710">
        <f t="shared" ca="1" si="268"/>
        <v>10507.725756687818</v>
      </c>
    </row>
    <row r="5711" spans="2:4" x14ac:dyDescent="0.25">
      <c r="B5711">
        <f t="shared" ca="1" si="269"/>
        <v>37688.679711409037</v>
      </c>
      <c r="C5711">
        <f t="shared" ca="1" si="267"/>
        <v>2311.3202885909632</v>
      </c>
      <c r="D5711">
        <f t="shared" ca="1" si="268"/>
        <v>0</v>
      </c>
    </row>
    <row r="5712" spans="2:4" x14ac:dyDescent="0.25">
      <c r="B5712">
        <f t="shared" ca="1" si="269"/>
        <v>54195.181025156657</v>
      </c>
      <c r="C5712">
        <f t="shared" ca="1" si="267"/>
        <v>0</v>
      </c>
      <c r="D5712">
        <f t="shared" ca="1" si="268"/>
        <v>14195.181025156657</v>
      </c>
    </row>
    <row r="5713" spans="2:4" x14ac:dyDescent="0.25">
      <c r="B5713">
        <f t="shared" ca="1" si="269"/>
        <v>39776.350528294286</v>
      </c>
      <c r="C5713">
        <f t="shared" ca="1" si="267"/>
        <v>223.64947170571395</v>
      </c>
      <c r="D5713">
        <f t="shared" ca="1" si="268"/>
        <v>0</v>
      </c>
    </row>
    <row r="5714" spans="2:4" x14ac:dyDescent="0.25">
      <c r="B5714">
        <f t="shared" ca="1" si="269"/>
        <v>48302.367596120326</v>
      </c>
      <c r="C5714">
        <f t="shared" ca="1" si="267"/>
        <v>0</v>
      </c>
      <c r="D5714">
        <f t="shared" ca="1" si="268"/>
        <v>8302.3675961203262</v>
      </c>
    </row>
    <row r="5715" spans="2:4" x14ac:dyDescent="0.25">
      <c r="B5715">
        <f t="shared" ca="1" si="269"/>
        <v>46714.533840044518</v>
      </c>
      <c r="C5715">
        <f t="shared" ca="1" si="267"/>
        <v>0</v>
      </c>
      <c r="D5715">
        <f t="shared" ca="1" si="268"/>
        <v>6714.533840044518</v>
      </c>
    </row>
    <row r="5716" spans="2:4" x14ac:dyDescent="0.25">
      <c r="B5716">
        <f t="shared" ca="1" si="269"/>
        <v>46368.869208010365</v>
      </c>
      <c r="C5716">
        <f t="shared" ca="1" si="267"/>
        <v>0</v>
      </c>
      <c r="D5716">
        <f t="shared" ca="1" si="268"/>
        <v>6368.8692080103647</v>
      </c>
    </row>
    <row r="5717" spans="2:4" x14ac:dyDescent="0.25">
      <c r="B5717">
        <f t="shared" ca="1" si="269"/>
        <v>42421.02033175953</v>
      </c>
      <c r="C5717">
        <f t="shared" ca="1" si="267"/>
        <v>0</v>
      </c>
      <c r="D5717">
        <f t="shared" ca="1" si="268"/>
        <v>2421.0203317595297</v>
      </c>
    </row>
    <row r="5718" spans="2:4" x14ac:dyDescent="0.25">
      <c r="B5718">
        <f t="shared" ca="1" si="269"/>
        <v>44301.216801439594</v>
      </c>
      <c r="C5718">
        <f t="shared" ca="1" si="267"/>
        <v>0</v>
      </c>
      <c r="D5718">
        <f t="shared" ca="1" si="268"/>
        <v>4301.2168014395938</v>
      </c>
    </row>
    <row r="5719" spans="2:4" x14ac:dyDescent="0.25">
      <c r="B5719">
        <f t="shared" ca="1" si="269"/>
        <v>47589.374663885508</v>
      </c>
      <c r="C5719">
        <f t="shared" ca="1" si="267"/>
        <v>0</v>
      </c>
      <c r="D5719">
        <f t="shared" ca="1" si="268"/>
        <v>7589.3746638855082</v>
      </c>
    </row>
    <row r="5720" spans="2:4" x14ac:dyDescent="0.25">
      <c r="B5720">
        <f t="shared" ca="1" si="269"/>
        <v>44961.63266621685</v>
      </c>
      <c r="C5720">
        <f t="shared" ca="1" si="267"/>
        <v>0</v>
      </c>
      <c r="D5720">
        <f t="shared" ca="1" si="268"/>
        <v>4961.6326662168503</v>
      </c>
    </row>
    <row r="5721" spans="2:4" x14ac:dyDescent="0.25">
      <c r="B5721">
        <f t="shared" ca="1" si="269"/>
        <v>45108.083355354873</v>
      </c>
      <c r="C5721">
        <f t="shared" ca="1" si="267"/>
        <v>0</v>
      </c>
      <c r="D5721">
        <f t="shared" ca="1" si="268"/>
        <v>5108.0833553548728</v>
      </c>
    </row>
    <row r="5722" spans="2:4" x14ac:dyDescent="0.25">
      <c r="B5722">
        <f t="shared" ca="1" si="269"/>
        <v>38620.815071446283</v>
      </c>
      <c r="C5722">
        <f t="shared" ca="1" si="267"/>
        <v>1379.1849285537173</v>
      </c>
      <c r="D5722">
        <f t="shared" ca="1" si="268"/>
        <v>0</v>
      </c>
    </row>
    <row r="5723" spans="2:4" x14ac:dyDescent="0.25">
      <c r="B5723">
        <f t="shared" ca="1" si="269"/>
        <v>45134.095791226704</v>
      </c>
      <c r="C5723">
        <f t="shared" ca="1" si="267"/>
        <v>0</v>
      </c>
      <c r="D5723">
        <f t="shared" ca="1" si="268"/>
        <v>5134.095791226704</v>
      </c>
    </row>
    <row r="5724" spans="2:4" x14ac:dyDescent="0.25">
      <c r="B5724">
        <f t="shared" ca="1" si="269"/>
        <v>48284.711511475558</v>
      </c>
      <c r="C5724">
        <f t="shared" ca="1" si="267"/>
        <v>0</v>
      </c>
      <c r="D5724">
        <f t="shared" ca="1" si="268"/>
        <v>8284.7115114755579</v>
      </c>
    </row>
    <row r="5725" spans="2:4" x14ac:dyDescent="0.25">
      <c r="B5725">
        <f t="shared" ca="1" si="269"/>
        <v>42556.835479508416</v>
      </c>
      <c r="C5725">
        <f t="shared" ca="1" si="267"/>
        <v>0</v>
      </c>
      <c r="D5725">
        <f t="shared" ca="1" si="268"/>
        <v>2556.835479508416</v>
      </c>
    </row>
    <row r="5726" spans="2:4" x14ac:dyDescent="0.25">
      <c r="B5726">
        <f t="shared" ca="1" si="269"/>
        <v>44252.455122608982</v>
      </c>
      <c r="C5726">
        <f t="shared" ca="1" si="267"/>
        <v>0</v>
      </c>
      <c r="D5726">
        <f t="shared" ca="1" si="268"/>
        <v>4252.4551226089825</v>
      </c>
    </row>
    <row r="5727" spans="2:4" x14ac:dyDescent="0.25">
      <c r="B5727">
        <f t="shared" ca="1" si="269"/>
        <v>45571.565655084778</v>
      </c>
      <c r="C5727">
        <f t="shared" ca="1" si="267"/>
        <v>0</v>
      </c>
      <c r="D5727">
        <f t="shared" ca="1" si="268"/>
        <v>5571.565655084778</v>
      </c>
    </row>
    <row r="5728" spans="2:4" x14ac:dyDescent="0.25">
      <c r="B5728">
        <f t="shared" ca="1" si="269"/>
        <v>51079.020361807619</v>
      </c>
      <c r="C5728">
        <f t="shared" ca="1" si="267"/>
        <v>0</v>
      </c>
      <c r="D5728">
        <f t="shared" ca="1" si="268"/>
        <v>11079.020361807619</v>
      </c>
    </row>
    <row r="5729" spans="2:4" x14ac:dyDescent="0.25">
      <c r="B5729">
        <f t="shared" ca="1" si="269"/>
        <v>43466.710452607054</v>
      </c>
      <c r="C5729">
        <f t="shared" ca="1" si="267"/>
        <v>0</v>
      </c>
      <c r="D5729">
        <f t="shared" ca="1" si="268"/>
        <v>3466.7104526070543</v>
      </c>
    </row>
    <row r="5730" spans="2:4" x14ac:dyDescent="0.25">
      <c r="B5730">
        <f t="shared" ca="1" si="269"/>
        <v>42194.286405179075</v>
      </c>
      <c r="C5730">
        <f t="shared" ca="1" si="267"/>
        <v>0</v>
      </c>
      <c r="D5730">
        <f t="shared" ca="1" si="268"/>
        <v>2194.2864051790748</v>
      </c>
    </row>
    <row r="5731" spans="2:4" x14ac:dyDescent="0.25">
      <c r="B5731">
        <f t="shared" ca="1" si="269"/>
        <v>40909.219370397848</v>
      </c>
      <c r="C5731">
        <f t="shared" ca="1" si="267"/>
        <v>0</v>
      </c>
      <c r="D5731">
        <f t="shared" ca="1" si="268"/>
        <v>909.21937039784825</v>
      </c>
    </row>
    <row r="5732" spans="2:4" x14ac:dyDescent="0.25">
      <c r="B5732">
        <f t="shared" ca="1" si="269"/>
        <v>36893.195295201665</v>
      </c>
      <c r="C5732">
        <f t="shared" ca="1" si="267"/>
        <v>3106.8047047983346</v>
      </c>
      <c r="D5732">
        <f t="shared" ca="1" si="268"/>
        <v>0</v>
      </c>
    </row>
    <row r="5733" spans="2:4" x14ac:dyDescent="0.25">
      <c r="B5733">
        <f t="shared" ca="1" si="269"/>
        <v>43045.522168437805</v>
      </c>
      <c r="C5733">
        <f t="shared" ca="1" si="267"/>
        <v>0</v>
      </c>
      <c r="D5733">
        <f t="shared" ca="1" si="268"/>
        <v>3045.5221684378048</v>
      </c>
    </row>
    <row r="5734" spans="2:4" x14ac:dyDescent="0.25">
      <c r="B5734">
        <f t="shared" ca="1" si="269"/>
        <v>43243.027265224147</v>
      </c>
      <c r="C5734">
        <f t="shared" ca="1" si="267"/>
        <v>0</v>
      </c>
      <c r="D5734">
        <f t="shared" ca="1" si="268"/>
        <v>3243.0272652241474</v>
      </c>
    </row>
    <row r="5735" spans="2:4" x14ac:dyDescent="0.25">
      <c r="B5735">
        <f t="shared" ca="1" si="269"/>
        <v>38132.262995175173</v>
      </c>
      <c r="C5735">
        <f t="shared" ca="1" si="267"/>
        <v>1867.7370048248267</v>
      </c>
      <c r="D5735">
        <f t="shared" ca="1" si="268"/>
        <v>0</v>
      </c>
    </row>
    <row r="5736" spans="2:4" x14ac:dyDescent="0.25">
      <c r="B5736">
        <f t="shared" ca="1" si="269"/>
        <v>53957.631511326472</v>
      </c>
      <c r="C5736">
        <f t="shared" ca="1" si="267"/>
        <v>0</v>
      </c>
      <c r="D5736">
        <f t="shared" ca="1" si="268"/>
        <v>13957.631511326472</v>
      </c>
    </row>
    <row r="5737" spans="2:4" x14ac:dyDescent="0.25">
      <c r="B5737">
        <f t="shared" ca="1" si="269"/>
        <v>50018.840511397611</v>
      </c>
      <c r="C5737">
        <f t="shared" ca="1" si="267"/>
        <v>0</v>
      </c>
      <c r="D5737">
        <f t="shared" ca="1" si="268"/>
        <v>10018.840511397611</v>
      </c>
    </row>
    <row r="5738" spans="2:4" x14ac:dyDescent="0.25">
      <c r="B5738">
        <f t="shared" ca="1" si="269"/>
        <v>46464.006124516811</v>
      </c>
      <c r="C5738">
        <f t="shared" ca="1" si="267"/>
        <v>0</v>
      </c>
      <c r="D5738">
        <f t="shared" ca="1" si="268"/>
        <v>6464.0061245168108</v>
      </c>
    </row>
    <row r="5739" spans="2:4" x14ac:dyDescent="0.25">
      <c r="B5739">
        <f t="shared" ca="1" si="269"/>
        <v>52003.381220387237</v>
      </c>
      <c r="C5739">
        <f t="shared" ca="1" si="267"/>
        <v>0</v>
      </c>
      <c r="D5739">
        <f t="shared" ca="1" si="268"/>
        <v>12003.381220387237</v>
      </c>
    </row>
    <row r="5740" spans="2:4" x14ac:dyDescent="0.25">
      <c r="B5740">
        <f t="shared" ca="1" si="269"/>
        <v>47557.661415441275</v>
      </c>
      <c r="C5740">
        <f t="shared" ca="1" si="267"/>
        <v>0</v>
      </c>
      <c r="D5740">
        <f t="shared" ca="1" si="268"/>
        <v>7557.6614154412746</v>
      </c>
    </row>
    <row r="5741" spans="2:4" x14ac:dyDescent="0.25">
      <c r="B5741">
        <f t="shared" ca="1" si="269"/>
        <v>42111.568966122977</v>
      </c>
      <c r="C5741">
        <f t="shared" ca="1" si="267"/>
        <v>0</v>
      </c>
      <c r="D5741">
        <f t="shared" ca="1" si="268"/>
        <v>2111.5689661229771</v>
      </c>
    </row>
    <row r="5742" spans="2:4" x14ac:dyDescent="0.25">
      <c r="B5742">
        <f t="shared" ca="1" si="269"/>
        <v>43922.951417465192</v>
      </c>
      <c r="C5742">
        <f t="shared" ca="1" si="267"/>
        <v>0</v>
      </c>
      <c r="D5742">
        <f t="shared" ca="1" si="268"/>
        <v>3922.9514174651922</v>
      </c>
    </row>
    <row r="5743" spans="2:4" x14ac:dyDescent="0.25">
      <c r="B5743">
        <f t="shared" ca="1" si="269"/>
        <v>45466.972436455093</v>
      </c>
      <c r="C5743">
        <f t="shared" ca="1" si="267"/>
        <v>0</v>
      </c>
      <c r="D5743">
        <f t="shared" ca="1" si="268"/>
        <v>5466.972436455093</v>
      </c>
    </row>
    <row r="5744" spans="2:4" x14ac:dyDescent="0.25">
      <c r="B5744">
        <f t="shared" ca="1" si="269"/>
        <v>37430.836129869487</v>
      </c>
      <c r="C5744">
        <f t="shared" ca="1" si="267"/>
        <v>2569.1638701305128</v>
      </c>
      <c r="D5744">
        <f t="shared" ca="1" si="268"/>
        <v>0</v>
      </c>
    </row>
    <row r="5745" spans="2:4" x14ac:dyDescent="0.25">
      <c r="B5745">
        <f t="shared" ca="1" si="269"/>
        <v>51860.422802692767</v>
      </c>
      <c r="C5745">
        <f t="shared" ca="1" si="267"/>
        <v>0</v>
      </c>
      <c r="D5745">
        <f t="shared" ca="1" si="268"/>
        <v>11860.422802692767</v>
      </c>
    </row>
    <row r="5746" spans="2:4" x14ac:dyDescent="0.25">
      <c r="B5746">
        <f t="shared" ca="1" si="269"/>
        <v>43901.244268864648</v>
      </c>
      <c r="C5746">
        <f t="shared" ca="1" si="267"/>
        <v>0</v>
      </c>
      <c r="D5746">
        <f t="shared" ca="1" si="268"/>
        <v>3901.2442688646479</v>
      </c>
    </row>
    <row r="5747" spans="2:4" x14ac:dyDescent="0.25">
      <c r="B5747">
        <f t="shared" ca="1" si="269"/>
        <v>44088.41734161065</v>
      </c>
      <c r="C5747">
        <f t="shared" ca="1" si="267"/>
        <v>0</v>
      </c>
      <c r="D5747">
        <f t="shared" ca="1" si="268"/>
        <v>4088.4173416106496</v>
      </c>
    </row>
    <row r="5748" spans="2:4" x14ac:dyDescent="0.25">
      <c r="B5748">
        <f t="shared" ca="1" si="269"/>
        <v>43677.293504591915</v>
      </c>
      <c r="C5748">
        <f t="shared" ca="1" si="267"/>
        <v>0</v>
      </c>
      <c r="D5748">
        <f t="shared" ca="1" si="268"/>
        <v>3677.2935045919148</v>
      </c>
    </row>
    <row r="5749" spans="2:4" x14ac:dyDescent="0.25">
      <c r="B5749">
        <f t="shared" ca="1" si="269"/>
        <v>55293.597885888063</v>
      </c>
      <c r="C5749">
        <f t="shared" ca="1" si="267"/>
        <v>0</v>
      </c>
      <c r="D5749">
        <f t="shared" ca="1" si="268"/>
        <v>15293.597885888063</v>
      </c>
    </row>
    <row r="5750" spans="2:4" x14ac:dyDescent="0.25">
      <c r="B5750">
        <f t="shared" ca="1" si="269"/>
        <v>46838.912845593892</v>
      </c>
      <c r="C5750">
        <f t="shared" ca="1" si="267"/>
        <v>0</v>
      </c>
      <c r="D5750">
        <f t="shared" ca="1" si="268"/>
        <v>6838.9128455938917</v>
      </c>
    </row>
    <row r="5751" spans="2:4" x14ac:dyDescent="0.25">
      <c r="B5751">
        <f t="shared" ca="1" si="269"/>
        <v>47613.945095960917</v>
      </c>
      <c r="C5751">
        <f t="shared" ca="1" si="267"/>
        <v>0</v>
      </c>
      <c r="D5751">
        <f t="shared" ca="1" si="268"/>
        <v>7613.9450959609167</v>
      </c>
    </row>
    <row r="5752" spans="2:4" x14ac:dyDescent="0.25">
      <c r="B5752">
        <f t="shared" ca="1" si="269"/>
        <v>43566.143623075855</v>
      </c>
      <c r="C5752">
        <f t="shared" ca="1" si="267"/>
        <v>0</v>
      </c>
      <c r="D5752">
        <f t="shared" ca="1" si="268"/>
        <v>3566.1436230758554</v>
      </c>
    </row>
    <row r="5753" spans="2:4" x14ac:dyDescent="0.25">
      <c r="B5753">
        <f t="shared" ca="1" si="269"/>
        <v>45757.068542966736</v>
      </c>
      <c r="C5753">
        <f t="shared" ca="1" si="267"/>
        <v>0</v>
      </c>
      <c r="D5753">
        <f t="shared" ca="1" si="268"/>
        <v>5757.0685429667355</v>
      </c>
    </row>
    <row r="5754" spans="2:4" x14ac:dyDescent="0.25">
      <c r="B5754">
        <f t="shared" ca="1" si="269"/>
        <v>50143.634249270792</v>
      </c>
      <c r="C5754">
        <f t="shared" ca="1" si="267"/>
        <v>0</v>
      </c>
      <c r="D5754">
        <f t="shared" ca="1" si="268"/>
        <v>10143.634249270792</v>
      </c>
    </row>
    <row r="5755" spans="2:4" x14ac:dyDescent="0.25">
      <c r="B5755">
        <f t="shared" ca="1" si="269"/>
        <v>52177.861914161324</v>
      </c>
      <c r="C5755">
        <f t="shared" ca="1" si="267"/>
        <v>0</v>
      </c>
      <c r="D5755">
        <f t="shared" ca="1" si="268"/>
        <v>12177.861914161324</v>
      </c>
    </row>
    <row r="5756" spans="2:4" x14ac:dyDescent="0.25">
      <c r="B5756">
        <f t="shared" ca="1" si="269"/>
        <v>45218.367763632523</v>
      </c>
      <c r="C5756">
        <f t="shared" ca="1" si="267"/>
        <v>0</v>
      </c>
      <c r="D5756">
        <f t="shared" ca="1" si="268"/>
        <v>5218.3677636325228</v>
      </c>
    </row>
    <row r="5757" spans="2:4" x14ac:dyDescent="0.25">
      <c r="B5757">
        <f t="shared" ca="1" si="269"/>
        <v>51075.468447011255</v>
      </c>
      <c r="C5757">
        <f t="shared" ca="1" si="267"/>
        <v>0</v>
      </c>
      <c r="D5757">
        <f t="shared" ca="1" si="268"/>
        <v>11075.468447011255</v>
      </c>
    </row>
    <row r="5758" spans="2:4" x14ac:dyDescent="0.25">
      <c r="B5758">
        <f t="shared" ca="1" si="269"/>
        <v>38054.900038792039</v>
      </c>
      <c r="C5758">
        <f t="shared" ca="1" si="267"/>
        <v>1945.0999612079613</v>
      </c>
      <c r="D5758">
        <f t="shared" ca="1" si="268"/>
        <v>0</v>
      </c>
    </row>
    <row r="5759" spans="2:4" x14ac:dyDescent="0.25">
      <c r="B5759">
        <f t="shared" ca="1" si="269"/>
        <v>46231.006909282638</v>
      </c>
      <c r="C5759">
        <f t="shared" ca="1" si="267"/>
        <v>0</v>
      </c>
      <c r="D5759">
        <f t="shared" ca="1" si="268"/>
        <v>6231.0069092826379</v>
      </c>
    </row>
    <row r="5760" spans="2:4" x14ac:dyDescent="0.25">
      <c r="B5760">
        <f t="shared" ca="1" si="269"/>
        <v>41671.494787222444</v>
      </c>
      <c r="C5760">
        <f t="shared" ca="1" si="267"/>
        <v>0</v>
      </c>
      <c r="D5760">
        <f t="shared" ca="1" si="268"/>
        <v>1671.4947872224438</v>
      </c>
    </row>
    <row r="5761" spans="2:4" x14ac:dyDescent="0.25">
      <c r="B5761">
        <f t="shared" ca="1" si="269"/>
        <v>41088.260190342946</v>
      </c>
      <c r="C5761">
        <f t="shared" ca="1" si="267"/>
        <v>0</v>
      </c>
      <c r="D5761">
        <f t="shared" ca="1" si="268"/>
        <v>1088.2601903429459</v>
      </c>
    </row>
    <row r="5762" spans="2:4" x14ac:dyDescent="0.25">
      <c r="B5762">
        <f t="shared" ca="1" si="269"/>
        <v>42203.857409153155</v>
      </c>
      <c r="C5762">
        <f t="shared" ca="1" si="267"/>
        <v>0</v>
      </c>
      <c r="D5762">
        <f t="shared" ca="1" si="268"/>
        <v>2203.8574091531555</v>
      </c>
    </row>
    <row r="5763" spans="2:4" x14ac:dyDescent="0.25">
      <c r="B5763">
        <f t="shared" ca="1" si="269"/>
        <v>40844.750329905633</v>
      </c>
      <c r="C5763">
        <f t="shared" ca="1" si="267"/>
        <v>0</v>
      </c>
      <c r="D5763">
        <f t="shared" ca="1" si="268"/>
        <v>844.75032990563341</v>
      </c>
    </row>
    <row r="5764" spans="2:4" x14ac:dyDescent="0.25">
      <c r="B5764">
        <f t="shared" ca="1" si="269"/>
        <v>43398.668137581561</v>
      </c>
      <c r="C5764">
        <f t="shared" ca="1" si="267"/>
        <v>0</v>
      </c>
      <c r="D5764">
        <f t="shared" ca="1" si="268"/>
        <v>3398.6681375815606</v>
      </c>
    </row>
    <row r="5765" spans="2:4" x14ac:dyDescent="0.25">
      <c r="B5765">
        <f t="shared" ca="1" si="269"/>
        <v>48257.450296745075</v>
      </c>
      <c r="C5765">
        <f t="shared" ca="1" si="267"/>
        <v>0</v>
      </c>
      <c r="D5765">
        <f t="shared" ca="1" si="268"/>
        <v>8257.4502967450753</v>
      </c>
    </row>
    <row r="5766" spans="2:4" x14ac:dyDescent="0.25">
      <c r="B5766">
        <f t="shared" ca="1" si="269"/>
        <v>49720.209319663787</v>
      </c>
      <c r="C5766">
        <f t="shared" ca="1" si="267"/>
        <v>0</v>
      </c>
      <c r="D5766">
        <f t="shared" ca="1" si="268"/>
        <v>9720.209319663787</v>
      </c>
    </row>
    <row r="5767" spans="2:4" x14ac:dyDescent="0.25">
      <c r="B5767">
        <f t="shared" ca="1" si="269"/>
        <v>42930.872711195771</v>
      </c>
      <c r="C5767">
        <f t="shared" ca="1" si="267"/>
        <v>0</v>
      </c>
      <c r="D5767">
        <f t="shared" ca="1" si="268"/>
        <v>2930.8727111957705</v>
      </c>
    </row>
    <row r="5768" spans="2:4" x14ac:dyDescent="0.25">
      <c r="B5768">
        <f t="shared" ca="1" si="269"/>
        <v>44113.736562095226</v>
      </c>
      <c r="C5768">
        <f t="shared" ca="1" si="267"/>
        <v>0</v>
      </c>
      <c r="D5768">
        <f t="shared" ca="1" si="268"/>
        <v>4113.736562095226</v>
      </c>
    </row>
    <row r="5769" spans="2:4" x14ac:dyDescent="0.25">
      <c r="B5769">
        <f t="shared" ca="1" si="269"/>
        <v>38196.563689777155</v>
      </c>
      <c r="C5769">
        <f t="shared" ca="1" si="267"/>
        <v>1803.4363102228453</v>
      </c>
      <c r="D5769">
        <f t="shared" ca="1" si="268"/>
        <v>0</v>
      </c>
    </row>
    <row r="5770" spans="2:4" x14ac:dyDescent="0.25">
      <c r="B5770">
        <f t="shared" ca="1" si="269"/>
        <v>45261.484620440708</v>
      </c>
      <c r="C5770">
        <f t="shared" ca="1" si="267"/>
        <v>0</v>
      </c>
      <c r="D5770">
        <f t="shared" ca="1" si="268"/>
        <v>5261.4846204407077</v>
      </c>
    </row>
    <row r="5771" spans="2:4" x14ac:dyDescent="0.25">
      <c r="B5771">
        <f t="shared" ca="1" si="269"/>
        <v>47797.447416318653</v>
      </c>
      <c r="C5771">
        <f t="shared" ca="1" si="267"/>
        <v>0</v>
      </c>
      <c r="D5771">
        <f t="shared" ca="1" si="268"/>
        <v>7797.4474163186533</v>
      </c>
    </row>
    <row r="5772" spans="2:4" x14ac:dyDescent="0.25">
      <c r="B5772">
        <f t="shared" ca="1" si="269"/>
        <v>39597.626437654995</v>
      </c>
      <c r="C5772">
        <f t="shared" ref="C5772:C5835" ca="1" si="270">IF(MAX($B$2-B5772)&lt;0,0,$B$2-B5772)</f>
        <v>402.37356234500476</v>
      </c>
      <c r="D5772">
        <f t="shared" ref="D5772:D5835" ca="1" si="271">IF(MAX(B5772-$B$2)&lt;0,0,B5772-$B$2)</f>
        <v>0</v>
      </c>
    </row>
    <row r="5773" spans="2:4" x14ac:dyDescent="0.25">
      <c r="B5773">
        <f t="shared" ref="B5773:B5836" ca="1" si="272">$B$1*EXP((($B$4-($B$3^2)/2)*$B$5+$B$3*SQRT($B$5)*NORMSINV(RAND())))</f>
        <v>45204.738312437497</v>
      </c>
      <c r="C5773">
        <f t="shared" ca="1" si="270"/>
        <v>0</v>
      </c>
      <c r="D5773">
        <f t="shared" ca="1" si="271"/>
        <v>5204.7383124374974</v>
      </c>
    </row>
    <row r="5774" spans="2:4" x14ac:dyDescent="0.25">
      <c r="B5774">
        <f t="shared" ca="1" si="272"/>
        <v>44801.355376163207</v>
      </c>
      <c r="C5774">
        <f t="shared" ca="1" si="270"/>
        <v>0</v>
      </c>
      <c r="D5774">
        <f t="shared" ca="1" si="271"/>
        <v>4801.3553761632065</v>
      </c>
    </row>
    <row r="5775" spans="2:4" x14ac:dyDescent="0.25">
      <c r="B5775">
        <f t="shared" ca="1" si="272"/>
        <v>41472.661426014456</v>
      </c>
      <c r="C5775">
        <f t="shared" ca="1" si="270"/>
        <v>0</v>
      </c>
      <c r="D5775">
        <f t="shared" ca="1" si="271"/>
        <v>1472.6614260144561</v>
      </c>
    </row>
    <row r="5776" spans="2:4" x14ac:dyDescent="0.25">
      <c r="B5776">
        <f t="shared" ca="1" si="272"/>
        <v>35708.88492004561</v>
      </c>
      <c r="C5776">
        <f t="shared" ca="1" si="270"/>
        <v>4291.1150799543902</v>
      </c>
      <c r="D5776">
        <f t="shared" ca="1" si="271"/>
        <v>0</v>
      </c>
    </row>
    <row r="5777" spans="2:4" x14ac:dyDescent="0.25">
      <c r="B5777">
        <f t="shared" ca="1" si="272"/>
        <v>43231.272458305029</v>
      </c>
      <c r="C5777">
        <f t="shared" ca="1" si="270"/>
        <v>0</v>
      </c>
      <c r="D5777">
        <f t="shared" ca="1" si="271"/>
        <v>3231.2724583050294</v>
      </c>
    </row>
    <row r="5778" spans="2:4" x14ac:dyDescent="0.25">
      <c r="B5778">
        <f t="shared" ca="1" si="272"/>
        <v>49499.545556588571</v>
      </c>
      <c r="C5778">
        <f t="shared" ca="1" si="270"/>
        <v>0</v>
      </c>
      <c r="D5778">
        <f t="shared" ca="1" si="271"/>
        <v>9499.5455565885713</v>
      </c>
    </row>
    <row r="5779" spans="2:4" x14ac:dyDescent="0.25">
      <c r="B5779">
        <f t="shared" ca="1" si="272"/>
        <v>44703.983609729912</v>
      </c>
      <c r="C5779">
        <f t="shared" ca="1" si="270"/>
        <v>0</v>
      </c>
      <c r="D5779">
        <f t="shared" ca="1" si="271"/>
        <v>4703.9836097299121</v>
      </c>
    </row>
    <row r="5780" spans="2:4" x14ac:dyDescent="0.25">
      <c r="B5780">
        <f t="shared" ca="1" si="272"/>
        <v>42150.244139845636</v>
      </c>
      <c r="C5780">
        <f t="shared" ca="1" si="270"/>
        <v>0</v>
      </c>
      <c r="D5780">
        <f t="shared" ca="1" si="271"/>
        <v>2150.2441398456358</v>
      </c>
    </row>
    <row r="5781" spans="2:4" x14ac:dyDescent="0.25">
      <c r="B5781">
        <f t="shared" ca="1" si="272"/>
        <v>51179.511108166975</v>
      </c>
      <c r="C5781">
        <f t="shared" ca="1" si="270"/>
        <v>0</v>
      </c>
      <c r="D5781">
        <f t="shared" ca="1" si="271"/>
        <v>11179.511108166975</v>
      </c>
    </row>
    <row r="5782" spans="2:4" x14ac:dyDescent="0.25">
      <c r="B5782">
        <f t="shared" ca="1" si="272"/>
        <v>38870.241470963556</v>
      </c>
      <c r="C5782">
        <f t="shared" ca="1" si="270"/>
        <v>1129.7585290364441</v>
      </c>
      <c r="D5782">
        <f t="shared" ca="1" si="271"/>
        <v>0</v>
      </c>
    </row>
    <row r="5783" spans="2:4" x14ac:dyDescent="0.25">
      <c r="B5783">
        <f t="shared" ca="1" si="272"/>
        <v>54251.776070420354</v>
      </c>
      <c r="C5783">
        <f t="shared" ca="1" si="270"/>
        <v>0</v>
      </c>
      <c r="D5783">
        <f t="shared" ca="1" si="271"/>
        <v>14251.776070420354</v>
      </c>
    </row>
    <row r="5784" spans="2:4" x14ac:dyDescent="0.25">
      <c r="B5784">
        <f t="shared" ca="1" si="272"/>
        <v>43519.975703233293</v>
      </c>
      <c r="C5784">
        <f t="shared" ca="1" si="270"/>
        <v>0</v>
      </c>
      <c r="D5784">
        <f t="shared" ca="1" si="271"/>
        <v>3519.9757032332927</v>
      </c>
    </row>
    <row r="5785" spans="2:4" x14ac:dyDescent="0.25">
      <c r="B5785">
        <f t="shared" ca="1" si="272"/>
        <v>48433.678248545286</v>
      </c>
      <c r="C5785">
        <f t="shared" ca="1" si="270"/>
        <v>0</v>
      </c>
      <c r="D5785">
        <f t="shared" ca="1" si="271"/>
        <v>8433.6782485452859</v>
      </c>
    </row>
    <row r="5786" spans="2:4" x14ac:dyDescent="0.25">
      <c r="B5786">
        <f t="shared" ca="1" si="272"/>
        <v>46048.173423573411</v>
      </c>
      <c r="C5786">
        <f t="shared" ca="1" si="270"/>
        <v>0</v>
      </c>
      <c r="D5786">
        <f t="shared" ca="1" si="271"/>
        <v>6048.1734235734111</v>
      </c>
    </row>
    <row r="5787" spans="2:4" x14ac:dyDescent="0.25">
      <c r="B5787">
        <f t="shared" ca="1" si="272"/>
        <v>41517.794634395184</v>
      </c>
      <c r="C5787">
        <f t="shared" ca="1" si="270"/>
        <v>0</v>
      </c>
      <c r="D5787">
        <f t="shared" ca="1" si="271"/>
        <v>1517.7946343951844</v>
      </c>
    </row>
    <row r="5788" spans="2:4" x14ac:dyDescent="0.25">
      <c r="B5788">
        <f t="shared" ca="1" si="272"/>
        <v>45731.597934361627</v>
      </c>
      <c r="C5788">
        <f t="shared" ca="1" si="270"/>
        <v>0</v>
      </c>
      <c r="D5788">
        <f t="shared" ca="1" si="271"/>
        <v>5731.5979343616273</v>
      </c>
    </row>
    <row r="5789" spans="2:4" x14ac:dyDescent="0.25">
      <c r="B5789">
        <f t="shared" ca="1" si="272"/>
        <v>41833.31885936766</v>
      </c>
      <c r="C5789">
        <f t="shared" ca="1" si="270"/>
        <v>0</v>
      </c>
      <c r="D5789">
        <f t="shared" ca="1" si="271"/>
        <v>1833.3188593676605</v>
      </c>
    </row>
    <row r="5790" spans="2:4" x14ac:dyDescent="0.25">
      <c r="B5790">
        <f t="shared" ca="1" si="272"/>
        <v>45138.150516171634</v>
      </c>
      <c r="C5790">
        <f t="shared" ca="1" si="270"/>
        <v>0</v>
      </c>
      <c r="D5790">
        <f t="shared" ca="1" si="271"/>
        <v>5138.1505161716341</v>
      </c>
    </row>
    <row r="5791" spans="2:4" x14ac:dyDescent="0.25">
      <c r="B5791">
        <f t="shared" ca="1" si="272"/>
        <v>40264.059815225919</v>
      </c>
      <c r="C5791">
        <f t="shared" ca="1" si="270"/>
        <v>0</v>
      </c>
      <c r="D5791">
        <f t="shared" ca="1" si="271"/>
        <v>264.05981522591901</v>
      </c>
    </row>
    <row r="5792" spans="2:4" x14ac:dyDescent="0.25">
      <c r="B5792">
        <f t="shared" ca="1" si="272"/>
        <v>41739.0142819182</v>
      </c>
      <c r="C5792">
        <f t="shared" ca="1" si="270"/>
        <v>0</v>
      </c>
      <c r="D5792">
        <f t="shared" ca="1" si="271"/>
        <v>1739.0142819182001</v>
      </c>
    </row>
    <row r="5793" spans="2:4" x14ac:dyDescent="0.25">
      <c r="B5793">
        <f t="shared" ca="1" si="272"/>
        <v>43396.848957452217</v>
      </c>
      <c r="C5793">
        <f t="shared" ca="1" si="270"/>
        <v>0</v>
      </c>
      <c r="D5793">
        <f t="shared" ca="1" si="271"/>
        <v>3396.8489574522173</v>
      </c>
    </row>
    <row r="5794" spans="2:4" x14ac:dyDescent="0.25">
      <c r="B5794">
        <f t="shared" ca="1" si="272"/>
        <v>42482.206692746877</v>
      </c>
      <c r="C5794">
        <f t="shared" ca="1" si="270"/>
        <v>0</v>
      </c>
      <c r="D5794">
        <f t="shared" ca="1" si="271"/>
        <v>2482.2066927468768</v>
      </c>
    </row>
    <row r="5795" spans="2:4" x14ac:dyDescent="0.25">
      <c r="B5795">
        <f t="shared" ca="1" si="272"/>
        <v>43524.943134712172</v>
      </c>
      <c r="C5795">
        <f t="shared" ca="1" si="270"/>
        <v>0</v>
      </c>
      <c r="D5795">
        <f t="shared" ca="1" si="271"/>
        <v>3524.9431347121717</v>
      </c>
    </row>
    <row r="5796" spans="2:4" x14ac:dyDescent="0.25">
      <c r="B5796">
        <f t="shared" ca="1" si="272"/>
        <v>43602.585330032191</v>
      </c>
      <c r="C5796">
        <f t="shared" ca="1" si="270"/>
        <v>0</v>
      </c>
      <c r="D5796">
        <f t="shared" ca="1" si="271"/>
        <v>3602.5853300321905</v>
      </c>
    </row>
    <row r="5797" spans="2:4" x14ac:dyDescent="0.25">
      <c r="B5797">
        <f t="shared" ca="1" si="272"/>
        <v>44978.816879721133</v>
      </c>
      <c r="C5797">
        <f t="shared" ca="1" si="270"/>
        <v>0</v>
      </c>
      <c r="D5797">
        <f t="shared" ca="1" si="271"/>
        <v>4978.8168797211329</v>
      </c>
    </row>
    <row r="5798" spans="2:4" x14ac:dyDescent="0.25">
      <c r="B5798">
        <f t="shared" ca="1" si="272"/>
        <v>42827.743305186377</v>
      </c>
      <c r="C5798">
        <f t="shared" ca="1" si="270"/>
        <v>0</v>
      </c>
      <c r="D5798">
        <f t="shared" ca="1" si="271"/>
        <v>2827.7433051863773</v>
      </c>
    </row>
    <row r="5799" spans="2:4" x14ac:dyDescent="0.25">
      <c r="B5799">
        <f t="shared" ca="1" si="272"/>
        <v>46113.785449695155</v>
      </c>
      <c r="C5799">
        <f t="shared" ca="1" si="270"/>
        <v>0</v>
      </c>
      <c r="D5799">
        <f t="shared" ca="1" si="271"/>
        <v>6113.785449695155</v>
      </c>
    </row>
    <row r="5800" spans="2:4" x14ac:dyDescent="0.25">
      <c r="B5800">
        <f t="shared" ca="1" si="272"/>
        <v>36639.904374947568</v>
      </c>
      <c r="C5800">
        <f t="shared" ca="1" si="270"/>
        <v>3360.0956250524323</v>
      </c>
      <c r="D5800">
        <f t="shared" ca="1" si="271"/>
        <v>0</v>
      </c>
    </row>
    <row r="5801" spans="2:4" x14ac:dyDescent="0.25">
      <c r="B5801">
        <f t="shared" ca="1" si="272"/>
        <v>43957.88150990264</v>
      </c>
      <c r="C5801">
        <f t="shared" ca="1" si="270"/>
        <v>0</v>
      </c>
      <c r="D5801">
        <f t="shared" ca="1" si="271"/>
        <v>3957.8815099026397</v>
      </c>
    </row>
    <row r="5802" spans="2:4" x14ac:dyDescent="0.25">
      <c r="B5802">
        <f t="shared" ca="1" si="272"/>
        <v>45228.606451961248</v>
      </c>
      <c r="C5802">
        <f t="shared" ca="1" si="270"/>
        <v>0</v>
      </c>
      <c r="D5802">
        <f t="shared" ca="1" si="271"/>
        <v>5228.6064519612482</v>
      </c>
    </row>
    <row r="5803" spans="2:4" x14ac:dyDescent="0.25">
      <c r="B5803">
        <f t="shared" ca="1" si="272"/>
        <v>54461.82293686043</v>
      </c>
      <c r="C5803">
        <f t="shared" ca="1" si="270"/>
        <v>0</v>
      </c>
      <c r="D5803">
        <f t="shared" ca="1" si="271"/>
        <v>14461.82293686043</v>
      </c>
    </row>
    <row r="5804" spans="2:4" x14ac:dyDescent="0.25">
      <c r="B5804">
        <f t="shared" ca="1" si="272"/>
        <v>39656.809798590592</v>
      </c>
      <c r="C5804">
        <f t="shared" ca="1" si="270"/>
        <v>343.19020140940847</v>
      </c>
      <c r="D5804">
        <f t="shared" ca="1" si="271"/>
        <v>0</v>
      </c>
    </row>
    <row r="5805" spans="2:4" x14ac:dyDescent="0.25">
      <c r="B5805">
        <f t="shared" ca="1" si="272"/>
        <v>41467.951331495475</v>
      </c>
      <c r="C5805">
        <f t="shared" ca="1" si="270"/>
        <v>0</v>
      </c>
      <c r="D5805">
        <f t="shared" ca="1" si="271"/>
        <v>1467.9513314954747</v>
      </c>
    </row>
    <row r="5806" spans="2:4" x14ac:dyDescent="0.25">
      <c r="B5806">
        <f t="shared" ca="1" si="272"/>
        <v>44005.981801771835</v>
      </c>
      <c r="C5806">
        <f t="shared" ca="1" si="270"/>
        <v>0</v>
      </c>
      <c r="D5806">
        <f t="shared" ca="1" si="271"/>
        <v>4005.9818017718353</v>
      </c>
    </row>
    <row r="5807" spans="2:4" x14ac:dyDescent="0.25">
      <c r="B5807">
        <f t="shared" ca="1" si="272"/>
        <v>44278.271373140145</v>
      </c>
      <c r="C5807">
        <f t="shared" ca="1" si="270"/>
        <v>0</v>
      </c>
      <c r="D5807">
        <f t="shared" ca="1" si="271"/>
        <v>4278.2713731401454</v>
      </c>
    </row>
    <row r="5808" spans="2:4" x14ac:dyDescent="0.25">
      <c r="B5808">
        <f t="shared" ca="1" si="272"/>
        <v>43236.020112793405</v>
      </c>
      <c r="C5808">
        <f t="shared" ca="1" si="270"/>
        <v>0</v>
      </c>
      <c r="D5808">
        <f t="shared" ca="1" si="271"/>
        <v>3236.0201127934051</v>
      </c>
    </row>
    <row r="5809" spans="2:4" x14ac:dyDescent="0.25">
      <c r="B5809">
        <f t="shared" ca="1" si="272"/>
        <v>49127.264316363937</v>
      </c>
      <c r="C5809">
        <f t="shared" ca="1" si="270"/>
        <v>0</v>
      </c>
      <c r="D5809">
        <f t="shared" ca="1" si="271"/>
        <v>9127.2643163639368</v>
      </c>
    </row>
    <row r="5810" spans="2:4" x14ac:dyDescent="0.25">
      <c r="B5810">
        <f t="shared" ca="1" si="272"/>
        <v>45877.961170466078</v>
      </c>
      <c r="C5810">
        <f t="shared" ca="1" si="270"/>
        <v>0</v>
      </c>
      <c r="D5810">
        <f t="shared" ca="1" si="271"/>
        <v>5877.9611704660783</v>
      </c>
    </row>
    <row r="5811" spans="2:4" x14ac:dyDescent="0.25">
      <c r="B5811">
        <f t="shared" ca="1" si="272"/>
        <v>49455.123770979655</v>
      </c>
      <c r="C5811">
        <f t="shared" ca="1" si="270"/>
        <v>0</v>
      </c>
      <c r="D5811">
        <f t="shared" ca="1" si="271"/>
        <v>9455.1237709796551</v>
      </c>
    </row>
    <row r="5812" spans="2:4" x14ac:dyDescent="0.25">
      <c r="B5812">
        <f t="shared" ca="1" si="272"/>
        <v>48106.16632219703</v>
      </c>
      <c r="C5812">
        <f t="shared" ca="1" si="270"/>
        <v>0</v>
      </c>
      <c r="D5812">
        <f t="shared" ca="1" si="271"/>
        <v>8106.1663221970302</v>
      </c>
    </row>
    <row r="5813" spans="2:4" x14ac:dyDescent="0.25">
      <c r="B5813">
        <f t="shared" ca="1" si="272"/>
        <v>40706.552389650169</v>
      </c>
      <c r="C5813">
        <f t="shared" ca="1" si="270"/>
        <v>0</v>
      </c>
      <c r="D5813">
        <f t="shared" ca="1" si="271"/>
        <v>706.55238965016906</v>
      </c>
    </row>
    <row r="5814" spans="2:4" x14ac:dyDescent="0.25">
      <c r="B5814">
        <f t="shared" ca="1" si="272"/>
        <v>46015.362434533723</v>
      </c>
      <c r="C5814">
        <f t="shared" ca="1" si="270"/>
        <v>0</v>
      </c>
      <c r="D5814">
        <f t="shared" ca="1" si="271"/>
        <v>6015.362434533723</v>
      </c>
    </row>
    <row r="5815" spans="2:4" x14ac:dyDescent="0.25">
      <c r="B5815">
        <f t="shared" ca="1" si="272"/>
        <v>41522.687316687181</v>
      </c>
      <c r="C5815">
        <f t="shared" ca="1" si="270"/>
        <v>0</v>
      </c>
      <c r="D5815">
        <f t="shared" ca="1" si="271"/>
        <v>1522.687316687181</v>
      </c>
    </row>
    <row r="5816" spans="2:4" x14ac:dyDescent="0.25">
      <c r="B5816">
        <f t="shared" ca="1" si="272"/>
        <v>50978.298351992686</v>
      </c>
      <c r="C5816">
        <f t="shared" ca="1" si="270"/>
        <v>0</v>
      </c>
      <c r="D5816">
        <f t="shared" ca="1" si="271"/>
        <v>10978.298351992686</v>
      </c>
    </row>
    <row r="5817" spans="2:4" x14ac:dyDescent="0.25">
      <c r="B5817">
        <f t="shared" ca="1" si="272"/>
        <v>33474.447185656994</v>
      </c>
      <c r="C5817">
        <f t="shared" ca="1" si="270"/>
        <v>6525.5528143430056</v>
      </c>
      <c r="D5817">
        <f t="shared" ca="1" si="271"/>
        <v>0</v>
      </c>
    </row>
    <row r="5818" spans="2:4" x14ac:dyDescent="0.25">
      <c r="B5818">
        <f t="shared" ca="1" si="272"/>
        <v>58162.442798716103</v>
      </c>
      <c r="C5818">
        <f t="shared" ca="1" si="270"/>
        <v>0</v>
      </c>
      <c r="D5818">
        <f t="shared" ca="1" si="271"/>
        <v>18162.442798716103</v>
      </c>
    </row>
    <row r="5819" spans="2:4" x14ac:dyDescent="0.25">
      <c r="B5819">
        <f t="shared" ca="1" si="272"/>
        <v>43031.11553104737</v>
      </c>
      <c r="C5819">
        <f t="shared" ca="1" si="270"/>
        <v>0</v>
      </c>
      <c r="D5819">
        <f t="shared" ca="1" si="271"/>
        <v>3031.1155310473696</v>
      </c>
    </row>
    <row r="5820" spans="2:4" x14ac:dyDescent="0.25">
      <c r="B5820">
        <f t="shared" ca="1" si="272"/>
        <v>48055.542943948487</v>
      </c>
      <c r="C5820">
        <f t="shared" ca="1" si="270"/>
        <v>0</v>
      </c>
      <c r="D5820">
        <f t="shared" ca="1" si="271"/>
        <v>8055.5429439484869</v>
      </c>
    </row>
    <row r="5821" spans="2:4" x14ac:dyDescent="0.25">
      <c r="B5821">
        <f t="shared" ca="1" si="272"/>
        <v>47597.824466863683</v>
      </c>
      <c r="C5821">
        <f t="shared" ca="1" si="270"/>
        <v>0</v>
      </c>
      <c r="D5821">
        <f t="shared" ca="1" si="271"/>
        <v>7597.8244668636835</v>
      </c>
    </row>
    <row r="5822" spans="2:4" x14ac:dyDescent="0.25">
      <c r="B5822">
        <f t="shared" ca="1" si="272"/>
        <v>43656.909056089942</v>
      </c>
      <c r="C5822">
        <f t="shared" ca="1" si="270"/>
        <v>0</v>
      </c>
      <c r="D5822">
        <f t="shared" ca="1" si="271"/>
        <v>3656.9090560899422</v>
      </c>
    </row>
    <row r="5823" spans="2:4" x14ac:dyDescent="0.25">
      <c r="B5823">
        <f t="shared" ca="1" si="272"/>
        <v>49887.99093447881</v>
      </c>
      <c r="C5823">
        <f t="shared" ca="1" si="270"/>
        <v>0</v>
      </c>
      <c r="D5823">
        <f t="shared" ca="1" si="271"/>
        <v>9887.9909344788102</v>
      </c>
    </row>
    <row r="5824" spans="2:4" x14ac:dyDescent="0.25">
      <c r="B5824">
        <f t="shared" ca="1" si="272"/>
        <v>45863.841761463613</v>
      </c>
      <c r="C5824">
        <f t="shared" ca="1" si="270"/>
        <v>0</v>
      </c>
      <c r="D5824">
        <f t="shared" ca="1" si="271"/>
        <v>5863.8417614636128</v>
      </c>
    </row>
    <row r="5825" spans="2:4" x14ac:dyDescent="0.25">
      <c r="B5825">
        <f t="shared" ca="1" si="272"/>
        <v>51073.781902118244</v>
      </c>
      <c r="C5825">
        <f t="shared" ca="1" si="270"/>
        <v>0</v>
      </c>
      <c r="D5825">
        <f t="shared" ca="1" si="271"/>
        <v>11073.781902118244</v>
      </c>
    </row>
    <row r="5826" spans="2:4" x14ac:dyDescent="0.25">
      <c r="B5826">
        <f t="shared" ca="1" si="272"/>
        <v>51956.671580836497</v>
      </c>
      <c r="C5826">
        <f t="shared" ca="1" si="270"/>
        <v>0</v>
      </c>
      <c r="D5826">
        <f t="shared" ca="1" si="271"/>
        <v>11956.671580836497</v>
      </c>
    </row>
    <row r="5827" spans="2:4" x14ac:dyDescent="0.25">
      <c r="B5827">
        <f t="shared" ca="1" si="272"/>
        <v>38708.871926070475</v>
      </c>
      <c r="C5827">
        <f t="shared" ca="1" si="270"/>
        <v>1291.1280739295253</v>
      </c>
      <c r="D5827">
        <f t="shared" ca="1" si="271"/>
        <v>0</v>
      </c>
    </row>
    <row r="5828" spans="2:4" x14ac:dyDescent="0.25">
      <c r="B5828">
        <f t="shared" ca="1" si="272"/>
        <v>45437.641097559484</v>
      </c>
      <c r="C5828">
        <f t="shared" ca="1" si="270"/>
        <v>0</v>
      </c>
      <c r="D5828">
        <f t="shared" ca="1" si="271"/>
        <v>5437.6410975594845</v>
      </c>
    </row>
    <row r="5829" spans="2:4" x14ac:dyDescent="0.25">
      <c r="B5829">
        <f t="shared" ca="1" si="272"/>
        <v>41108.591251217484</v>
      </c>
      <c r="C5829">
        <f t="shared" ca="1" si="270"/>
        <v>0</v>
      </c>
      <c r="D5829">
        <f t="shared" ca="1" si="271"/>
        <v>1108.5912512174837</v>
      </c>
    </row>
    <row r="5830" spans="2:4" x14ac:dyDescent="0.25">
      <c r="B5830">
        <f t="shared" ca="1" si="272"/>
        <v>43299.027062954505</v>
      </c>
      <c r="C5830">
        <f t="shared" ca="1" si="270"/>
        <v>0</v>
      </c>
      <c r="D5830">
        <f t="shared" ca="1" si="271"/>
        <v>3299.0270629545048</v>
      </c>
    </row>
    <row r="5831" spans="2:4" x14ac:dyDescent="0.25">
      <c r="B5831">
        <f t="shared" ca="1" si="272"/>
        <v>44174.423152374227</v>
      </c>
      <c r="C5831">
        <f t="shared" ca="1" si="270"/>
        <v>0</v>
      </c>
      <c r="D5831">
        <f t="shared" ca="1" si="271"/>
        <v>4174.4231523742274</v>
      </c>
    </row>
    <row r="5832" spans="2:4" x14ac:dyDescent="0.25">
      <c r="B5832">
        <f t="shared" ca="1" si="272"/>
        <v>49948.426984329584</v>
      </c>
      <c r="C5832">
        <f t="shared" ca="1" si="270"/>
        <v>0</v>
      </c>
      <c r="D5832">
        <f t="shared" ca="1" si="271"/>
        <v>9948.4269843295842</v>
      </c>
    </row>
    <row r="5833" spans="2:4" x14ac:dyDescent="0.25">
      <c r="B5833">
        <f t="shared" ca="1" si="272"/>
        <v>41174.435514359146</v>
      </c>
      <c r="C5833">
        <f t="shared" ca="1" si="270"/>
        <v>0</v>
      </c>
      <c r="D5833">
        <f t="shared" ca="1" si="271"/>
        <v>1174.4355143591456</v>
      </c>
    </row>
    <row r="5834" spans="2:4" x14ac:dyDescent="0.25">
      <c r="B5834">
        <f t="shared" ca="1" si="272"/>
        <v>50058.094670007005</v>
      </c>
      <c r="C5834">
        <f t="shared" ca="1" si="270"/>
        <v>0</v>
      </c>
      <c r="D5834">
        <f t="shared" ca="1" si="271"/>
        <v>10058.094670007005</v>
      </c>
    </row>
    <row r="5835" spans="2:4" x14ac:dyDescent="0.25">
      <c r="B5835">
        <f t="shared" ca="1" si="272"/>
        <v>47220.279870252882</v>
      </c>
      <c r="C5835">
        <f t="shared" ca="1" si="270"/>
        <v>0</v>
      </c>
      <c r="D5835">
        <f t="shared" ca="1" si="271"/>
        <v>7220.2798702528817</v>
      </c>
    </row>
    <row r="5836" spans="2:4" x14ac:dyDescent="0.25">
      <c r="B5836">
        <f t="shared" ca="1" si="272"/>
        <v>49030.641913044412</v>
      </c>
      <c r="C5836">
        <f t="shared" ref="C5836:C5899" ca="1" si="273">IF(MAX($B$2-B5836)&lt;0,0,$B$2-B5836)</f>
        <v>0</v>
      </c>
      <c r="D5836">
        <f t="shared" ref="D5836:D5899" ca="1" si="274">IF(MAX(B5836-$B$2)&lt;0,0,B5836-$B$2)</f>
        <v>9030.6419130444119</v>
      </c>
    </row>
    <row r="5837" spans="2:4" x14ac:dyDescent="0.25">
      <c r="B5837">
        <f t="shared" ref="B5837:B5900" ca="1" si="275">$B$1*EXP((($B$4-($B$3^2)/2)*$B$5+$B$3*SQRT($B$5)*NORMSINV(RAND())))</f>
        <v>52453.479882194522</v>
      </c>
      <c r="C5837">
        <f t="shared" ca="1" si="273"/>
        <v>0</v>
      </c>
      <c r="D5837">
        <f t="shared" ca="1" si="274"/>
        <v>12453.479882194522</v>
      </c>
    </row>
    <row r="5838" spans="2:4" x14ac:dyDescent="0.25">
      <c r="B5838">
        <f t="shared" ca="1" si="275"/>
        <v>39184.348321884907</v>
      </c>
      <c r="C5838">
        <f t="shared" ca="1" si="273"/>
        <v>815.65167811509309</v>
      </c>
      <c r="D5838">
        <f t="shared" ca="1" si="274"/>
        <v>0</v>
      </c>
    </row>
    <row r="5839" spans="2:4" x14ac:dyDescent="0.25">
      <c r="B5839">
        <f t="shared" ca="1" si="275"/>
        <v>47349.274139495603</v>
      </c>
      <c r="C5839">
        <f t="shared" ca="1" si="273"/>
        <v>0</v>
      </c>
      <c r="D5839">
        <f t="shared" ca="1" si="274"/>
        <v>7349.2741394956029</v>
      </c>
    </row>
    <row r="5840" spans="2:4" x14ac:dyDescent="0.25">
      <c r="B5840">
        <f t="shared" ca="1" si="275"/>
        <v>46825.028319170073</v>
      </c>
      <c r="C5840">
        <f t="shared" ca="1" si="273"/>
        <v>0</v>
      </c>
      <c r="D5840">
        <f t="shared" ca="1" si="274"/>
        <v>6825.0283191700728</v>
      </c>
    </row>
    <row r="5841" spans="2:4" x14ac:dyDescent="0.25">
      <c r="B5841">
        <f t="shared" ca="1" si="275"/>
        <v>45378.140682786696</v>
      </c>
      <c r="C5841">
        <f t="shared" ca="1" si="273"/>
        <v>0</v>
      </c>
      <c r="D5841">
        <f t="shared" ca="1" si="274"/>
        <v>5378.1406827866958</v>
      </c>
    </row>
    <row r="5842" spans="2:4" x14ac:dyDescent="0.25">
      <c r="B5842">
        <f t="shared" ca="1" si="275"/>
        <v>42398.755621571021</v>
      </c>
      <c r="C5842">
        <f t="shared" ca="1" si="273"/>
        <v>0</v>
      </c>
      <c r="D5842">
        <f t="shared" ca="1" si="274"/>
        <v>2398.755621571021</v>
      </c>
    </row>
    <row r="5843" spans="2:4" x14ac:dyDescent="0.25">
      <c r="B5843">
        <f t="shared" ca="1" si="275"/>
        <v>48209.694172164403</v>
      </c>
      <c r="C5843">
        <f t="shared" ca="1" si="273"/>
        <v>0</v>
      </c>
      <c r="D5843">
        <f t="shared" ca="1" si="274"/>
        <v>8209.6941721644034</v>
      </c>
    </row>
    <row r="5844" spans="2:4" x14ac:dyDescent="0.25">
      <c r="B5844">
        <f t="shared" ca="1" si="275"/>
        <v>38250.169739827099</v>
      </c>
      <c r="C5844">
        <f t="shared" ca="1" si="273"/>
        <v>1749.830260172901</v>
      </c>
      <c r="D5844">
        <f t="shared" ca="1" si="274"/>
        <v>0</v>
      </c>
    </row>
    <row r="5845" spans="2:4" x14ac:dyDescent="0.25">
      <c r="B5845">
        <f t="shared" ca="1" si="275"/>
        <v>45492.89512553237</v>
      </c>
      <c r="C5845">
        <f t="shared" ca="1" si="273"/>
        <v>0</v>
      </c>
      <c r="D5845">
        <f t="shared" ca="1" si="274"/>
        <v>5492.89512553237</v>
      </c>
    </row>
    <row r="5846" spans="2:4" x14ac:dyDescent="0.25">
      <c r="B5846">
        <f t="shared" ca="1" si="275"/>
        <v>44319.012229412445</v>
      </c>
      <c r="C5846">
        <f t="shared" ca="1" si="273"/>
        <v>0</v>
      </c>
      <c r="D5846">
        <f t="shared" ca="1" si="274"/>
        <v>4319.0122294124449</v>
      </c>
    </row>
    <row r="5847" spans="2:4" x14ac:dyDescent="0.25">
      <c r="B5847">
        <f t="shared" ca="1" si="275"/>
        <v>45121.356786538279</v>
      </c>
      <c r="C5847">
        <f t="shared" ca="1" si="273"/>
        <v>0</v>
      </c>
      <c r="D5847">
        <f t="shared" ca="1" si="274"/>
        <v>5121.3567865382793</v>
      </c>
    </row>
    <row r="5848" spans="2:4" x14ac:dyDescent="0.25">
      <c r="B5848">
        <f t="shared" ca="1" si="275"/>
        <v>39188.249561185847</v>
      </c>
      <c r="C5848">
        <f t="shared" ca="1" si="273"/>
        <v>811.75043881415331</v>
      </c>
      <c r="D5848">
        <f t="shared" ca="1" si="274"/>
        <v>0</v>
      </c>
    </row>
    <row r="5849" spans="2:4" x14ac:dyDescent="0.25">
      <c r="B5849">
        <f t="shared" ca="1" si="275"/>
        <v>43111.925267074308</v>
      </c>
      <c r="C5849">
        <f t="shared" ca="1" si="273"/>
        <v>0</v>
      </c>
      <c r="D5849">
        <f t="shared" ca="1" si="274"/>
        <v>3111.9252670743081</v>
      </c>
    </row>
    <row r="5850" spans="2:4" x14ac:dyDescent="0.25">
      <c r="B5850">
        <f t="shared" ca="1" si="275"/>
        <v>45652.697262406196</v>
      </c>
      <c r="C5850">
        <f t="shared" ca="1" si="273"/>
        <v>0</v>
      </c>
      <c r="D5850">
        <f t="shared" ca="1" si="274"/>
        <v>5652.6972624061964</v>
      </c>
    </row>
    <row r="5851" spans="2:4" x14ac:dyDescent="0.25">
      <c r="B5851">
        <f t="shared" ca="1" si="275"/>
        <v>51160.902024159557</v>
      </c>
      <c r="C5851">
        <f t="shared" ca="1" si="273"/>
        <v>0</v>
      </c>
      <c r="D5851">
        <f t="shared" ca="1" si="274"/>
        <v>11160.902024159557</v>
      </c>
    </row>
    <row r="5852" spans="2:4" x14ac:dyDescent="0.25">
      <c r="B5852">
        <f t="shared" ca="1" si="275"/>
        <v>48475.731823715672</v>
      </c>
      <c r="C5852">
        <f t="shared" ca="1" si="273"/>
        <v>0</v>
      </c>
      <c r="D5852">
        <f t="shared" ca="1" si="274"/>
        <v>8475.7318237156724</v>
      </c>
    </row>
    <row r="5853" spans="2:4" x14ac:dyDescent="0.25">
      <c r="B5853">
        <f t="shared" ca="1" si="275"/>
        <v>56154.712172928848</v>
      </c>
      <c r="C5853">
        <f t="shared" ca="1" si="273"/>
        <v>0</v>
      </c>
      <c r="D5853">
        <f t="shared" ca="1" si="274"/>
        <v>16154.712172928848</v>
      </c>
    </row>
    <row r="5854" spans="2:4" x14ac:dyDescent="0.25">
      <c r="B5854">
        <f t="shared" ca="1" si="275"/>
        <v>54055.413732979199</v>
      </c>
      <c r="C5854">
        <f t="shared" ca="1" si="273"/>
        <v>0</v>
      </c>
      <c r="D5854">
        <f t="shared" ca="1" si="274"/>
        <v>14055.413732979199</v>
      </c>
    </row>
    <row r="5855" spans="2:4" x14ac:dyDescent="0.25">
      <c r="B5855">
        <f t="shared" ca="1" si="275"/>
        <v>38351.154134891025</v>
      </c>
      <c r="C5855">
        <f t="shared" ca="1" si="273"/>
        <v>1648.845865108975</v>
      </c>
      <c r="D5855">
        <f t="shared" ca="1" si="274"/>
        <v>0</v>
      </c>
    </row>
    <row r="5856" spans="2:4" x14ac:dyDescent="0.25">
      <c r="B5856">
        <f t="shared" ca="1" si="275"/>
        <v>45091.256135045056</v>
      </c>
      <c r="C5856">
        <f t="shared" ca="1" si="273"/>
        <v>0</v>
      </c>
      <c r="D5856">
        <f t="shared" ca="1" si="274"/>
        <v>5091.256135045056</v>
      </c>
    </row>
    <row r="5857" spans="2:4" x14ac:dyDescent="0.25">
      <c r="B5857">
        <f t="shared" ca="1" si="275"/>
        <v>44926.459620092552</v>
      </c>
      <c r="C5857">
        <f t="shared" ca="1" si="273"/>
        <v>0</v>
      </c>
      <c r="D5857">
        <f t="shared" ca="1" si="274"/>
        <v>4926.4596200925516</v>
      </c>
    </row>
    <row r="5858" spans="2:4" x14ac:dyDescent="0.25">
      <c r="B5858">
        <f t="shared" ca="1" si="275"/>
        <v>41318.05277977635</v>
      </c>
      <c r="C5858">
        <f t="shared" ca="1" si="273"/>
        <v>0</v>
      </c>
      <c r="D5858">
        <f t="shared" ca="1" si="274"/>
        <v>1318.0527797763498</v>
      </c>
    </row>
    <row r="5859" spans="2:4" x14ac:dyDescent="0.25">
      <c r="B5859">
        <f t="shared" ca="1" si="275"/>
        <v>40881.60568951047</v>
      </c>
      <c r="C5859">
        <f t="shared" ca="1" si="273"/>
        <v>0</v>
      </c>
      <c r="D5859">
        <f t="shared" ca="1" si="274"/>
        <v>881.60568951047026</v>
      </c>
    </row>
    <row r="5860" spans="2:4" x14ac:dyDescent="0.25">
      <c r="B5860">
        <f t="shared" ca="1" si="275"/>
        <v>43636.047154632099</v>
      </c>
      <c r="C5860">
        <f t="shared" ca="1" si="273"/>
        <v>0</v>
      </c>
      <c r="D5860">
        <f t="shared" ca="1" si="274"/>
        <v>3636.0471546320987</v>
      </c>
    </row>
    <row r="5861" spans="2:4" x14ac:dyDescent="0.25">
      <c r="B5861">
        <f t="shared" ca="1" si="275"/>
        <v>48940.313384925365</v>
      </c>
      <c r="C5861">
        <f t="shared" ca="1" si="273"/>
        <v>0</v>
      </c>
      <c r="D5861">
        <f t="shared" ca="1" si="274"/>
        <v>8940.3133849253645</v>
      </c>
    </row>
    <row r="5862" spans="2:4" x14ac:dyDescent="0.25">
      <c r="B5862">
        <f t="shared" ca="1" si="275"/>
        <v>51554.924493577884</v>
      </c>
      <c r="C5862">
        <f t="shared" ca="1" si="273"/>
        <v>0</v>
      </c>
      <c r="D5862">
        <f t="shared" ca="1" si="274"/>
        <v>11554.924493577884</v>
      </c>
    </row>
    <row r="5863" spans="2:4" x14ac:dyDescent="0.25">
      <c r="B5863">
        <f t="shared" ca="1" si="275"/>
        <v>43102.078388236216</v>
      </c>
      <c r="C5863">
        <f t="shared" ca="1" si="273"/>
        <v>0</v>
      </c>
      <c r="D5863">
        <f t="shared" ca="1" si="274"/>
        <v>3102.0783882362157</v>
      </c>
    </row>
    <row r="5864" spans="2:4" x14ac:dyDescent="0.25">
      <c r="B5864">
        <f t="shared" ca="1" si="275"/>
        <v>55139.134869068832</v>
      </c>
      <c r="C5864">
        <f t="shared" ca="1" si="273"/>
        <v>0</v>
      </c>
      <c r="D5864">
        <f t="shared" ca="1" si="274"/>
        <v>15139.134869068832</v>
      </c>
    </row>
    <row r="5865" spans="2:4" x14ac:dyDescent="0.25">
      <c r="B5865">
        <f t="shared" ca="1" si="275"/>
        <v>41371.363137756278</v>
      </c>
      <c r="C5865">
        <f t="shared" ca="1" si="273"/>
        <v>0</v>
      </c>
      <c r="D5865">
        <f t="shared" ca="1" si="274"/>
        <v>1371.3631377562779</v>
      </c>
    </row>
    <row r="5866" spans="2:4" x14ac:dyDescent="0.25">
      <c r="B5866">
        <f t="shared" ca="1" si="275"/>
        <v>48342.147469930227</v>
      </c>
      <c r="C5866">
        <f t="shared" ca="1" si="273"/>
        <v>0</v>
      </c>
      <c r="D5866">
        <f t="shared" ca="1" si="274"/>
        <v>8342.1474699302271</v>
      </c>
    </row>
    <row r="5867" spans="2:4" x14ac:dyDescent="0.25">
      <c r="B5867">
        <f t="shared" ca="1" si="275"/>
        <v>41574.733047577844</v>
      </c>
      <c r="C5867">
        <f t="shared" ca="1" si="273"/>
        <v>0</v>
      </c>
      <c r="D5867">
        <f t="shared" ca="1" si="274"/>
        <v>1574.7330475778435</v>
      </c>
    </row>
    <row r="5868" spans="2:4" x14ac:dyDescent="0.25">
      <c r="B5868">
        <f t="shared" ca="1" si="275"/>
        <v>44259.161628664049</v>
      </c>
      <c r="C5868">
        <f t="shared" ca="1" si="273"/>
        <v>0</v>
      </c>
      <c r="D5868">
        <f t="shared" ca="1" si="274"/>
        <v>4259.1616286640492</v>
      </c>
    </row>
    <row r="5869" spans="2:4" x14ac:dyDescent="0.25">
      <c r="B5869">
        <f t="shared" ca="1" si="275"/>
        <v>42037.143107414762</v>
      </c>
      <c r="C5869">
        <f t="shared" ca="1" si="273"/>
        <v>0</v>
      </c>
      <c r="D5869">
        <f t="shared" ca="1" si="274"/>
        <v>2037.1431074147622</v>
      </c>
    </row>
    <row r="5870" spans="2:4" x14ac:dyDescent="0.25">
      <c r="B5870">
        <f t="shared" ca="1" si="275"/>
        <v>43701.550063711744</v>
      </c>
      <c r="C5870">
        <f t="shared" ca="1" si="273"/>
        <v>0</v>
      </c>
      <c r="D5870">
        <f t="shared" ca="1" si="274"/>
        <v>3701.5500637117439</v>
      </c>
    </row>
    <row r="5871" spans="2:4" x14ac:dyDescent="0.25">
      <c r="B5871">
        <f t="shared" ca="1" si="275"/>
        <v>44768.614111530478</v>
      </c>
      <c r="C5871">
        <f t="shared" ca="1" si="273"/>
        <v>0</v>
      </c>
      <c r="D5871">
        <f t="shared" ca="1" si="274"/>
        <v>4768.6141115304781</v>
      </c>
    </row>
    <row r="5872" spans="2:4" x14ac:dyDescent="0.25">
      <c r="B5872">
        <f t="shared" ca="1" si="275"/>
        <v>43743.49097964567</v>
      </c>
      <c r="C5872">
        <f t="shared" ca="1" si="273"/>
        <v>0</v>
      </c>
      <c r="D5872">
        <f t="shared" ca="1" si="274"/>
        <v>3743.4909796456704</v>
      </c>
    </row>
    <row r="5873" spans="2:4" x14ac:dyDescent="0.25">
      <c r="B5873">
        <f t="shared" ca="1" si="275"/>
        <v>42900.410900396091</v>
      </c>
      <c r="C5873">
        <f t="shared" ca="1" si="273"/>
        <v>0</v>
      </c>
      <c r="D5873">
        <f t="shared" ca="1" si="274"/>
        <v>2900.4109003960912</v>
      </c>
    </row>
    <row r="5874" spans="2:4" x14ac:dyDescent="0.25">
      <c r="B5874">
        <f t="shared" ca="1" si="275"/>
        <v>40361.999981687171</v>
      </c>
      <c r="C5874">
        <f t="shared" ca="1" si="273"/>
        <v>0</v>
      </c>
      <c r="D5874">
        <f t="shared" ca="1" si="274"/>
        <v>361.99998168717138</v>
      </c>
    </row>
    <row r="5875" spans="2:4" x14ac:dyDescent="0.25">
      <c r="B5875">
        <f t="shared" ca="1" si="275"/>
        <v>42917.006442806167</v>
      </c>
      <c r="C5875">
        <f t="shared" ca="1" si="273"/>
        <v>0</v>
      </c>
      <c r="D5875">
        <f t="shared" ca="1" si="274"/>
        <v>2917.0064428061669</v>
      </c>
    </row>
    <row r="5876" spans="2:4" x14ac:dyDescent="0.25">
      <c r="B5876">
        <f t="shared" ca="1" si="275"/>
        <v>43726.615672755666</v>
      </c>
      <c r="C5876">
        <f t="shared" ca="1" si="273"/>
        <v>0</v>
      </c>
      <c r="D5876">
        <f t="shared" ca="1" si="274"/>
        <v>3726.6156727556663</v>
      </c>
    </row>
    <row r="5877" spans="2:4" x14ac:dyDescent="0.25">
      <c r="B5877">
        <f t="shared" ca="1" si="275"/>
        <v>45557.044347048315</v>
      </c>
      <c r="C5877">
        <f t="shared" ca="1" si="273"/>
        <v>0</v>
      </c>
      <c r="D5877">
        <f t="shared" ca="1" si="274"/>
        <v>5557.0443470483151</v>
      </c>
    </row>
    <row r="5878" spans="2:4" x14ac:dyDescent="0.25">
      <c r="B5878">
        <f t="shared" ca="1" si="275"/>
        <v>44420.945789390236</v>
      </c>
      <c r="C5878">
        <f t="shared" ca="1" si="273"/>
        <v>0</v>
      </c>
      <c r="D5878">
        <f t="shared" ca="1" si="274"/>
        <v>4420.9457893902363</v>
      </c>
    </row>
    <row r="5879" spans="2:4" x14ac:dyDescent="0.25">
      <c r="B5879">
        <f t="shared" ca="1" si="275"/>
        <v>43632.90676067672</v>
      </c>
      <c r="C5879">
        <f t="shared" ca="1" si="273"/>
        <v>0</v>
      </c>
      <c r="D5879">
        <f t="shared" ca="1" si="274"/>
        <v>3632.9067606767203</v>
      </c>
    </row>
    <row r="5880" spans="2:4" x14ac:dyDescent="0.25">
      <c r="B5880">
        <f t="shared" ca="1" si="275"/>
        <v>44006.825190421652</v>
      </c>
      <c r="C5880">
        <f t="shared" ca="1" si="273"/>
        <v>0</v>
      </c>
      <c r="D5880">
        <f t="shared" ca="1" si="274"/>
        <v>4006.8251904216522</v>
      </c>
    </row>
    <row r="5881" spans="2:4" x14ac:dyDescent="0.25">
      <c r="B5881">
        <f t="shared" ca="1" si="275"/>
        <v>42910.755995508182</v>
      </c>
      <c r="C5881">
        <f t="shared" ca="1" si="273"/>
        <v>0</v>
      </c>
      <c r="D5881">
        <f t="shared" ca="1" si="274"/>
        <v>2910.7559955081815</v>
      </c>
    </row>
    <row r="5882" spans="2:4" x14ac:dyDescent="0.25">
      <c r="B5882">
        <f t="shared" ca="1" si="275"/>
        <v>38407.155977608854</v>
      </c>
      <c r="C5882">
        <f t="shared" ca="1" si="273"/>
        <v>1592.8440223911457</v>
      </c>
      <c r="D5882">
        <f t="shared" ca="1" si="274"/>
        <v>0</v>
      </c>
    </row>
    <row r="5883" spans="2:4" x14ac:dyDescent="0.25">
      <c r="B5883">
        <f t="shared" ca="1" si="275"/>
        <v>52352.307942738655</v>
      </c>
      <c r="C5883">
        <f t="shared" ca="1" si="273"/>
        <v>0</v>
      </c>
      <c r="D5883">
        <f t="shared" ca="1" si="274"/>
        <v>12352.307942738655</v>
      </c>
    </row>
    <row r="5884" spans="2:4" x14ac:dyDescent="0.25">
      <c r="B5884">
        <f t="shared" ca="1" si="275"/>
        <v>41822.41641775352</v>
      </c>
      <c r="C5884">
        <f t="shared" ca="1" si="273"/>
        <v>0</v>
      </c>
      <c r="D5884">
        <f t="shared" ca="1" si="274"/>
        <v>1822.4164177535204</v>
      </c>
    </row>
    <row r="5885" spans="2:4" x14ac:dyDescent="0.25">
      <c r="B5885">
        <f t="shared" ca="1" si="275"/>
        <v>49332.634879213219</v>
      </c>
      <c r="C5885">
        <f t="shared" ca="1" si="273"/>
        <v>0</v>
      </c>
      <c r="D5885">
        <f t="shared" ca="1" si="274"/>
        <v>9332.6348792132194</v>
      </c>
    </row>
    <row r="5886" spans="2:4" x14ac:dyDescent="0.25">
      <c r="B5886">
        <f t="shared" ca="1" si="275"/>
        <v>48379.945540124303</v>
      </c>
      <c r="C5886">
        <f t="shared" ca="1" si="273"/>
        <v>0</v>
      </c>
      <c r="D5886">
        <f t="shared" ca="1" si="274"/>
        <v>8379.9455401243031</v>
      </c>
    </row>
    <row r="5887" spans="2:4" x14ac:dyDescent="0.25">
      <c r="B5887">
        <f t="shared" ca="1" si="275"/>
        <v>48390.859555961062</v>
      </c>
      <c r="C5887">
        <f t="shared" ca="1" si="273"/>
        <v>0</v>
      </c>
      <c r="D5887">
        <f t="shared" ca="1" si="274"/>
        <v>8390.8595559610621</v>
      </c>
    </row>
    <row r="5888" spans="2:4" x14ac:dyDescent="0.25">
      <c r="B5888">
        <f t="shared" ca="1" si="275"/>
        <v>44451.86322200446</v>
      </c>
      <c r="C5888">
        <f t="shared" ca="1" si="273"/>
        <v>0</v>
      </c>
      <c r="D5888">
        <f t="shared" ca="1" si="274"/>
        <v>4451.8632220044601</v>
      </c>
    </row>
    <row r="5889" spans="2:4" x14ac:dyDescent="0.25">
      <c r="B5889">
        <f t="shared" ca="1" si="275"/>
        <v>43699.975294105374</v>
      </c>
      <c r="C5889">
        <f t="shared" ca="1" si="273"/>
        <v>0</v>
      </c>
      <c r="D5889">
        <f t="shared" ca="1" si="274"/>
        <v>3699.9752941053739</v>
      </c>
    </row>
    <row r="5890" spans="2:4" x14ac:dyDescent="0.25">
      <c r="B5890">
        <f t="shared" ca="1" si="275"/>
        <v>43099.997674369901</v>
      </c>
      <c r="C5890">
        <f t="shared" ca="1" si="273"/>
        <v>0</v>
      </c>
      <c r="D5890">
        <f t="shared" ca="1" si="274"/>
        <v>3099.9976743699008</v>
      </c>
    </row>
    <row r="5891" spans="2:4" x14ac:dyDescent="0.25">
      <c r="B5891">
        <f t="shared" ca="1" si="275"/>
        <v>43966.397472837452</v>
      </c>
      <c r="C5891">
        <f t="shared" ca="1" si="273"/>
        <v>0</v>
      </c>
      <c r="D5891">
        <f t="shared" ca="1" si="274"/>
        <v>3966.3974728374524</v>
      </c>
    </row>
    <row r="5892" spans="2:4" x14ac:dyDescent="0.25">
      <c r="B5892">
        <f t="shared" ca="1" si="275"/>
        <v>37571.10138262243</v>
      </c>
      <c r="C5892">
        <f t="shared" ca="1" si="273"/>
        <v>2428.8986173775702</v>
      </c>
      <c r="D5892">
        <f t="shared" ca="1" si="274"/>
        <v>0</v>
      </c>
    </row>
    <row r="5893" spans="2:4" x14ac:dyDescent="0.25">
      <c r="B5893">
        <f t="shared" ca="1" si="275"/>
        <v>50001.107691986675</v>
      </c>
      <c r="C5893">
        <f t="shared" ca="1" si="273"/>
        <v>0</v>
      </c>
      <c r="D5893">
        <f t="shared" ca="1" si="274"/>
        <v>10001.107691986675</v>
      </c>
    </row>
    <row r="5894" spans="2:4" x14ac:dyDescent="0.25">
      <c r="B5894">
        <f t="shared" ca="1" si="275"/>
        <v>43517.340398736727</v>
      </c>
      <c r="C5894">
        <f t="shared" ca="1" si="273"/>
        <v>0</v>
      </c>
      <c r="D5894">
        <f t="shared" ca="1" si="274"/>
        <v>3517.3403987367274</v>
      </c>
    </row>
    <row r="5895" spans="2:4" x14ac:dyDescent="0.25">
      <c r="B5895">
        <f t="shared" ca="1" si="275"/>
        <v>50189.170835335462</v>
      </c>
      <c r="C5895">
        <f t="shared" ca="1" si="273"/>
        <v>0</v>
      </c>
      <c r="D5895">
        <f t="shared" ca="1" si="274"/>
        <v>10189.170835335462</v>
      </c>
    </row>
    <row r="5896" spans="2:4" x14ac:dyDescent="0.25">
      <c r="B5896">
        <f t="shared" ca="1" si="275"/>
        <v>45828.771924451008</v>
      </c>
      <c r="C5896">
        <f t="shared" ca="1" si="273"/>
        <v>0</v>
      </c>
      <c r="D5896">
        <f t="shared" ca="1" si="274"/>
        <v>5828.7719244510081</v>
      </c>
    </row>
    <row r="5897" spans="2:4" x14ac:dyDescent="0.25">
      <c r="B5897">
        <f t="shared" ca="1" si="275"/>
        <v>42303.138008472706</v>
      </c>
      <c r="C5897">
        <f t="shared" ca="1" si="273"/>
        <v>0</v>
      </c>
      <c r="D5897">
        <f t="shared" ca="1" si="274"/>
        <v>2303.1380084727061</v>
      </c>
    </row>
    <row r="5898" spans="2:4" x14ac:dyDescent="0.25">
      <c r="B5898">
        <f t="shared" ca="1" si="275"/>
        <v>37322.052699003776</v>
      </c>
      <c r="C5898">
        <f t="shared" ca="1" si="273"/>
        <v>2677.9473009962239</v>
      </c>
      <c r="D5898">
        <f t="shared" ca="1" si="274"/>
        <v>0</v>
      </c>
    </row>
    <row r="5899" spans="2:4" x14ac:dyDescent="0.25">
      <c r="B5899">
        <f t="shared" ca="1" si="275"/>
        <v>45206.397532095732</v>
      </c>
      <c r="C5899">
        <f t="shared" ca="1" si="273"/>
        <v>0</v>
      </c>
      <c r="D5899">
        <f t="shared" ca="1" si="274"/>
        <v>5206.3975320957325</v>
      </c>
    </row>
    <row r="5900" spans="2:4" x14ac:dyDescent="0.25">
      <c r="B5900">
        <f t="shared" ca="1" si="275"/>
        <v>42630.156745958811</v>
      </c>
      <c r="C5900">
        <f t="shared" ref="C5900:C5963" ca="1" si="276">IF(MAX($B$2-B5900)&lt;0,0,$B$2-B5900)</f>
        <v>0</v>
      </c>
      <c r="D5900">
        <f t="shared" ref="D5900:D5963" ca="1" si="277">IF(MAX(B5900-$B$2)&lt;0,0,B5900-$B$2)</f>
        <v>2630.1567459588114</v>
      </c>
    </row>
    <row r="5901" spans="2:4" x14ac:dyDescent="0.25">
      <c r="B5901">
        <f t="shared" ref="B5901:B5964" ca="1" si="278">$B$1*EXP((($B$4-($B$3^2)/2)*$B$5+$B$3*SQRT($B$5)*NORMSINV(RAND())))</f>
        <v>45015.343791711857</v>
      </c>
      <c r="C5901">
        <f t="shared" ca="1" si="276"/>
        <v>0</v>
      </c>
      <c r="D5901">
        <f t="shared" ca="1" si="277"/>
        <v>5015.3437917118572</v>
      </c>
    </row>
    <row r="5902" spans="2:4" x14ac:dyDescent="0.25">
      <c r="B5902">
        <f t="shared" ca="1" si="278"/>
        <v>51456.233522087867</v>
      </c>
      <c r="C5902">
        <f t="shared" ca="1" si="276"/>
        <v>0</v>
      </c>
      <c r="D5902">
        <f t="shared" ca="1" si="277"/>
        <v>11456.233522087867</v>
      </c>
    </row>
    <row r="5903" spans="2:4" x14ac:dyDescent="0.25">
      <c r="B5903">
        <f t="shared" ca="1" si="278"/>
        <v>41298.990235632024</v>
      </c>
      <c r="C5903">
        <f t="shared" ca="1" si="276"/>
        <v>0</v>
      </c>
      <c r="D5903">
        <f t="shared" ca="1" si="277"/>
        <v>1298.9902356320235</v>
      </c>
    </row>
    <row r="5904" spans="2:4" x14ac:dyDescent="0.25">
      <c r="B5904">
        <f t="shared" ca="1" si="278"/>
        <v>44054.889512754235</v>
      </c>
      <c r="C5904">
        <f t="shared" ca="1" si="276"/>
        <v>0</v>
      </c>
      <c r="D5904">
        <f t="shared" ca="1" si="277"/>
        <v>4054.8895127542346</v>
      </c>
    </row>
    <row r="5905" spans="2:4" x14ac:dyDescent="0.25">
      <c r="B5905">
        <f t="shared" ca="1" si="278"/>
        <v>35763.807624649533</v>
      </c>
      <c r="C5905">
        <f t="shared" ca="1" si="276"/>
        <v>4236.192375350467</v>
      </c>
      <c r="D5905">
        <f t="shared" ca="1" si="277"/>
        <v>0</v>
      </c>
    </row>
    <row r="5906" spans="2:4" x14ac:dyDescent="0.25">
      <c r="B5906">
        <f t="shared" ca="1" si="278"/>
        <v>42940.637237835675</v>
      </c>
      <c r="C5906">
        <f t="shared" ca="1" si="276"/>
        <v>0</v>
      </c>
      <c r="D5906">
        <f t="shared" ca="1" si="277"/>
        <v>2940.6372378356755</v>
      </c>
    </row>
    <row r="5907" spans="2:4" x14ac:dyDescent="0.25">
      <c r="B5907">
        <f t="shared" ca="1" si="278"/>
        <v>47576.650609934572</v>
      </c>
      <c r="C5907">
        <f t="shared" ca="1" si="276"/>
        <v>0</v>
      </c>
      <c r="D5907">
        <f t="shared" ca="1" si="277"/>
        <v>7576.6506099345715</v>
      </c>
    </row>
    <row r="5908" spans="2:4" x14ac:dyDescent="0.25">
      <c r="B5908">
        <f t="shared" ca="1" si="278"/>
        <v>41047.465653520463</v>
      </c>
      <c r="C5908">
        <f t="shared" ca="1" si="276"/>
        <v>0</v>
      </c>
      <c r="D5908">
        <f t="shared" ca="1" si="277"/>
        <v>1047.4656535204631</v>
      </c>
    </row>
    <row r="5909" spans="2:4" x14ac:dyDescent="0.25">
      <c r="B5909">
        <f t="shared" ca="1" si="278"/>
        <v>46225.765061540689</v>
      </c>
      <c r="C5909">
        <f t="shared" ca="1" si="276"/>
        <v>0</v>
      </c>
      <c r="D5909">
        <f t="shared" ca="1" si="277"/>
        <v>6225.7650615406892</v>
      </c>
    </row>
    <row r="5910" spans="2:4" x14ac:dyDescent="0.25">
      <c r="B5910">
        <f t="shared" ca="1" si="278"/>
        <v>38683.474785266495</v>
      </c>
      <c r="C5910">
        <f t="shared" ca="1" si="276"/>
        <v>1316.525214733505</v>
      </c>
      <c r="D5910">
        <f t="shared" ca="1" si="277"/>
        <v>0</v>
      </c>
    </row>
    <row r="5911" spans="2:4" x14ac:dyDescent="0.25">
      <c r="B5911">
        <f t="shared" ca="1" si="278"/>
        <v>48576.348529451498</v>
      </c>
      <c r="C5911">
        <f t="shared" ca="1" si="276"/>
        <v>0</v>
      </c>
      <c r="D5911">
        <f t="shared" ca="1" si="277"/>
        <v>8576.3485294514976</v>
      </c>
    </row>
    <row r="5912" spans="2:4" x14ac:dyDescent="0.25">
      <c r="B5912">
        <f t="shared" ca="1" si="278"/>
        <v>40940.85857315411</v>
      </c>
      <c r="C5912">
        <f t="shared" ca="1" si="276"/>
        <v>0</v>
      </c>
      <c r="D5912">
        <f t="shared" ca="1" si="277"/>
        <v>940.85857315410976</v>
      </c>
    </row>
    <row r="5913" spans="2:4" x14ac:dyDescent="0.25">
      <c r="B5913">
        <f t="shared" ca="1" si="278"/>
        <v>45840.841266449621</v>
      </c>
      <c r="C5913">
        <f t="shared" ca="1" si="276"/>
        <v>0</v>
      </c>
      <c r="D5913">
        <f t="shared" ca="1" si="277"/>
        <v>5840.8412664496209</v>
      </c>
    </row>
    <row r="5914" spans="2:4" x14ac:dyDescent="0.25">
      <c r="B5914">
        <f t="shared" ca="1" si="278"/>
        <v>43623.437518731924</v>
      </c>
      <c r="C5914">
        <f t="shared" ca="1" si="276"/>
        <v>0</v>
      </c>
      <c r="D5914">
        <f t="shared" ca="1" si="277"/>
        <v>3623.4375187319238</v>
      </c>
    </row>
    <row r="5915" spans="2:4" x14ac:dyDescent="0.25">
      <c r="B5915">
        <f t="shared" ca="1" si="278"/>
        <v>46826.248629640948</v>
      </c>
      <c r="C5915">
        <f t="shared" ca="1" si="276"/>
        <v>0</v>
      </c>
      <c r="D5915">
        <f t="shared" ca="1" si="277"/>
        <v>6826.2486296409479</v>
      </c>
    </row>
    <row r="5916" spans="2:4" x14ac:dyDescent="0.25">
      <c r="B5916">
        <f t="shared" ca="1" si="278"/>
        <v>38437.148270254511</v>
      </c>
      <c r="C5916">
        <f t="shared" ca="1" si="276"/>
        <v>1562.8517297454891</v>
      </c>
      <c r="D5916">
        <f t="shared" ca="1" si="277"/>
        <v>0</v>
      </c>
    </row>
    <row r="5917" spans="2:4" x14ac:dyDescent="0.25">
      <c r="B5917">
        <f t="shared" ca="1" si="278"/>
        <v>51113.933432734157</v>
      </c>
      <c r="C5917">
        <f t="shared" ca="1" si="276"/>
        <v>0</v>
      </c>
      <c r="D5917">
        <f t="shared" ca="1" si="277"/>
        <v>11113.933432734157</v>
      </c>
    </row>
    <row r="5918" spans="2:4" x14ac:dyDescent="0.25">
      <c r="B5918">
        <f t="shared" ca="1" si="278"/>
        <v>51461.735166012819</v>
      </c>
      <c r="C5918">
        <f t="shared" ca="1" si="276"/>
        <v>0</v>
      </c>
      <c r="D5918">
        <f t="shared" ca="1" si="277"/>
        <v>11461.735166012819</v>
      </c>
    </row>
    <row r="5919" spans="2:4" x14ac:dyDescent="0.25">
      <c r="B5919">
        <f t="shared" ca="1" si="278"/>
        <v>45607.046373180929</v>
      </c>
      <c r="C5919">
        <f t="shared" ca="1" si="276"/>
        <v>0</v>
      </c>
      <c r="D5919">
        <f t="shared" ca="1" si="277"/>
        <v>5607.0463731809286</v>
      </c>
    </row>
    <row r="5920" spans="2:4" x14ac:dyDescent="0.25">
      <c r="B5920">
        <f t="shared" ca="1" si="278"/>
        <v>41570.623229047109</v>
      </c>
      <c r="C5920">
        <f t="shared" ca="1" si="276"/>
        <v>0</v>
      </c>
      <c r="D5920">
        <f t="shared" ca="1" si="277"/>
        <v>1570.6232290471089</v>
      </c>
    </row>
    <row r="5921" spans="2:4" x14ac:dyDescent="0.25">
      <c r="B5921">
        <f t="shared" ca="1" si="278"/>
        <v>41868.097020786263</v>
      </c>
      <c r="C5921">
        <f t="shared" ca="1" si="276"/>
        <v>0</v>
      </c>
      <c r="D5921">
        <f t="shared" ca="1" si="277"/>
        <v>1868.0970207862629</v>
      </c>
    </row>
    <row r="5922" spans="2:4" x14ac:dyDescent="0.25">
      <c r="B5922">
        <f t="shared" ca="1" si="278"/>
        <v>42401.446801243641</v>
      </c>
      <c r="C5922">
        <f t="shared" ca="1" si="276"/>
        <v>0</v>
      </c>
      <c r="D5922">
        <f t="shared" ca="1" si="277"/>
        <v>2401.4468012436409</v>
      </c>
    </row>
    <row r="5923" spans="2:4" x14ac:dyDescent="0.25">
      <c r="B5923">
        <f t="shared" ca="1" si="278"/>
        <v>41207.670450231424</v>
      </c>
      <c r="C5923">
        <f t="shared" ca="1" si="276"/>
        <v>0</v>
      </c>
      <c r="D5923">
        <f t="shared" ca="1" si="277"/>
        <v>1207.6704502314242</v>
      </c>
    </row>
    <row r="5924" spans="2:4" x14ac:dyDescent="0.25">
      <c r="B5924">
        <f t="shared" ca="1" si="278"/>
        <v>40609.53252908327</v>
      </c>
      <c r="C5924">
        <f t="shared" ca="1" si="276"/>
        <v>0</v>
      </c>
      <c r="D5924">
        <f t="shared" ca="1" si="277"/>
        <v>609.53252908326976</v>
      </c>
    </row>
    <row r="5925" spans="2:4" x14ac:dyDescent="0.25">
      <c r="B5925">
        <f t="shared" ca="1" si="278"/>
        <v>50315.199981480888</v>
      </c>
      <c r="C5925">
        <f t="shared" ca="1" si="276"/>
        <v>0</v>
      </c>
      <c r="D5925">
        <f t="shared" ca="1" si="277"/>
        <v>10315.199981480888</v>
      </c>
    </row>
    <row r="5926" spans="2:4" x14ac:dyDescent="0.25">
      <c r="B5926">
        <f t="shared" ca="1" si="278"/>
        <v>42286.678324142791</v>
      </c>
      <c r="C5926">
        <f t="shared" ca="1" si="276"/>
        <v>0</v>
      </c>
      <c r="D5926">
        <f t="shared" ca="1" si="277"/>
        <v>2286.6783241427911</v>
      </c>
    </row>
    <row r="5927" spans="2:4" x14ac:dyDescent="0.25">
      <c r="B5927">
        <f t="shared" ca="1" si="278"/>
        <v>50926.008729385037</v>
      </c>
      <c r="C5927">
        <f t="shared" ca="1" si="276"/>
        <v>0</v>
      </c>
      <c r="D5927">
        <f t="shared" ca="1" si="277"/>
        <v>10926.008729385037</v>
      </c>
    </row>
    <row r="5928" spans="2:4" x14ac:dyDescent="0.25">
      <c r="B5928">
        <f t="shared" ca="1" si="278"/>
        <v>44668.430283149224</v>
      </c>
      <c r="C5928">
        <f t="shared" ca="1" si="276"/>
        <v>0</v>
      </c>
      <c r="D5928">
        <f t="shared" ca="1" si="277"/>
        <v>4668.4302831492241</v>
      </c>
    </row>
    <row r="5929" spans="2:4" x14ac:dyDescent="0.25">
      <c r="B5929">
        <f t="shared" ca="1" si="278"/>
        <v>43024.776118556569</v>
      </c>
      <c r="C5929">
        <f t="shared" ca="1" si="276"/>
        <v>0</v>
      </c>
      <c r="D5929">
        <f t="shared" ca="1" si="277"/>
        <v>3024.7761185565687</v>
      </c>
    </row>
    <row r="5930" spans="2:4" x14ac:dyDescent="0.25">
      <c r="B5930">
        <f t="shared" ca="1" si="278"/>
        <v>49110.110035522135</v>
      </c>
      <c r="C5930">
        <f t="shared" ca="1" si="276"/>
        <v>0</v>
      </c>
      <c r="D5930">
        <f t="shared" ca="1" si="277"/>
        <v>9110.1100355221351</v>
      </c>
    </row>
    <row r="5931" spans="2:4" x14ac:dyDescent="0.25">
      <c r="B5931">
        <f t="shared" ca="1" si="278"/>
        <v>37994.125113270718</v>
      </c>
      <c r="C5931">
        <f t="shared" ca="1" si="276"/>
        <v>2005.8748867292816</v>
      </c>
      <c r="D5931">
        <f t="shared" ca="1" si="277"/>
        <v>0</v>
      </c>
    </row>
    <row r="5932" spans="2:4" x14ac:dyDescent="0.25">
      <c r="B5932">
        <f t="shared" ca="1" si="278"/>
        <v>48255.973834087934</v>
      </c>
      <c r="C5932">
        <f t="shared" ca="1" si="276"/>
        <v>0</v>
      </c>
      <c r="D5932">
        <f t="shared" ca="1" si="277"/>
        <v>8255.9738340879339</v>
      </c>
    </row>
    <row r="5933" spans="2:4" x14ac:dyDescent="0.25">
      <c r="B5933">
        <f t="shared" ca="1" si="278"/>
        <v>48585.840917830152</v>
      </c>
      <c r="C5933">
        <f t="shared" ca="1" si="276"/>
        <v>0</v>
      </c>
      <c r="D5933">
        <f t="shared" ca="1" si="277"/>
        <v>8585.8409178301517</v>
      </c>
    </row>
    <row r="5934" spans="2:4" x14ac:dyDescent="0.25">
      <c r="B5934">
        <f t="shared" ca="1" si="278"/>
        <v>47858.243149291986</v>
      </c>
      <c r="C5934">
        <f t="shared" ca="1" si="276"/>
        <v>0</v>
      </c>
      <c r="D5934">
        <f t="shared" ca="1" si="277"/>
        <v>7858.2431492919859</v>
      </c>
    </row>
    <row r="5935" spans="2:4" x14ac:dyDescent="0.25">
      <c r="B5935">
        <f t="shared" ca="1" si="278"/>
        <v>41530.104055841584</v>
      </c>
      <c r="C5935">
        <f t="shared" ca="1" si="276"/>
        <v>0</v>
      </c>
      <c r="D5935">
        <f t="shared" ca="1" si="277"/>
        <v>1530.1040558415843</v>
      </c>
    </row>
    <row r="5936" spans="2:4" x14ac:dyDescent="0.25">
      <c r="B5936">
        <f t="shared" ca="1" si="278"/>
        <v>52857.89868811347</v>
      </c>
      <c r="C5936">
        <f t="shared" ca="1" si="276"/>
        <v>0</v>
      </c>
      <c r="D5936">
        <f t="shared" ca="1" si="277"/>
        <v>12857.89868811347</v>
      </c>
    </row>
    <row r="5937" spans="2:4" x14ac:dyDescent="0.25">
      <c r="B5937">
        <f t="shared" ca="1" si="278"/>
        <v>43300.419129910115</v>
      </c>
      <c r="C5937">
        <f t="shared" ca="1" si="276"/>
        <v>0</v>
      </c>
      <c r="D5937">
        <f t="shared" ca="1" si="277"/>
        <v>3300.4191299101149</v>
      </c>
    </row>
    <row r="5938" spans="2:4" x14ac:dyDescent="0.25">
      <c r="B5938">
        <f t="shared" ca="1" si="278"/>
        <v>52336.91597709187</v>
      </c>
      <c r="C5938">
        <f t="shared" ca="1" si="276"/>
        <v>0</v>
      </c>
      <c r="D5938">
        <f t="shared" ca="1" si="277"/>
        <v>12336.91597709187</v>
      </c>
    </row>
    <row r="5939" spans="2:4" x14ac:dyDescent="0.25">
      <c r="B5939">
        <f t="shared" ca="1" si="278"/>
        <v>50441.359498275677</v>
      </c>
      <c r="C5939">
        <f t="shared" ca="1" si="276"/>
        <v>0</v>
      </c>
      <c r="D5939">
        <f t="shared" ca="1" si="277"/>
        <v>10441.359498275677</v>
      </c>
    </row>
    <row r="5940" spans="2:4" x14ac:dyDescent="0.25">
      <c r="B5940">
        <f t="shared" ca="1" si="278"/>
        <v>45505.665417524135</v>
      </c>
      <c r="C5940">
        <f t="shared" ca="1" si="276"/>
        <v>0</v>
      </c>
      <c r="D5940">
        <f t="shared" ca="1" si="277"/>
        <v>5505.6654175241347</v>
      </c>
    </row>
    <row r="5941" spans="2:4" x14ac:dyDescent="0.25">
      <c r="B5941">
        <f t="shared" ca="1" si="278"/>
        <v>45050.222616392748</v>
      </c>
      <c r="C5941">
        <f t="shared" ca="1" si="276"/>
        <v>0</v>
      </c>
      <c r="D5941">
        <f t="shared" ca="1" si="277"/>
        <v>5050.222616392748</v>
      </c>
    </row>
    <row r="5942" spans="2:4" x14ac:dyDescent="0.25">
      <c r="B5942">
        <f t="shared" ca="1" si="278"/>
        <v>44631.720111336937</v>
      </c>
      <c r="C5942">
        <f t="shared" ca="1" si="276"/>
        <v>0</v>
      </c>
      <c r="D5942">
        <f t="shared" ca="1" si="277"/>
        <v>4631.7201113369374</v>
      </c>
    </row>
    <row r="5943" spans="2:4" x14ac:dyDescent="0.25">
      <c r="B5943">
        <f t="shared" ca="1" si="278"/>
        <v>37510.605100150016</v>
      </c>
      <c r="C5943">
        <f t="shared" ca="1" si="276"/>
        <v>2489.3948998499836</v>
      </c>
      <c r="D5943">
        <f t="shared" ca="1" si="277"/>
        <v>0</v>
      </c>
    </row>
    <row r="5944" spans="2:4" x14ac:dyDescent="0.25">
      <c r="B5944">
        <f t="shared" ca="1" si="278"/>
        <v>52289.460785033691</v>
      </c>
      <c r="C5944">
        <f t="shared" ca="1" si="276"/>
        <v>0</v>
      </c>
      <c r="D5944">
        <f t="shared" ca="1" si="277"/>
        <v>12289.460785033691</v>
      </c>
    </row>
    <row r="5945" spans="2:4" x14ac:dyDescent="0.25">
      <c r="B5945">
        <f t="shared" ca="1" si="278"/>
        <v>37531.610642174805</v>
      </c>
      <c r="C5945">
        <f t="shared" ca="1" si="276"/>
        <v>2468.3893578251955</v>
      </c>
      <c r="D5945">
        <f t="shared" ca="1" si="277"/>
        <v>0</v>
      </c>
    </row>
    <row r="5946" spans="2:4" x14ac:dyDescent="0.25">
      <c r="B5946">
        <f t="shared" ca="1" si="278"/>
        <v>41808.295052887901</v>
      </c>
      <c r="C5946">
        <f t="shared" ca="1" si="276"/>
        <v>0</v>
      </c>
      <c r="D5946">
        <f t="shared" ca="1" si="277"/>
        <v>1808.295052887901</v>
      </c>
    </row>
    <row r="5947" spans="2:4" x14ac:dyDescent="0.25">
      <c r="B5947">
        <f t="shared" ca="1" si="278"/>
        <v>49189.213052067804</v>
      </c>
      <c r="C5947">
        <f t="shared" ca="1" si="276"/>
        <v>0</v>
      </c>
      <c r="D5947">
        <f t="shared" ca="1" si="277"/>
        <v>9189.2130520678038</v>
      </c>
    </row>
    <row r="5948" spans="2:4" x14ac:dyDescent="0.25">
      <c r="B5948">
        <f t="shared" ca="1" si="278"/>
        <v>45535.906015507702</v>
      </c>
      <c r="C5948">
        <f t="shared" ca="1" si="276"/>
        <v>0</v>
      </c>
      <c r="D5948">
        <f t="shared" ca="1" si="277"/>
        <v>5535.9060155077023</v>
      </c>
    </row>
    <row r="5949" spans="2:4" x14ac:dyDescent="0.25">
      <c r="B5949">
        <f t="shared" ca="1" si="278"/>
        <v>47204.67192248386</v>
      </c>
      <c r="C5949">
        <f t="shared" ca="1" si="276"/>
        <v>0</v>
      </c>
      <c r="D5949">
        <f t="shared" ca="1" si="277"/>
        <v>7204.6719224838598</v>
      </c>
    </row>
    <row r="5950" spans="2:4" x14ac:dyDescent="0.25">
      <c r="B5950">
        <f t="shared" ca="1" si="278"/>
        <v>46070.81257777584</v>
      </c>
      <c r="C5950">
        <f t="shared" ca="1" si="276"/>
        <v>0</v>
      </c>
      <c r="D5950">
        <f t="shared" ca="1" si="277"/>
        <v>6070.8125777758396</v>
      </c>
    </row>
    <row r="5951" spans="2:4" x14ac:dyDescent="0.25">
      <c r="B5951">
        <f t="shared" ca="1" si="278"/>
        <v>41826.073461398555</v>
      </c>
      <c r="C5951">
        <f t="shared" ca="1" si="276"/>
        <v>0</v>
      </c>
      <c r="D5951">
        <f t="shared" ca="1" si="277"/>
        <v>1826.0734613985551</v>
      </c>
    </row>
    <row r="5952" spans="2:4" x14ac:dyDescent="0.25">
      <c r="B5952">
        <f t="shared" ca="1" si="278"/>
        <v>41302.905594424126</v>
      </c>
      <c r="C5952">
        <f t="shared" ca="1" si="276"/>
        <v>0</v>
      </c>
      <c r="D5952">
        <f t="shared" ca="1" si="277"/>
        <v>1302.9055944241263</v>
      </c>
    </row>
    <row r="5953" spans="2:4" x14ac:dyDescent="0.25">
      <c r="B5953">
        <f t="shared" ca="1" si="278"/>
        <v>46654.15161313094</v>
      </c>
      <c r="C5953">
        <f t="shared" ca="1" si="276"/>
        <v>0</v>
      </c>
      <c r="D5953">
        <f t="shared" ca="1" si="277"/>
        <v>6654.1516131309399</v>
      </c>
    </row>
    <row r="5954" spans="2:4" x14ac:dyDescent="0.25">
      <c r="B5954">
        <f t="shared" ca="1" si="278"/>
        <v>40028.796026084419</v>
      </c>
      <c r="C5954">
        <f t="shared" ca="1" si="276"/>
        <v>0</v>
      </c>
      <c r="D5954">
        <f t="shared" ca="1" si="277"/>
        <v>28.796026084419282</v>
      </c>
    </row>
    <row r="5955" spans="2:4" x14ac:dyDescent="0.25">
      <c r="B5955">
        <f t="shared" ca="1" si="278"/>
        <v>42764.9710962237</v>
      </c>
      <c r="C5955">
        <f t="shared" ca="1" si="276"/>
        <v>0</v>
      </c>
      <c r="D5955">
        <f t="shared" ca="1" si="277"/>
        <v>2764.9710962237004</v>
      </c>
    </row>
    <row r="5956" spans="2:4" x14ac:dyDescent="0.25">
      <c r="B5956">
        <f t="shared" ca="1" si="278"/>
        <v>45279.733563488131</v>
      </c>
      <c r="C5956">
        <f t="shared" ca="1" si="276"/>
        <v>0</v>
      </c>
      <c r="D5956">
        <f t="shared" ca="1" si="277"/>
        <v>5279.733563488131</v>
      </c>
    </row>
    <row r="5957" spans="2:4" x14ac:dyDescent="0.25">
      <c r="B5957">
        <f t="shared" ca="1" si="278"/>
        <v>42707.33046745848</v>
      </c>
      <c r="C5957">
        <f t="shared" ca="1" si="276"/>
        <v>0</v>
      </c>
      <c r="D5957">
        <f t="shared" ca="1" si="277"/>
        <v>2707.3304674584797</v>
      </c>
    </row>
    <row r="5958" spans="2:4" x14ac:dyDescent="0.25">
      <c r="B5958">
        <f t="shared" ca="1" si="278"/>
        <v>42990.253087241348</v>
      </c>
      <c r="C5958">
        <f t="shared" ca="1" si="276"/>
        <v>0</v>
      </c>
      <c r="D5958">
        <f t="shared" ca="1" si="277"/>
        <v>2990.2530872413481</v>
      </c>
    </row>
    <row r="5959" spans="2:4" x14ac:dyDescent="0.25">
      <c r="B5959">
        <f t="shared" ca="1" si="278"/>
        <v>42571.885631466212</v>
      </c>
      <c r="C5959">
        <f t="shared" ca="1" si="276"/>
        <v>0</v>
      </c>
      <c r="D5959">
        <f t="shared" ca="1" si="277"/>
        <v>2571.8856314662116</v>
      </c>
    </row>
    <row r="5960" spans="2:4" x14ac:dyDescent="0.25">
      <c r="B5960">
        <f t="shared" ca="1" si="278"/>
        <v>35705.991424450214</v>
      </c>
      <c r="C5960">
        <f t="shared" ca="1" si="276"/>
        <v>4294.0085755497857</v>
      </c>
      <c r="D5960">
        <f t="shared" ca="1" si="277"/>
        <v>0</v>
      </c>
    </row>
    <row r="5961" spans="2:4" x14ac:dyDescent="0.25">
      <c r="B5961">
        <f t="shared" ca="1" si="278"/>
        <v>48653.258316324682</v>
      </c>
      <c r="C5961">
        <f t="shared" ca="1" si="276"/>
        <v>0</v>
      </c>
      <c r="D5961">
        <f t="shared" ca="1" si="277"/>
        <v>8653.2583163246818</v>
      </c>
    </row>
    <row r="5962" spans="2:4" x14ac:dyDescent="0.25">
      <c r="B5962">
        <f t="shared" ca="1" si="278"/>
        <v>40471.556346253361</v>
      </c>
      <c r="C5962">
        <f t="shared" ca="1" si="276"/>
        <v>0</v>
      </c>
      <c r="D5962">
        <f t="shared" ca="1" si="277"/>
        <v>471.55634625336097</v>
      </c>
    </row>
    <row r="5963" spans="2:4" x14ac:dyDescent="0.25">
      <c r="B5963">
        <f t="shared" ca="1" si="278"/>
        <v>42421.246007801012</v>
      </c>
      <c r="C5963">
        <f t="shared" ca="1" si="276"/>
        <v>0</v>
      </c>
      <c r="D5963">
        <f t="shared" ca="1" si="277"/>
        <v>2421.2460078010117</v>
      </c>
    </row>
    <row r="5964" spans="2:4" x14ac:dyDescent="0.25">
      <c r="B5964">
        <f t="shared" ca="1" si="278"/>
        <v>40436.903763298971</v>
      </c>
      <c r="C5964">
        <f t="shared" ref="C5964:C6027" ca="1" si="279">IF(MAX($B$2-B5964)&lt;0,0,$B$2-B5964)</f>
        <v>0</v>
      </c>
      <c r="D5964">
        <f t="shared" ref="D5964:D6027" ca="1" si="280">IF(MAX(B5964-$B$2)&lt;0,0,B5964-$B$2)</f>
        <v>436.90376329897117</v>
      </c>
    </row>
    <row r="5965" spans="2:4" x14ac:dyDescent="0.25">
      <c r="B5965">
        <f t="shared" ref="B5965:B6028" ca="1" si="281">$B$1*EXP((($B$4-($B$3^2)/2)*$B$5+$B$3*SQRT($B$5)*NORMSINV(RAND())))</f>
        <v>38949.470291346297</v>
      </c>
      <c r="C5965">
        <f t="shared" ca="1" si="279"/>
        <v>1050.529708653703</v>
      </c>
      <c r="D5965">
        <f t="shared" ca="1" si="280"/>
        <v>0</v>
      </c>
    </row>
    <row r="5966" spans="2:4" x14ac:dyDescent="0.25">
      <c r="B5966">
        <f t="shared" ca="1" si="281"/>
        <v>49413.673901503564</v>
      </c>
      <c r="C5966">
        <f t="shared" ca="1" si="279"/>
        <v>0</v>
      </c>
      <c r="D5966">
        <f t="shared" ca="1" si="280"/>
        <v>9413.6739015035637</v>
      </c>
    </row>
    <row r="5967" spans="2:4" x14ac:dyDescent="0.25">
      <c r="B5967">
        <f t="shared" ca="1" si="281"/>
        <v>43703.774044449718</v>
      </c>
      <c r="C5967">
        <f t="shared" ca="1" si="279"/>
        <v>0</v>
      </c>
      <c r="D5967">
        <f t="shared" ca="1" si="280"/>
        <v>3703.7740444497176</v>
      </c>
    </row>
    <row r="5968" spans="2:4" x14ac:dyDescent="0.25">
      <c r="B5968">
        <f t="shared" ca="1" si="281"/>
        <v>44342.436571959188</v>
      </c>
      <c r="C5968">
        <f t="shared" ca="1" si="279"/>
        <v>0</v>
      </c>
      <c r="D5968">
        <f t="shared" ca="1" si="280"/>
        <v>4342.4365719591879</v>
      </c>
    </row>
    <row r="5969" spans="2:4" x14ac:dyDescent="0.25">
      <c r="B5969">
        <f t="shared" ca="1" si="281"/>
        <v>46466.333334455834</v>
      </c>
      <c r="C5969">
        <f t="shared" ca="1" si="279"/>
        <v>0</v>
      </c>
      <c r="D5969">
        <f t="shared" ca="1" si="280"/>
        <v>6466.3333344558341</v>
      </c>
    </row>
    <row r="5970" spans="2:4" x14ac:dyDescent="0.25">
      <c r="B5970">
        <f t="shared" ca="1" si="281"/>
        <v>45063.459497813579</v>
      </c>
      <c r="C5970">
        <f t="shared" ca="1" si="279"/>
        <v>0</v>
      </c>
      <c r="D5970">
        <f t="shared" ca="1" si="280"/>
        <v>5063.4594978135792</v>
      </c>
    </row>
    <row r="5971" spans="2:4" x14ac:dyDescent="0.25">
      <c r="B5971">
        <f t="shared" ca="1" si="281"/>
        <v>43670.270578626398</v>
      </c>
      <c r="C5971">
        <f t="shared" ca="1" si="279"/>
        <v>0</v>
      </c>
      <c r="D5971">
        <f t="shared" ca="1" si="280"/>
        <v>3670.2705786263978</v>
      </c>
    </row>
    <row r="5972" spans="2:4" x14ac:dyDescent="0.25">
      <c r="B5972">
        <f t="shared" ca="1" si="281"/>
        <v>39474.256356726975</v>
      </c>
      <c r="C5972">
        <f t="shared" ca="1" si="279"/>
        <v>525.74364327302465</v>
      </c>
      <c r="D5972">
        <f t="shared" ca="1" si="280"/>
        <v>0</v>
      </c>
    </row>
    <row r="5973" spans="2:4" x14ac:dyDescent="0.25">
      <c r="B5973">
        <f t="shared" ca="1" si="281"/>
        <v>46941.972169394932</v>
      </c>
      <c r="C5973">
        <f t="shared" ca="1" si="279"/>
        <v>0</v>
      </c>
      <c r="D5973">
        <f t="shared" ca="1" si="280"/>
        <v>6941.9721693949323</v>
      </c>
    </row>
    <row r="5974" spans="2:4" x14ac:dyDescent="0.25">
      <c r="B5974">
        <f t="shared" ca="1" si="281"/>
        <v>49113.859714151113</v>
      </c>
      <c r="C5974">
        <f t="shared" ca="1" si="279"/>
        <v>0</v>
      </c>
      <c r="D5974">
        <f t="shared" ca="1" si="280"/>
        <v>9113.8597141511127</v>
      </c>
    </row>
    <row r="5975" spans="2:4" x14ac:dyDescent="0.25">
      <c r="B5975">
        <f t="shared" ca="1" si="281"/>
        <v>50178.918899249977</v>
      </c>
      <c r="C5975">
        <f t="shared" ca="1" si="279"/>
        <v>0</v>
      </c>
      <c r="D5975">
        <f t="shared" ca="1" si="280"/>
        <v>10178.918899249977</v>
      </c>
    </row>
    <row r="5976" spans="2:4" x14ac:dyDescent="0.25">
      <c r="B5976">
        <f t="shared" ca="1" si="281"/>
        <v>45163.855410256117</v>
      </c>
      <c r="C5976">
        <f t="shared" ca="1" si="279"/>
        <v>0</v>
      </c>
      <c r="D5976">
        <f t="shared" ca="1" si="280"/>
        <v>5163.8554102561175</v>
      </c>
    </row>
    <row r="5977" spans="2:4" x14ac:dyDescent="0.25">
      <c r="B5977">
        <f t="shared" ca="1" si="281"/>
        <v>51156.505575996904</v>
      </c>
      <c r="C5977">
        <f t="shared" ca="1" si="279"/>
        <v>0</v>
      </c>
      <c r="D5977">
        <f t="shared" ca="1" si="280"/>
        <v>11156.505575996904</v>
      </c>
    </row>
    <row r="5978" spans="2:4" x14ac:dyDescent="0.25">
      <c r="B5978">
        <f t="shared" ca="1" si="281"/>
        <v>41649.936928608928</v>
      </c>
      <c r="C5978">
        <f t="shared" ca="1" si="279"/>
        <v>0</v>
      </c>
      <c r="D5978">
        <f t="shared" ca="1" si="280"/>
        <v>1649.9369286089277</v>
      </c>
    </row>
    <row r="5979" spans="2:4" x14ac:dyDescent="0.25">
      <c r="B5979">
        <f t="shared" ca="1" si="281"/>
        <v>49592.90745337931</v>
      </c>
      <c r="C5979">
        <f t="shared" ca="1" si="279"/>
        <v>0</v>
      </c>
      <c r="D5979">
        <f t="shared" ca="1" si="280"/>
        <v>9592.90745337931</v>
      </c>
    </row>
    <row r="5980" spans="2:4" x14ac:dyDescent="0.25">
      <c r="B5980">
        <f t="shared" ca="1" si="281"/>
        <v>45152.126247985922</v>
      </c>
      <c r="C5980">
        <f t="shared" ca="1" si="279"/>
        <v>0</v>
      </c>
      <c r="D5980">
        <f t="shared" ca="1" si="280"/>
        <v>5152.1262479859215</v>
      </c>
    </row>
    <row r="5981" spans="2:4" x14ac:dyDescent="0.25">
      <c r="B5981">
        <f t="shared" ca="1" si="281"/>
        <v>49468.481228317782</v>
      </c>
      <c r="C5981">
        <f t="shared" ca="1" si="279"/>
        <v>0</v>
      </c>
      <c r="D5981">
        <f t="shared" ca="1" si="280"/>
        <v>9468.4812283177816</v>
      </c>
    </row>
    <row r="5982" spans="2:4" x14ac:dyDescent="0.25">
      <c r="B5982">
        <f t="shared" ca="1" si="281"/>
        <v>45790.580786496415</v>
      </c>
      <c r="C5982">
        <f t="shared" ca="1" si="279"/>
        <v>0</v>
      </c>
      <c r="D5982">
        <f t="shared" ca="1" si="280"/>
        <v>5790.5807864964154</v>
      </c>
    </row>
    <row r="5983" spans="2:4" x14ac:dyDescent="0.25">
      <c r="B5983">
        <f t="shared" ca="1" si="281"/>
        <v>52664.684232862302</v>
      </c>
      <c r="C5983">
        <f t="shared" ca="1" si="279"/>
        <v>0</v>
      </c>
      <c r="D5983">
        <f t="shared" ca="1" si="280"/>
        <v>12664.684232862302</v>
      </c>
    </row>
    <row r="5984" spans="2:4" x14ac:dyDescent="0.25">
      <c r="B5984">
        <f t="shared" ca="1" si="281"/>
        <v>57617.48968004404</v>
      </c>
      <c r="C5984">
        <f t="shared" ca="1" si="279"/>
        <v>0</v>
      </c>
      <c r="D5984">
        <f t="shared" ca="1" si="280"/>
        <v>17617.48968004404</v>
      </c>
    </row>
    <row r="5985" spans="2:4" x14ac:dyDescent="0.25">
      <c r="B5985">
        <f t="shared" ca="1" si="281"/>
        <v>48165.338900542745</v>
      </c>
      <c r="C5985">
        <f t="shared" ca="1" si="279"/>
        <v>0</v>
      </c>
      <c r="D5985">
        <f t="shared" ca="1" si="280"/>
        <v>8165.3389005427453</v>
      </c>
    </row>
    <row r="5986" spans="2:4" x14ac:dyDescent="0.25">
      <c r="B5986">
        <f t="shared" ca="1" si="281"/>
        <v>37651.744876306373</v>
      </c>
      <c r="C5986">
        <f t="shared" ca="1" si="279"/>
        <v>2348.255123693627</v>
      </c>
      <c r="D5986">
        <f t="shared" ca="1" si="280"/>
        <v>0</v>
      </c>
    </row>
    <row r="5987" spans="2:4" x14ac:dyDescent="0.25">
      <c r="B5987">
        <f t="shared" ca="1" si="281"/>
        <v>44329.269968985958</v>
      </c>
      <c r="C5987">
        <f t="shared" ca="1" si="279"/>
        <v>0</v>
      </c>
      <c r="D5987">
        <f t="shared" ca="1" si="280"/>
        <v>4329.2699689859583</v>
      </c>
    </row>
    <row r="5988" spans="2:4" x14ac:dyDescent="0.25">
      <c r="B5988">
        <f t="shared" ca="1" si="281"/>
        <v>39682.188334488019</v>
      </c>
      <c r="C5988">
        <f t="shared" ca="1" si="279"/>
        <v>317.81166551198112</v>
      </c>
      <c r="D5988">
        <f t="shared" ca="1" si="280"/>
        <v>0</v>
      </c>
    </row>
    <row r="5989" spans="2:4" x14ac:dyDescent="0.25">
      <c r="B5989">
        <f t="shared" ca="1" si="281"/>
        <v>43505.920513237725</v>
      </c>
      <c r="C5989">
        <f t="shared" ca="1" si="279"/>
        <v>0</v>
      </c>
      <c r="D5989">
        <f t="shared" ca="1" si="280"/>
        <v>3505.9205132377247</v>
      </c>
    </row>
    <row r="5990" spans="2:4" x14ac:dyDescent="0.25">
      <c r="B5990">
        <f t="shared" ca="1" si="281"/>
        <v>41826.464711553301</v>
      </c>
      <c r="C5990">
        <f t="shared" ca="1" si="279"/>
        <v>0</v>
      </c>
      <c r="D5990">
        <f t="shared" ca="1" si="280"/>
        <v>1826.4647115533007</v>
      </c>
    </row>
    <row r="5991" spans="2:4" x14ac:dyDescent="0.25">
      <c r="B5991">
        <f t="shared" ca="1" si="281"/>
        <v>49335.597926216498</v>
      </c>
      <c r="C5991">
        <f t="shared" ca="1" si="279"/>
        <v>0</v>
      </c>
      <c r="D5991">
        <f t="shared" ca="1" si="280"/>
        <v>9335.5979262164983</v>
      </c>
    </row>
    <row r="5992" spans="2:4" x14ac:dyDescent="0.25">
      <c r="B5992">
        <f t="shared" ca="1" si="281"/>
        <v>41242.020893440684</v>
      </c>
      <c r="C5992">
        <f t="shared" ca="1" si="279"/>
        <v>0</v>
      </c>
      <c r="D5992">
        <f t="shared" ca="1" si="280"/>
        <v>1242.0208934406837</v>
      </c>
    </row>
    <row r="5993" spans="2:4" x14ac:dyDescent="0.25">
      <c r="B5993">
        <f t="shared" ca="1" si="281"/>
        <v>42067.928236330816</v>
      </c>
      <c r="C5993">
        <f t="shared" ca="1" si="279"/>
        <v>0</v>
      </c>
      <c r="D5993">
        <f t="shared" ca="1" si="280"/>
        <v>2067.9282363308157</v>
      </c>
    </row>
    <row r="5994" spans="2:4" x14ac:dyDescent="0.25">
      <c r="B5994">
        <f t="shared" ca="1" si="281"/>
        <v>42254.097499454736</v>
      </c>
      <c r="C5994">
        <f t="shared" ca="1" si="279"/>
        <v>0</v>
      </c>
      <c r="D5994">
        <f t="shared" ca="1" si="280"/>
        <v>2254.097499454736</v>
      </c>
    </row>
    <row r="5995" spans="2:4" x14ac:dyDescent="0.25">
      <c r="B5995">
        <f t="shared" ca="1" si="281"/>
        <v>45161.616876947504</v>
      </c>
      <c r="C5995">
        <f t="shared" ca="1" si="279"/>
        <v>0</v>
      </c>
      <c r="D5995">
        <f t="shared" ca="1" si="280"/>
        <v>5161.6168769475044</v>
      </c>
    </row>
    <row r="5996" spans="2:4" x14ac:dyDescent="0.25">
      <c r="B5996">
        <f t="shared" ca="1" si="281"/>
        <v>41770.383937910337</v>
      </c>
      <c r="C5996">
        <f t="shared" ca="1" si="279"/>
        <v>0</v>
      </c>
      <c r="D5996">
        <f t="shared" ca="1" si="280"/>
        <v>1770.3839379103374</v>
      </c>
    </row>
    <row r="5997" spans="2:4" x14ac:dyDescent="0.25">
      <c r="B5997">
        <f t="shared" ca="1" si="281"/>
        <v>45256.897478536826</v>
      </c>
      <c r="C5997">
        <f t="shared" ca="1" si="279"/>
        <v>0</v>
      </c>
      <c r="D5997">
        <f t="shared" ca="1" si="280"/>
        <v>5256.8974785368264</v>
      </c>
    </row>
    <row r="5998" spans="2:4" x14ac:dyDescent="0.25">
      <c r="B5998">
        <f t="shared" ca="1" si="281"/>
        <v>38987.260164156833</v>
      </c>
      <c r="C5998">
        <f t="shared" ca="1" si="279"/>
        <v>1012.7398358431674</v>
      </c>
      <c r="D5998">
        <f t="shared" ca="1" si="280"/>
        <v>0</v>
      </c>
    </row>
    <row r="5999" spans="2:4" x14ac:dyDescent="0.25">
      <c r="B5999">
        <f t="shared" ca="1" si="281"/>
        <v>43821.608851777011</v>
      </c>
      <c r="C5999">
        <f t="shared" ca="1" si="279"/>
        <v>0</v>
      </c>
      <c r="D5999">
        <f t="shared" ca="1" si="280"/>
        <v>3821.6088517770113</v>
      </c>
    </row>
    <row r="6000" spans="2:4" x14ac:dyDescent="0.25">
      <c r="B6000">
        <f t="shared" ca="1" si="281"/>
        <v>43098.529081016793</v>
      </c>
      <c r="C6000">
        <f t="shared" ca="1" si="279"/>
        <v>0</v>
      </c>
      <c r="D6000">
        <f t="shared" ca="1" si="280"/>
        <v>3098.5290810167935</v>
      </c>
    </row>
    <row r="6001" spans="2:4" x14ac:dyDescent="0.25">
      <c r="B6001">
        <f t="shared" ca="1" si="281"/>
        <v>46710.225001113766</v>
      </c>
      <c r="C6001">
        <f t="shared" ca="1" si="279"/>
        <v>0</v>
      </c>
      <c r="D6001">
        <f t="shared" ca="1" si="280"/>
        <v>6710.2250011137658</v>
      </c>
    </row>
    <row r="6002" spans="2:4" x14ac:dyDescent="0.25">
      <c r="B6002">
        <f t="shared" ca="1" si="281"/>
        <v>49532.48543638613</v>
      </c>
      <c r="C6002">
        <f t="shared" ca="1" si="279"/>
        <v>0</v>
      </c>
      <c r="D6002">
        <f t="shared" ca="1" si="280"/>
        <v>9532.4854363861305</v>
      </c>
    </row>
    <row r="6003" spans="2:4" x14ac:dyDescent="0.25">
      <c r="B6003">
        <f t="shared" ca="1" si="281"/>
        <v>43347.119140838549</v>
      </c>
      <c r="C6003">
        <f t="shared" ca="1" si="279"/>
        <v>0</v>
      </c>
      <c r="D6003">
        <f t="shared" ca="1" si="280"/>
        <v>3347.1191408385494</v>
      </c>
    </row>
    <row r="6004" spans="2:4" x14ac:dyDescent="0.25">
      <c r="B6004">
        <f t="shared" ca="1" si="281"/>
        <v>40515.516032059102</v>
      </c>
      <c r="C6004">
        <f t="shared" ca="1" si="279"/>
        <v>0</v>
      </c>
      <c r="D6004">
        <f t="shared" ca="1" si="280"/>
        <v>515.51603205910214</v>
      </c>
    </row>
    <row r="6005" spans="2:4" x14ac:dyDescent="0.25">
      <c r="B6005">
        <f t="shared" ca="1" si="281"/>
        <v>43257.866043746959</v>
      </c>
      <c r="C6005">
        <f t="shared" ca="1" si="279"/>
        <v>0</v>
      </c>
      <c r="D6005">
        <f t="shared" ca="1" si="280"/>
        <v>3257.8660437469589</v>
      </c>
    </row>
    <row r="6006" spans="2:4" x14ac:dyDescent="0.25">
      <c r="B6006">
        <f t="shared" ca="1" si="281"/>
        <v>50760.619513181475</v>
      </c>
      <c r="C6006">
        <f t="shared" ca="1" si="279"/>
        <v>0</v>
      </c>
      <c r="D6006">
        <f t="shared" ca="1" si="280"/>
        <v>10760.619513181475</v>
      </c>
    </row>
    <row r="6007" spans="2:4" x14ac:dyDescent="0.25">
      <c r="B6007">
        <f t="shared" ca="1" si="281"/>
        <v>45718.462186353252</v>
      </c>
      <c r="C6007">
        <f t="shared" ca="1" si="279"/>
        <v>0</v>
      </c>
      <c r="D6007">
        <f t="shared" ca="1" si="280"/>
        <v>5718.462186353252</v>
      </c>
    </row>
    <row r="6008" spans="2:4" x14ac:dyDescent="0.25">
      <c r="B6008">
        <f t="shared" ca="1" si="281"/>
        <v>42367.898324863556</v>
      </c>
      <c r="C6008">
        <f t="shared" ca="1" si="279"/>
        <v>0</v>
      </c>
      <c r="D6008">
        <f t="shared" ca="1" si="280"/>
        <v>2367.8983248635559</v>
      </c>
    </row>
    <row r="6009" spans="2:4" x14ac:dyDescent="0.25">
      <c r="B6009">
        <f t="shared" ca="1" si="281"/>
        <v>44015.120820963646</v>
      </c>
      <c r="C6009">
        <f t="shared" ca="1" si="279"/>
        <v>0</v>
      </c>
      <c r="D6009">
        <f t="shared" ca="1" si="280"/>
        <v>4015.1208209636461</v>
      </c>
    </row>
    <row r="6010" spans="2:4" x14ac:dyDescent="0.25">
      <c r="B6010">
        <f t="shared" ca="1" si="281"/>
        <v>45543.93948712456</v>
      </c>
      <c r="C6010">
        <f t="shared" ca="1" si="279"/>
        <v>0</v>
      </c>
      <c r="D6010">
        <f t="shared" ca="1" si="280"/>
        <v>5543.9394871245604</v>
      </c>
    </row>
    <row r="6011" spans="2:4" x14ac:dyDescent="0.25">
      <c r="B6011">
        <f t="shared" ca="1" si="281"/>
        <v>53243.712806476331</v>
      </c>
      <c r="C6011">
        <f t="shared" ca="1" si="279"/>
        <v>0</v>
      </c>
      <c r="D6011">
        <f t="shared" ca="1" si="280"/>
        <v>13243.712806476331</v>
      </c>
    </row>
    <row r="6012" spans="2:4" x14ac:dyDescent="0.25">
      <c r="B6012">
        <f t="shared" ca="1" si="281"/>
        <v>41919.678870133204</v>
      </c>
      <c r="C6012">
        <f t="shared" ca="1" si="279"/>
        <v>0</v>
      </c>
      <c r="D6012">
        <f t="shared" ca="1" si="280"/>
        <v>1919.6788701332043</v>
      </c>
    </row>
    <row r="6013" spans="2:4" x14ac:dyDescent="0.25">
      <c r="B6013">
        <f t="shared" ca="1" si="281"/>
        <v>45643.140843179775</v>
      </c>
      <c r="C6013">
        <f t="shared" ca="1" si="279"/>
        <v>0</v>
      </c>
      <c r="D6013">
        <f t="shared" ca="1" si="280"/>
        <v>5643.1408431797754</v>
      </c>
    </row>
    <row r="6014" spans="2:4" x14ac:dyDescent="0.25">
      <c r="B6014">
        <f t="shared" ca="1" si="281"/>
        <v>35819.560410182181</v>
      </c>
      <c r="C6014">
        <f t="shared" ca="1" si="279"/>
        <v>4180.4395898178191</v>
      </c>
      <c r="D6014">
        <f t="shared" ca="1" si="280"/>
        <v>0</v>
      </c>
    </row>
    <row r="6015" spans="2:4" x14ac:dyDescent="0.25">
      <c r="B6015">
        <f t="shared" ca="1" si="281"/>
        <v>44039.091864366354</v>
      </c>
      <c r="C6015">
        <f t="shared" ca="1" si="279"/>
        <v>0</v>
      </c>
      <c r="D6015">
        <f t="shared" ca="1" si="280"/>
        <v>4039.0918643663535</v>
      </c>
    </row>
    <row r="6016" spans="2:4" x14ac:dyDescent="0.25">
      <c r="B6016">
        <f t="shared" ca="1" si="281"/>
        <v>39747.831351703848</v>
      </c>
      <c r="C6016">
        <f t="shared" ca="1" si="279"/>
        <v>252.16864829615224</v>
      </c>
      <c r="D6016">
        <f t="shared" ca="1" si="280"/>
        <v>0</v>
      </c>
    </row>
    <row r="6017" spans="2:4" x14ac:dyDescent="0.25">
      <c r="B6017">
        <f t="shared" ca="1" si="281"/>
        <v>36258.224761580248</v>
      </c>
      <c r="C6017">
        <f t="shared" ca="1" si="279"/>
        <v>3741.775238419752</v>
      </c>
      <c r="D6017">
        <f t="shared" ca="1" si="280"/>
        <v>0</v>
      </c>
    </row>
    <row r="6018" spans="2:4" x14ac:dyDescent="0.25">
      <c r="B6018">
        <f t="shared" ca="1" si="281"/>
        <v>49252.679763474109</v>
      </c>
      <c r="C6018">
        <f t="shared" ca="1" si="279"/>
        <v>0</v>
      </c>
      <c r="D6018">
        <f t="shared" ca="1" si="280"/>
        <v>9252.6797634741088</v>
      </c>
    </row>
    <row r="6019" spans="2:4" x14ac:dyDescent="0.25">
      <c r="B6019">
        <f t="shared" ca="1" si="281"/>
        <v>38153.512070854224</v>
      </c>
      <c r="C6019">
        <f t="shared" ca="1" si="279"/>
        <v>1846.4879291457764</v>
      </c>
      <c r="D6019">
        <f t="shared" ca="1" si="280"/>
        <v>0</v>
      </c>
    </row>
    <row r="6020" spans="2:4" x14ac:dyDescent="0.25">
      <c r="B6020">
        <f t="shared" ca="1" si="281"/>
        <v>43625.187624340462</v>
      </c>
      <c r="C6020">
        <f t="shared" ca="1" si="279"/>
        <v>0</v>
      </c>
      <c r="D6020">
        <f t="shared" ca="1" si="280"/>
        <v>3625.1876243404622</v>
      </c>
    </row>
    <row r="6021" spans="2:4" x14ac:dyDescent="0.25">
      <c r="B6021">
        <f t="shared" ca="1" si="281"/>
        <v>50175.826582172995</v>
      </c>
      <c r="C6021">
        <f t="shared" ca="1" si="279"/>
        <v>0</v>
      </c>
      <c r="D6021">
        <f t="shared" ca="1" si="280"/>
        <v>10175.826582172995</v>
      </c>
    </row>
    <row r="6022" spans="2:4" x14ac:dyDescent="0.25">
      <c r="B6022">
        <f t="shared" ca="1" si="281"/>
        <v>37920.421274534099</v>
      </c>
      <c r="C6022">
        <f t="shared" ca="1" si="279"/>
        <v>2079.5787254659008</v>
      </c>
      <c r="D6022">
        <f t="shared" ca="1" si="280"/>
        <v>0</v>
      </c>
    </row>
    <row r="6023" spans="2:4" x14ac:dyDescent="0.25">
      <c r="B6023">
        <f t="shared" ca="1" si="281"/>
        <v>45617.38837098371</v>
      </c>
      <c r="C6023">
        <f t="shared" ca="1" si="279"/>
        <v>0</v>
      </c>
      <c r="D6023">
        <f t="shared" ca="1" si="280"/>
        <v>5617.38837098371</v>
      </c>
    </row>
    <row r="6024" spans="2:4" x14ac:dyDescent="0.25">
      <c r="B6024">
        <f t="shared" ca="1" si="281"/>
        <v>47919.947359548729</v>
      </c>
      <c r="C6024">
        <f t="shared" ca="1" si="279"/>
        <v>0</v>
      </c>
      <c r="D6024">
        <f t="shared" ca="1" si="280"/>
        <v>7919.9473595487289</v>
      </c>
    </row>
    <row r="6025" spans="2:4" x14ac:dyDescent="0.25">
      <c r="B6025">
        <f t="shared" ca="1" si="281"/>
        <v>40859.619221934256</v>
      </c>
      <c r="C6025">
        <f t="shared" ca="1" si="279"/>
        <v>0</v>
      </c>
      <c r="D6025">
        <f t="shared" ca="1" si="280"/>
        <v>859.61922193425562</v>
      </c>
    </row>
    <row r="6026" spans="2:4" x14ac:dyDescent="0.25">
      <c r="B6026">
        <f t="shared" ca="1" si="281"/>
        <v>51406.733939346399</v>
      </c>
      <c r="C6026">
        <f t="shared" ca="1" si="279"/>
        <v>0</v>
      </c>
      <c r="D6026">
        <f t="shared" ca="1" si="280"/>
        <v>11406.733939346399</v>
      </c>
    </row>
    <row r="6027" spans="2:4" x14ac:dyDescent="0.25">
      <c r="B6027">
        <f t="shared" ca="1" si="281"/>
        <v>49039.072717101757</v>
      </c>
      <c r="C6027">
        <f t="shared" ca="1" si="279"/>
        <v>0</v>
      </c>
      <c r="D6027">
        <f t="shared" ca="1" si="280"/>
        <v>9039.072717101757</v>
      </c>
    </row>
    <row r="6028" spans="2:4" x14ac:dyDescent="0.25">
      <c r="B6028">
        <f t="shared" ca="1" si="281"/>
        <v>48593.406022088275</v>
      </c>
      <c r="C6028">
        <f t="shared" ref="C6028:C6091" ca="1" si="282">IF(MAX($B$2-B6028)&lt;0,0,$B$2-B6028)</f>
        <v>0</v>
      </c>
      <c r="D6028">
        <f t="shared" ref="D6028:D6091" ca="1" si="283">IF(MAX(B6028-$B$2)&lt;0,0,B6028-$B$2)</f>
        <v>8593.4060220882748</v>
      </c>
    </row>
    <row r="6029" spans="2:4" x14ac:dyDescent="0.25">
      <c r="B6029">
        <f t="shared" ref="B6029:B6092" ca="1" si="284">$B$1*EXP((($B$4-($B$3^2)/2)*$B$5+$B$3*SQRT($B$5)*NORMSINV(RAND())))</f>
        <v>44186.474000727758</v>
      </c>
      <c r="C6029">
        <f t="shared" ca="1" si="282"/>
        <v>0</v>
      </c>
      <c r="D6029">
        <f t="shared" ca="1" si="283"/>
        <v>4186.4740007277578</v>
      </c>
    </row>
    <row r="6030" spans="2:4" x14ac:dyDescent="0.25">
      <c r="B6030">
        <f t="shared" ca="1" si="284"/>
        <v>53435.613276434786</v>
      </c>
      <c r="C6030">
        <f t="shared" ca="1" si="282"/>
        <v>0</v>
      </c>
      <c r="D6030">
        <f t="shared" ca="1" si="283"/>
        <v>13435.613276434786</v>
      </c>
    </row>
    <row r="6031" spans="2:4" x14ac:dyDescent="0.25">
      <c r="B6031">
        <f t="shared" ca="1" si="284"/>
        <v>48227.431028469342</v>
      </c>
      <c r="C6031">
        <f t="shared" ca="1" si="282"/>
        <v>0</v>
      </c>
      <c r="D6031">
        <f t="shared" ca="1" si="283"/>
        <v>8227.431028469342</v>
      </c>
    </row>
    <row r="6032" spans="2:4" x14ac:dyDescent="0.25">
      <c r="B6032">
        <f t="shared" ca="1" si="284"/>
        <v>47693.289914809167</v>
      </c>
      <c r="C6032">
        <f t="shared" ca="1" si="282"/>
        <v>0</v>
      </c>
      <c r="D6032">
        <f t="shared" ca="1" si="283"/>
        <v>7693.2899148091674</v>
      </c>
    </row>
    <row r="6033" spans="2:4" x14ac:dyDescent="0.25">
      <c r="B6033">
        <f t="shared" ca="1" si="284"/>
        <v>39261.290043665947</v>
      </c>
      <c r="C6033">
        <f t="shared" ca="1" si="282"/>
        <v>738.70995633405255</v>
      </c>
      <c r="D6033">
        <f t="shared" ca="1" si="283"/>
        <v>0</v>
      </c>
    </row>
    <row r="6034" spans="2:4" x14ac:dyDescent="0.25">
      <c r="B6034">
        <f t="shared" ca="1" si="284"/>
        <v>44928.526118879687</v>
      </c>
      <c r="C6034">
        <f t="shared" ca="1" si="282"/>
        <v>0</v>
      </c>
      <c r="D6034">
        <f t="shared" ca="1" si="283"/>
        <v>4928.5261188796867</v>
      </c>
    </row>
    <row r="6035" spans="2:4" x14ac:dyDescent="0.25">
      <c r="B6035">
        <f t="shared" ca="1" si="284"/>
        <v>46638.216147940599</v>
      </c>
      <c r="C6035">
        <f t="shared" ca="1" si="282"/>
        <v>0</v>
      </c>
      <c r="D6035">
        <f t="shared" ca="1" si="283"/>
        <v>6638.2161479405986</v>
      </c>
    </row>
    <row r="6036" spans="2:4" x14ac:dyDescent="0.25">
      <c r="B6036">
        <f t="shared" ca="1" si="284"/>
        <v>51192.409999135067</v>
      </c>
      <c r="C6036">
        <f t="shared" ca="1" si="282"/>
        <v>0</v>
      </c>
      <c r="D6036">
        <f t="shared" ca="1" si="283"/>
        <v>11192.409999135067</v>
      </c>
    </row>
    <row r="6037" spans="2:4" x14ac:dyDescent="0.25">
      <c r="B6037">
        <f t="shared" ca="1" si="284"/>
        <v>42903.835122484212</v>
      </c>
      <c r="C6037">
        <f t="shared" ca="1" si="282"/>
        <v>0</v>
      </c>
      <c r="D6037">
        <f t="shared" ca="1" si="283"/>
        <v>2903.8351224842118</v>
      </c>
    </row>
    <row r="6038" spans="2:4" x14ac:dyDescent="0.25">
      <c r="B6038">
        <f t="shared" ca="1" si="284"/>
        <v>44191.2047395271</v>
      </c>
      <c r="C6038">
        <f t="shared" ca="1" si="282"/>
        <v>0</v>
      </c>
      <c r="D6038">
        <f t="shared" ca="1" si="283"/>
        <v>4191.2047395271002</v>
      </c>
    </row>
    <row r="6039" spans="2:4" x14ac:dyDescent="0.25">
      <c r="B6039">
        <f t="shared" ca="1" si="284"/>
        <v>44105.933627441278</v>
      </c>
      <c r="C6039">
        <f t="shared" ca="1" si="282"/>
        <v>0</v>
      </c>
      <c r="D6039">
        <f t="shared" ca="1" si="283"/>
        <v>4105.9336274412781</v>
      </c>
    </row>
    <row r="6040" spans="2:4" x14ac:dyDescent="0.25">
      <c r="B6040">
        <f t="shared" ca="1" si="284"/>
        <v>46041.472206725171</v>
      </c>
      <c r="C6040">
        <f t="shared" ca="1" si="282"/>
        <v>0</v>
      </c>
      <c r="D6040">
        <f t="shared" ca="1" si="283"/>
        <v>6041.4722067251714</v>
      </c>
    </row>
    <row r="6041" spans="2:4" x14ac:dyDescent="0.25">
      <c r="B6041">
        <f t="shared" ca="1" si="284"/>
        <v>43370.971702537332</v>
      </c>
      <c r="C6041">
        <f t="shared" ca="1" si="282"/>
        <v>0</v>
      </c>
      <c r="D6041">
        <f t="shared" ca="1" si="283"/>
        <v>3370.971702537332</v>
      </c>
    </row>
    <row r="6042" spans="2:4" x14ac:dyDescent="0.25">
      <c r="B6042">
        <f t="shared" ca="1" si="284"/>
        <v>45313.926286572096</v>
      </c>
      <c r="C6042">
        <f t="shared" ca="1" si="282"/>
        <v>0</v>
      </c>
      <c r="D6042">
        <f t="shared" ca="1" si="283"/>
        <v>5313.9262865720957</v>
      </c>
    </row>
    <row r="6043" spans="2:4" x14ac:dyDescent="0.25">
      <c r="B6043">
        <f t="shared" ca="1" si="284"/>
        <v>39086.839045311557</v>
      </c>
      <c r="C6043">
        <f t="shared" ca="1" si="282"/>
        <v>913.16095468844287</v>
      </c>
      <c r="D6043">
        <f t="shared" ca="1" si="283"/>
        <v>0</v>
      </c>
    </row>
    <row r="6044" spans="2:4" x14ac:dyDescent="0.25">
      <c r="B6044">
        <f t="shared" ca="1" si="284"/>
        <v>46280.338392928112</v>
      </c>
      <c r="C6044">
        <f t="shared" ca="1" si="282"/>
        <v>0</v>
      </c>
      <c r="D6044">
        <f t="shared" ca="1" si="283"/>
        <v>6280.3383929281117</v>
      </c>
    </row>
    <row r="6045" spans="2:4" x14ac:dyDescent="0.25">
      <c r="B6045">
        <f t="shared" ca="1" si="284"/>
        <v>40467.057871036151</v>
      </c>
      <c r="C6045">
        <f t="shared" ca="1" si="282"/>
        <v>0</v>
      </c>
      <c r="D6045">
        <f t="shared" ca="1" si="283"/>
        <v>467.05787103615148</v>
      </c>
    </row>
    <row r="6046" spans="2:4" x14ac:dyDescent="0.25">
      <c r="B6046">
        <f t="shared" ca="1" si="284"/>
        <v>43160.764144613859</v>
      </c>
      <c r="C6046">
        <f t="shared" ca="1" si="282"/>
        <v>0</v>
      </c>
      <c r="D6046">
        <f t="shared" ca="1" si="283"/>
        <v>3160.7641446138587</v>
      </c>
    </row>
    <row r="6047" spans="2:4" x14ac:dyDescent="0.25">
      <c r="B6047">
        <f t="shared" ca="1" si="284"/>
        <v>44422.893838919867</v>
      </c>
      <c r="C6047">
        <f t="shared" ca="1" si="282"/>
        <v>0</v>
      </c>
      <c r="D6047">
        <f t="shared" ca="1" si="283"/>
        <v>4422.8938389198665</v>
      </c>
    </row>
    <row r="6048" spans="2:4" x14ac:dyDescent="0.25">
      <c r="B6048">
        <f t="shared" ca="1" si="284"/>
        <v>38614.948613888177</v>
      </c>
      <c r="C6048">
        <f t="shared" ca="1" si="282"/>
        <v>1385.0513861118234</v>
      </c>
      <c r="D6048">
        <f t="shared" ca="1" si="283"/>
        <v>0</v>
      </c>
    </row>
    <row r="6049" spans="2:4" x14ac:dyDescent="0.25">
      <c r="B6049">
        <f t="shared" ca="1" si="284"/>
        <v>41125.074156101662</v>
      </c>
      <c r="C6049">
        <f t="shared" ca="1" si="282"/>
        <v>0</v>
      </c>
      <c r="D6049">
        <f t="shared" ca="1" si="283"/>
        <v>1125.0741561016621</v>
      </c>
    </row>
    <row r="6050" spans="2:4" x14ac:dyDescent="0.25">
      <c r="B6050">
        <f t="shared" ca="1" si="284"/>
        <v>50076.760729741356</v>
      </c>
      <c r="C6050">
        <f t="shared" ca="1" si="282"/>
        <v>0</v>
      </c>
      <c r="D6050">
        <f t="shared" ca="1" si="283"/>
        <v>10076.760729741356</v>
      </c>
    </row>
    <row r="6051" spans="2:4" x14ac:dyDescent="0.25">
      <c r="B6051">
        <f t="shared" ca="1" si="284"/>
        <v>46998.801001734173</v>
      </c>
      <c r="C6051">
        <f t="shared" ca="1" si="282"/>
        <v>0</v>
      </c>
      <c r="D6051">
        <f t="shared" ca="1" si="283"/>
        <v>6998.801001734173</v>
      </c>
    </row>
    <row r="6052" spans="2:4" x14ac:dyDescent="0.25">
      <c r="B6052">
        <f t="shared" ca="1" si="284"/>
        <v>40048.761270022216</v>
      </c>
      <c r="C6052">
        <f t="shared" ca="1" si="282"/>
        <v>0</v>
      </c>
      <c r="D6052">
        <f t="shared" ca="1" si="283"/>
        <v>48.761270022216195</v>
      </c>
    </row>
    <row r="6053" spans="2:4" x14ac:dyDescent="0.25">
      <c r="B6053">
        <f t="shared" ca="1" si="284"/>
        <v>43874.2176758317</v>
      </c>
      <c r="C6053">
        <f t="shared" ca="1" si="282"/>
        <v>0</v>
      </c>
      <c r="D6053">
        <f t="shared" ca="1" si="283"/>
        <v>3874.2176758317</v>
      </c>
    </row>
    <row r="6054" spans="2:4" x14ac:dyDescent="0.25">
      <c r="B6054">
        <f t="shared" ca="1" si="284"/>
        <v>44410.140722053562</v>
      </c>
      <c r="C6054">
        <f t="shared" ca="1" si="282"/>
        <v>0</v>
      </c>
      <c r="D6054">
        <f t="shared" ca="1" si="283"/>
        <v>4410.1407220535621</v>
      </c>
    </row>
    <row r="6055" spans="2:4" x14ac:dyDescent="0.25">
      <c r="B6055">
        <f t="shared" ca="1" si="284"/>
        <v>50307.271260561196</v>
      </c>
      <c r="C6055">
        <f t="shared" ca="1" si="282"/>
        <v>0</v>
      </c>
      <c r="D6055">
        <f t="shared" ca="1" si="283"/>
        <v>10307.271260561196</v>
      </c>
    </row>
    <row r="6056" spans="2:4" x14ac:dyDescent="0.25">
      <c r="B6056">
        <f t="shared" ca="1" si="284"/>
        <v>47174.236784221219</v>
      </c>
      <c r="C6056">
        <f t="shared" ca="1" si="282"/>
        <v>0</v>
      </c>
      <c r="D6056">
        <f t="shared" ca="1" si="283"/>
        <v>7174.2367842212188</v>
      </c>
    </row>
    <row r="6057" spans="2:4" x14ac:dyDescent="0.25">
      <c r="B6057">
        <f t="shared" ca="1" si="284"/>
        <v>50561.142431256099</v>
      </c>
      <c r="C6057">
        <f t="shared" ca="1" si="282"/>
        <v>0</v>
      </c>
      <c r="D6057">
        <f t="shared" ca="1" si="283"/>
        <v>10561.142431256099</v>
      </c>
    </row>
    <row r="6058" spans="2:4" x14ac:dyDescent="0.25">
      <c r="B6058">
        <f t="shared" ca="1" si="284"/>
        <v>39574.745395693637</v>
      </c>
      <c r="C6058">
        <f t="shared" ca="1" si="282"/>
        <v>425.25460430636303</v>
      </c>
      <c r="D6058">
        <f t="shared" ca="1" si="283"/>
        <v>0</v>
      </c>
    </row>
    <row r="6059" spans="2:4" x14ac:dyDescent="0.25">
      <c r="B6059">
        <f t="shared" ca="1" si="284"/>
        <v>41452.996465599928</v>
      </c>
      <c r="C6059">
        <f t="shared" ca="1" si="282"/>
        <v>0</v>
      </c>
      <c r="D6059">
        <f t="shared" ca="1" si="283"/>
        <v>1452.9964655999283</v>
      </c>
    </row>
    <row r="6060" spans="2:4" x14ac:dyDescent="0.25">
      <c r="B6060">
        <f t="shared" ca="1" si="284"/>
        <v>54464.510839782793</v>
      </c>
      <c r="C6060">
        <f t="shared" ca="1" si="282"/>
        <v>0</v>
      </c>
      <c r="D6060">
        <f t="shared" ca="1" si="283"/>
        <v>14464.510839782793</v>
      </c>
    </row>
    <row r="6061" spans="2:4" x14ac:dyDescent="0.25">
      <c r="B6061">
        <f t="shared" ca="1" si="284"/>
        <v>41448.738100731098</v>
      </c>
      <c r="C6061">
        <f t="shared" ca="1" si="282"/>
        <v>0</v>
      </c>
      <c r="D6061">
        <f t="shared" ca="1" si="283"/>
        <v>1448.7381007310978</v>
      </c>
    </row>
    <row r="6062" spans="2:4" x14ac:dyDescent="0.25">
      <c r="B6062">
        <f t="shared" ca="1" si="284"/>
        <v>39916.894345827772</v>
      </c>
      <c r="C6062">
        <f t="shared" ca="1" si="282"/>
        <v>83.105654172228242</v>
      </c>
      <c r="D6062">
        <f t="shared" ca="1" si="283"/>
        <v>0</v>
      </c>
    </row>
    <row r="6063" spans="2:4" x14ac:dyDescent="0.25">
      <c r="B6063">
        <f t="shared" ca="1" si="284"/>
        <v>47568.405092500579</v>
      </c>
      <c r="C6063">
        <f t="shared" ca="1" si="282"/>
        <v>0</v>
      </c>
      <c r="D6063">
        <f t="shared" ca="1" si="283"/>
        <v>7568.4050925005795</v>
      </c>
    </row>
    <row r="6064" spans="2:4" x14ac:dyDescent="0.25">
      <c r="B6064">
        <f t="shared" ca="1" si="284"/>
        <v>33668.644988468819</v>
      </c>
      <c r="C6064">
        <f t="shared" ca="1" si="282"/>
        <v>6331.3550115311809</v>
      </c>
      <c r="D6064">
        <f t="shared" ca="1" si="283"/>
        <v>0</v>
      </c>
    </row>
    <row r="6065" spans="2:4" x14ac:dyDescent="0.25">
      <c r="B6065">
        <f t="shared" ca="1" si="284"/>
        <v>43118.758308461889</v>
      </c>
      <c r="C6065">
        <f t="shared" ca="1" si="282"/>
        <v>0</v>
      </c>
      <c r="D6065">
        <f t="shared" ca="1" si="283"/>
        <v>3118.7583084618891</v>
      </c>
    </row>
    <row r="6066" spans="2:4" x14ac:dyDescent="0.25">
      <c r="B6066">
        <f t="shared" ca="1" si="284"/>
        <v>40826.574071433432</v>
      </c>
      <c r="C6066">
        <f t="shared" ca="1" si="282"/>
        <v>0</v>
      </c>
      <c r="D6066">
        <f t="shared" ca="1" si="283"/>
        <v>826.57407143343153</v>
      </c>
    </row>
    <row r="6067" spans="2:4" x14ac:dyDescent="0.25">
      <c r="B6067">
        <f t="shared" ca="1" si="284"/>
        <v>45402.926672501861</v>
      </c>
      <c r="C6067">
        <f t="shared" ca="1" si="282"/>
        <v>0</v>
      </c>
      <c r="D6067">
        <f t="shared" ca="1" si="283"/>
        <v>5402.9266725018606</v>
      </c>
    </row>
    <row r="6068" spans="2:4" x14ac:dyDescent="0.25">
      <c r="B6068">
        <f t="shared" ca="1" si="284"/>
        <v>39736.346474572732</v>
      </c>
      <c r="C6068">
        <f t="shared" ca="1" si="282"/>
        <v>263.6535254272676</v>
      </c>
      <c r="D6068">
        <f t="shared" ca="1" si="283"/>
        <v>0</v>
      </c>
    </row>
    <row r="6069" spans="2:4" x14ac:dyDescent="0.25">
      <c r="B6069">
        <f t="shared" ca="1" si="284"/>
        <v>35239.579657643764</v>
      </c>
      <c r="C6069">
        <f t="shared" ca="1" si="282"/>
        <v>4760.4203423562358</v>
      </c>
      <c r="D6069">
        <f t="shared" ca="1" si="283"/>
        <v>0</v>
      </c>
    </row>
    <row r="6070" spans="2:4" x14ac:dyDescent="0.25">
      <c r="B6070">
        <f t="shared" ca="1" si="284"/>
        <v>36661.525886444535</v>
      </c>
      <c r="C6070">
        <f t="shared" ca="1" si="282"/>
        <v>3338.474113555465</v>
      </c>
      <c r="D6070">
        <f t="shared" ca="1" si="283"/>
        <v>0</v>
      </c>
    </row>
    <row r="6071" spans="2:4" x14ac:dyDescent="0.25">
      <c r="B6071">
        <f t="shared" ca="1" si="284"/>
        <v>41478.328447097439</v>
      </c>
      <c r="C6071">
        <f t="shared" ca="1" si="282"/>
        <v>0</v>
      </c>
      <c r="D6071">
        <f t="shared" ca="1" si="283"/>
        <v>1478.3284470974395</v>
      </c>
    </row>
    <row r="6072" spans="2:4" x14ac:dyDescent="0.25">
      <c r="B6072">
        <f t="shared" ca="1" si="284"/>
        <v>46187.30895043919</v>
      </c>
      <c r="C6072">
        <f t="shared" ca="1" si="282"/>
        <v>0</v>
      </c>
      <c r="D6072">
        <f t="shared" ca="1" si="283"/>
        <v>6187.3089504391901</v>
      </c>
    </row>
    <row r="6073" spans="2:4" x14ac:dyDescent="0.25">
      <c r="B6073">
        <f t="shared" ca="1" si="284"/>
        <v>48060.67617171898</v>
      </c>
      <c r="C6073">
        <f t="shared" ca="1" si="282"/>
        <v>0</v>
      </c>
      <c r="D6073">
        <f t="shared" ca="1" si="283"/>
        <v>8060.6761717189802</v>
      </c>
    </row>
    <row r="6074" spans="2:4" x14ac:dyDescent="0.25">
      <c r="B6074">
        <f t="shared" ca="1" si="284"/>
        <v>44741.184523773438</v>
      </c>
      <c r="C6074">
        <f t="shared" ca="1" si="282"/>
        <v>0</v>
      </c>
      <c r="D6074">
        <f t="shared" ca="1" si="283"/>
        <v>4741.1845237734378</v>
      </c>
    </row>
    <row r="6075" spans="2:4" x14ac:dyDescent="0.25">
      <c r="B6075">
        <f t="shared" ca="1" si="284"/>
        <v>45314.792147378939</v>
      </c>
      <c r="C6075">
        <f t="shared" ca="1" si="282"/>
        <v>0</v>
      </c>
      <c r="D6075">
        <f t="shared" ca="1" si="283"/>
        <v>5314.7921473789393</v>
      </c>
    </row>
    <row r="6076" spans="2:4" x14ac:dyDescent="0.25">
      <c r="B6076">
        <f t="shared" ca="1" si="284"/>
        <v>37643.805697157943</v>
      </c>
      <c r="C6076">
        <f t="shared" ca="1" si="282"/>
        <v>2356.1943028420574</v>
      </c>
      <c r="D6076">
        <f t="shared" ca="1" si="283"/>
        <v>0</v>
      </c>
    </row>
    <row r="6077" spans="2:4" x14ac:dyDescent="0.25">
      <c r="B6077">
        <f t="shared" ca="1" si="284"/>
        <v>45148.666788901392</v>
      </c>
      <c r="C6077">
        <f t="shared" ca="1" si="282"/>
        <v>0</v>
      </c>
      <c r="D6077">
        <f t="shared" ca="1" si="283"/>
        <v>5148.6667889013916</v>
      </c>
    </row>
    <row r="6078" spans="2:4" x14ac:dyDescent="0.25">
      <c r="B6078">
        <f t="shared" ca="1" si="284"/>
        <v>48196.863030643683</v>
      </c>
      <c r="C6078">
        <f t="shared" ca="1" si="282"/>
        <v>0</v>
      </c>
      <c r="D6078">
        <f t="shared" ca="1" si="283"/>
        <v>8196.8630306436826</v>
      </c>
    </row>
    <row r="6079" spans="2:4" x14ac:dyDescent="0.25">
      <c r="B6079">
        <f t="shared" ca="1" si="284"/>
        <v>45504.511051125904</v>
      </c>
      <c r="C6079">
        <f t="shared" ca="1" si="282"/>
        <v>0</v>
      </c>
      <c r="D6079">
        <f t="shared" ca="1" si="283"/>
        <v>5504.5110511259045</v>
      </c>
    </row>
    <row r="6080" spans="2:4" x14ac:dyDescent="0.25">
      <c r="B6080">
        <f t="shared" ca="1" si="284"/>
        <v>49602.546715429897</v>
      </c>
      <c r="C6080">
        <f t="shared" ca="1" si="282"/>
        <v>0</v>
      </c>
      <c r="D6080">
        <f t="shared" ca="1" si="283"/>
        <v>9602.5467154298967</v>
      </c>
    </row>
    <row r="6081" spans="2:4" x14ac:dyDescent="0.25">
      <c r="B6081">
        <f t="shared" ca="1" si="284"/>
        <v>47555.347269913611</v>
      </c>
      <c r="C6081">
        <f t="shared" ca="1" si="282"/>
        <v>0</v>
      </c>
      <c r="D6081">
        <f t="shared" ca="1" si="283"/>
        <v>7555.3472699136109</v>
      </c>
    </row>
    <row r="6082" spans="2:4" x14ac:dyDescent="0.25">
      <c r="B6082">
        <f t="shared" ca="1" si="284"/>
        <v>41782.423299102593</v>
      </c>
      <c r="C6082">
        <f t="shared" ca="1" si="282"/>
        <v>0</v>
      </c>
      <c r="D6082">
        <f t="shared" ca="1" si="283"/>
        <v>1782.4232991025929</v>
      </c>
    </row>
    <row r="6083" spans="2:4" x14ac:dyDescent="0.25">
      <c r="B6083">
        <f t="shared" ca="1" si="284"/>
        <v>44535.184508064871</v>
      </c>
      <c r="C6083">
        <f t="shared" ca="1" si="282"/>
        <v>0</v>
      </c>
      <c r="D6083">
        <f t="shared" ca="1" si="283"/>
        <v>4535.1845080648709</v>
      </c>
    </row>
    <row r="6084" spans="2:4" x14ac:dyDescent="0.25">
      <c r="B6084">
        <f t="shared" ca="1" si="284"/>
        <v>46665.45988851093</v>
      </c>
      <c r="C6084">
        <f t="shared" ca="1" si="282"/>
        <v>0</v>
      </c>
      <c r="D6084">
        <f t="shared" ca="1" si="283"/>
        <v>6665.4598885109299</v>
      </c>
    </row>
    <row r="6085" spans="2:4" x14ac:dyDescent="0.25">
      <c r="B6085">
        <f t="shared" ca="1" si="284"/>
        <v>47122.013774865743</v>
      </c>
      <c r="C6085">
        <f t="shared" ca="1" si="282"/>
        <v>0</v>
      </c>
      <c r="D6085">
        <f t="shared" ca="1" si="283"/>
        <v>7122.0137748657435</v>
      </c>
    </row>
    <row r="6086" spans="2:4" x14ac:dyDescent="0.25">
      <c r="B6086">
        <f t="shared" ca="1" si="284"/>
        <v>54964.664320836586</v>
      </c>
      <c r="C6086">
        <f t="shared" ca="1" si="282"/>
        <v>0</v>
      </c>
      <c r="D6086">
        <f t="shared" ca="1" si="283"/>
        <v>14964.664320836586</v>
      </c>
    </row>
    <row r="6087" spans="2:4" x14ac:dyDescent="0.25">
      <c r="B6087">
        <f t="shared" ca="1" si="284"/>
        <v>50365.495363011774</v>
      </c>
      <c r="C6087">
        <f t="shared" ca="1" si="282"/>
        <v>0</v>
      </c>
      <c r="D6087">
        <f t="shared" ca="1" si="283"/>
        <v>10365.495363011774</v>
      </c>
    </row>
    <row r="6088" spans="2:4" x14ac:dyDescent="0.25">
      <c r="B6088">
        <f t="shared" ca="1" si="284"/>
        <v>49859.641084049239</v>
      </c>
      <c r="C6088">
        <f t="shared" ca="1" si="282"/>
        <v>0</v>
      </c>
      <c r="D6088">
        <f t="shared" ca="1" si="283"/>
        <v>9859.641084049239</v>
      </c>
    </row>
    <row r="6089" spans="2:4" x14ac:dyDescent="0.25">
      <c r="B6089">
        <f t="shared" ca="1" si="284"/>
        <v>42407.811402583517</v>
      </c>
      <c r="C6089">
        <f t="shared" ca="1" si="282"/>
        <v>0</v>
      </c>
      <c r="D6089">
        <f t="shared" ca="1" si="283"/>
        <v>2407.8114025835166</v>
      </c>
    </row>
    <row r="6090" spans="2:4" x14ac:dyDescent="0.25">
      <c r="B6090">
        <f t="shared" ca="1" si="284"/>
        <v>41776.647563437444</v>
      </c>
      <c r="C6090">
        <f t="shared" ca="1" si="282"/>
        <v>0</v>
      </c>
      <c r="D6090">
        <f t="shared" ca="1" si="283"/>
        <v>1776.6475634374438</v>
      </c>
    </row>
    <row r="6091" spans="2:4" x14ac:dyDescent="0.25">
      <c r="B6091">
        <f t="shared" ca="1" si="284"/>
        <v>41777.715632979824</v>
      </c>
      <c r="C6091">
        <f t="shared" ca="1" si="282"/>
        <v>0</v>
      </c>
      <c r="D6091">
        <f t="shared" ca="1" si="283"/>
        <v>1777.7156329798236</v>
      </c>
    </row>
    <row r="6092" spans="2:4" x14ac:dyDescent="0.25">
      <c r="B6092">
        <f t="shared" ca="1" si="284"/>
        <v>38967.298339945075</v>
      </c>
      <c r="C6092">
        <f t="shared" ref="C6092:C6155" ca="1" si="285">IF(MAX($B$2-B6092)&lt;0,0,$B$2-B6092)</f>
        <v>1032.701660054925</v>
      </c>
      <c r="D6092">
        <f t="shared" ref="D6092:D6155" ca="1" si="286">IF(MAX(B6092-$B$2)&lt;0,0,B6092-$B$2)</f>
        <v>0</v>
      </c>
    </row>
    <row r="6093" spans="2:4" x14ac:dyDescent="0.25">
      <c r="B6093">
        <f t="shared" ref="B6093:B6156" ca="1" si="287">$B$1*EXP((($B$4-($B$3^2)/2)*$B$5+$B$3*SQRT($B$5)*NORMSINV(RAND())))</f>
        <v>52798.537116902691</v>
      </c>
      <c r="C6093">
        <f t="shared" ca="1" si="285"/>
        <v>0</v>
      </c>
      <c r="D6093">
        <f t="shared" ca="1" si="286"/>
        <v>12798.537116902691</v>
      </c>
    </row>
    <row r="6094" spans="2:4" x14ac:dyDescent="0.25">
      <c r="B6094">
        <f t="shared" ca="1" si="287"/>
        <v>40078.468762236655</v>
      </c>
      <c r="C6094">
        <f t="shared" ca="1" si="285"/>
        <v>0</v>
      </c>
      <c r="D6094">
        <f t="shared" ca="1" si="286"/>
        <v>78.468762236654584</v>
      </c>
    </row>
    <row r="6095" spans="2:4" x14ac:dyDescent="0.25">
      <c r="B6095">
        <f t="shared" ca="1" si="287"/>
        <v>47302.170693722226</v>
      </c>
      <c r="C6095">
        <f t="shared" ca="1" si="285"/>
        <v>0</v>
      </c>
      <c r="D6095">
        <f t="shared" ca="1" si="286"/>
        <v>7302.1706937222261</v>
      </c>
    </row>
    <row r="6096" spans="2:4" x14ac:dyDescent="0.25">
      <c r="B6096">
        <f t="shared" ca="1" si="287"/>
        <v>40710.94508141515</v>
      </c>
      <c r="C6096">
        <f t="shared" ca="1" si="285"/>
        <v>0</v>
      </c>
      <c r="D6096">
        <f t="shared" ca="1" si="286"/>
        <v>710.94508141514962</v>
      </c>
    </row>
    <row r="6097" spans="2:4" x14ac:dyDescent="0.25">
      <c r="B6097">
        <f t="shared" ca="1" si="287"/>
        <v>55054.713373016493</v>
      </c>
      <c r="C6097">
        <f t="shared" ca="1" si="285"/>
        <v>0</v>
      </c>
      <c r="D6097">
        <f t="shared" ca="1" si="286"/>
        <v>15054.713373016493</v>
      </c>
    </row>
    <row r="6098" spans="2:4" x14ac:dyDescent="0.25">
      <c r="B6098">
        <f t="shared" ca="1" si="287"/>
        <v>40872.625975077186</v>
      </c>
      <c r="C6098">
        <f t="shared" ca="1" si="285"/>
        <v>0</v>
      </c>
      <c r="D6098">
        <f t="shared" ca="1" si="286"/>
        <v>872.62597507718601</v>
      </c>
    </row>
    <row r="6099" spans="2:4" x14ac:dyDescent="0.25">
      <c r="B6099">
        <f t="shared" ca="1" si="287"/>
        <v>38145.230540621465</v>
      </c>
      <c r="C6099">
        <f t="shared" ca="1" si="285"/>
        <v>1854.7694593785345</v>
      </c>
      <c r="D6099">
        <f t="shared" ca="1" si="286"/>
        <v>0</v>
      </c>
    </row>
    <row r="6100" spans="2:4" x14ac:dyDescent="0.25">
      <c r="B6100">
        <f t="shared" ca="1" si="287"/>
        <v>46820.076329728079</v>
      </c>
      <c r="C6100">
        <f t="shared" ca="1" si="285"/>
        <v>0</v>
      </c>
      <c r="D6100">
        <f t="shared" ca="1" si="286"/>
        <v>6820.0763297280791</v>
      </c>
    </row>
    <row r="6101" spans="2:4" x14ac:dyDescent="0.25">
      <c r="B6101">
        <f t="shared" ca="1" si="287"/>
        <v>45956.472675600438</v>
      </c>
      <c r="C6101">
        <f t="shared" ca="1" si="285"/>
        <v>0</v>
      </c>
      <c r="D6101">
        <f t="shared" ca="1" si="286"/>
        <v>5956.4726756004384</v>
      </c>
    </row>
    <row r="6102" spans="2:4" x14ac:dyDescent="0.25">
      <c r="B6102">
        <f t="shared" ca="1" si="287"/>
        <v>40908.152509105785</v>
      </c>
      <c r="C6102">
        <f t="shared" ca="1" si="285"/>
        <v>0</v>
      </c>
      <c r="D6102">
        <f t="shared" ca="1" si="286"/>
        <v>908.1525091057847</v>
      </c>
    </row>
    <row r="6103" spans="2:4" x14ac:dyDescent="0.25">
      <c r="B6103">
        <f t="shared" ca="1" si="287"/>
        <v>42393.520059284478</v>
      </c>
      <c r="C6103">
        <f t="shared" ca="1" si="285"/>
        <v>0</v>
      </c>
      <c r="D6103">
        <f t="shared" ca="1" si="286"/>
        <v>2393.5200592844776</v>
      </c>
    </row>
    <row r="6104" spans="2:4" x14ac:dyDescent="0.25">
      <c r="B6104">
        <f t="shared" ca="1" si="287"/>
        <v>49457.103244846105</v>
      </c>
      <c r="C6104">
        <f t="shared" ca="1" si="285"/>
        <v>0</v>
      </c>
      <c r="D6104">
        <f t="shared" ca="1" si="286"/>
        <v>9457.1032448461046</v>
      </c>
    </row>
    <row r="6105" spans="2:4" x14ac:dyDescent="0.25">
      <c r="B6105">
        <f t="shared" ca="1" si="287"/>
        <v>51264.226270092018</v>
      </c>
      <c r="C6105">
        <f t="shared" ca="1" si="285"/>
        <v>0</v>
      </c>
      <c r="D6105">
        <f t="shared" ca="1" si="286"/>
        <v>11264.226270092018</v>
      </c>
    </row>
    <row r="6106" spans="2:4" x14ac:dyDescent="0.25">
      <c r="B6106">
        <f t="shared" ca="1" si="287"/>
        <v>50400.313250619729</v>
      </c>
      <c r="C6106">
        <f t="shared" ca="1" si="285"/>
        <v>0</v>
      </c>
      <c r="D6106">
        <f t="shared" ca="1" si="286"/>
        <v>10400.313250619729</v>
      </c>
    </row>
    <row r="6107" spans="2:4" x14ac:dyDescent="0.25">
      <c r="B6107">
        <f t="shared" ca="1" si="287"/>
        <v>49490.984125273164</v>
      </c>
      <c r="C6107">
        <f t="shared" ca="1" si="285"/>
        <v>0</v>
      </c>
      <c r="D6107">
        <f t="shared" ca="1" si="286"/>
        <v>9490.984125273164</v>
      </c>
    </row>
    <row r="6108" spans="2:4" x14ac:dyDescent="0.25">
      <c r="B6108">
        <f t="shared" ca="1" si="287"/>
        <v>43860.819191566428</v>
      </c>
      <c r="C6108">
        <f t="shared" ca="1" si="285"/>
        <v>0</v>
      </c>
      <c r="D6108">
        <f t="shared" ca="1" si="286"/>
        <v>3860.8191915664283</v>
      </c>
    </row>
    <row r="6109" spans="2:4" x14ac:dyDescent="0.25">
      <c r="B6109">
        <f t="shared" ca="1" si="287"/>
        <v>46515.776892543516</v>
      </c>
      <c r="C6109">
        <f t="shared" ca="1" si="285"/>
        <v>0</v>
      </c>
      <c r="D6109">
        <f t="shared" ca="1" si="286"/>
        <v>6515.7768925435157</v>
      </c>
    </row>
    <row r="6110" spans="2:4" x14ac:dyDescent="0.25">
      <c r="B6110">
        <f t="shared" ca="1" si="287"/>
        <v>43610.221415980239</v>
      </c>
      <c r="C6110">
        <f t="shared" ca="1" si="285"/>
        <v>0</v>
      </c>
      <c r="D6110">
        <f t="shared" ca="1" si="286"/>
        <v>3610.2214159802388</v>
      </c>
    </row>
    <row r="6111" spans="2:4" x14ac:dyDescent="0.25">
      <c r="B6111">
        <f t="shared" ca="1" si="287"/>
        <v>50426.054803902822</v>
      </c>
      <c r="C6111">
        <f t="shared" ca="1" si="285"/>
        <v>0</v>
      </c>
      <c r="D6111">
        <f t="shared" ca="1" si="286"/>
        <v>10426.054803902822</v>
      </c>
    </row>
    <row r="6112" spans="2:4" x14ac:dyDescent="0.25">
      <c r="B6112">
        <f t="shared" ca="1" si="287"/>
        <v>46910.333352326314</v>
      </c>
      <c r="C6112">
        <f t="shared" ca="1" si="285"/>
        <v>0</v>
      </c>
      <c r="D6112">
        <f t="shared" ca="1" si="286"/>
        <v>6910.3333523263136</v>
      </c>
    </row>
    <row r="6113" spans="2:4" x14ac:dyDescent="0.25">
      <c r="B6113">
        <f t="shared" ca="1" si="287"/>
        <v>39811.884704488148</v>
      </c>
      <c r="C6113">
        <f t="shared" ca="1" si="285"/>
        <v>188.11529551185231</v>
      </c>
      <c r="D6113">
        <f t="shared" ca="1" si="286"/>
        <v>0</v>
      </c>
    </row>
    <row r="6114" spans="2:4" x14ac:dyDescent="0.25">
      <c r="B6114">
        <f t="shared" ca="1" si="287"/>
        <v>49560.030192024402</v>
      </c>
      <c r="C6114">
        <f t="shared" ca="1" si="285"/>
        <v>0</v>
      </c>
      <c r="D6114">
        <f t="shared" ca="1" si="286"/>
        <v>9560.0301920244019</v>
      </c>
    </row>
    <row r="6115" spans="2:4" x14ac:dyDescent="0.25">
      <c r="B6115">
        <f t="shared" ca="1" si="287"/>
        <v>47252.430688567896</v>
      </c>
      <c r="C6115">
        <f t="shared" ca="1" si="285"/>
        <v>0</v>
      </c>
      <c r="D6115">
        <f t="shared" ca="1" si="286"/>
        <v>7252.4306885678961</v>
      </c>
    </row>
    <row r="6116" spans="2:4" x14ac:dyDescent="0.25">
      <c r="B6116">
        <f t="shared" ca="1" si="287"/>
        <v>41892.307409778026</v>
      </c>
      <c r="C6116">
        <f t="shared" ca="1" si="285"/>
        <v>0</v>
      </c>
      <c r="D6116">
        <f t="shared" ca="1" si="286"/>
        <v>1892.3074097780263</v>
      </c>
    </row>
    <row r="6117" spans="2:4" x14ac:dyDescent="0.25">
      <c r="B6117">
        <f t="shared" ca="1" si="287"/>
        <v>46191.588663183393</v>
      </c>
      <c r="C6117">
        <f t="shared" ca="1" si="285"/>
        <v>0</v>
      </c>
      <c r="D6117">
        <f t="shared" ca="1" si="286"/>
        <v>6191.5886631833928</v>
      </c>
    </row>
    <row r="6118" spans="2:4" x14ac:dyDescent="0.25">
      <c r="B6118">
        <f t="shared" ca="1" si="287"/>
        <v>44352.124184025357</v>
      </c>
      <c r="C6118">
        <f t="shared" ca="1" si="285"/>
        <v>0</v>
      </c>
      <c r="D6118">
        <f t="shared" ca="1" si="286"/>
        <v>4352.124184025357</v>
      </c>
    </row>
    <row r="6119" spans="2:4" x14ac:dyDescent="0.25">
      <c r="B6119">
        <f t="shared" ca="1" si="287"/>
        <v>51392.397445516319</v>
      </c>
      <c r="C6119">
        <f t="shared" ca="1" si="285"/>
        <v>0</v>
      </c>
      <c r="D6119">
        <f t="shared" ca="1" si="286"/>
        <v>11392.397445516319</v>
      </c>
    </row>
    <row r="6120" spans="2:4" x14ac:dyDescent="0.25">
      <c r="B6120">
        <f t="shared" ca="1" si="287"/>
        <v>44227.318520575362</v>
      </c>
      <c r="C6120">
        <f t="shared" ca="1" si="285"/>
        <v>0</v>
      </c>
      <c r="D6120">
        <f t="shared" ca="1" si="286"/>
        <v>4227.3185205753616</v>
      </c>
    </row>
    <row r="6121" spans="2:4" x14ac:dyDescent="0.25">
      <c r="B6121">
        <f t="shared" ca="1" si="287"/>
        <v>48646.158016296868</v>
      </c>
      <c r="C6121">
        <f t="shared" ca="1" si="285"/>
        <v>0</v>
      </c>
      <c r="D6121">
        <f t="shared" ca="1" si="286"/>
        <v>8646.1580162968676</v>
      </c>
    </row>
    <row r="6122" spans="2:4" x14ac:dyDescent="0.25">
      <c r="B6122">
        <f t="shared" ca="1" si="287"/>
        <v>47795.235380381477</v>
      </c>
      <c r="C6122">
        <f t="shared" ca="1" si="285"/>
        <v>0</v>
      </c>
      <c r="D6122">
        <f t="shared" ca="1" si="286"/>
        <v>7795.2353803814767</v>
      </c>
    </row>
    <row r="6123" spans="2:4" x14ac:dyDescent="0.25">
      <c r="B6123">
        <f t="shared" ca="1" si="287"/>
        <v>40394.759292849434</v>
      </c>
      <c r="C6123">
        <f t="shared" ca="1" si="285"/>
        <v>0</v>
      </c>
      <c r="D6123">
        <f t="shared" ca="1" si="286"/>
        <v>394.75929284943413</v>
      </c>
    </row>
    <row r="6124" spans="2:4" x14ac:dyDescent="0.25">
      <c r="B6124">
        <f t="shared" ca="1" si="287"/>
        <v>42756.608856349216</v>
      </c>
      <c r="C6124">
        <f t="shared" ca="1" si="285"/>
        <v>0</v>
      </c>
      <c r="D6124">
        <f t="shared" ca="1" si="286"/>
        <v>2756.6088563492158</v>
      </c>
    </row>
    <row r="6125" spans="2:4" x14ac:dyDescent="0.25">
      <c r="B6125">
        <f t="shared" ca="1" si="287"/>
        <v>45540.011142245254</v>
      </c>
      <c r="C6125">
        <f t="shared" ca="1" si="285"/>
        <v>0</v>
      </c>
      <c r="D6125">
        <f t="shared" ca="1" si="286"/>
        <v>5540.0111422452537</v>
      </c>
    </row>
    <row r="6126" spans="2:4" x14ac:dyDescent="0.25">
      <c r="B6126">
        <f t="shared" ca="1" si="287"/>
        <v>44271.877979333753</v>
      </c>
      <c r="C6126">
        <f t="shared" ca="1" si="285"/>
        <v>0</v>
      </c>
      <c r="D6126">
        <f t="shared" ca="1" si="286"/>
        <v>4271.8779793337526</v>
      </c>
    </row>
    <row r="6127" spans="2:4" x14ac:dyDescent="0.25">
      <c r="B6127">
        <f t="shared" ca="1" si="287"/>
        <v>47857.507236298188</v>
      </c>
      <c r="C6127">
        <f t="shared" ca="1" si="285"/>
        <v>0</v>
      </c>
      <c r="D6127">
        <f t="shared" ca="1" si="286"/>
        <v>7857.5072362981882</v>
      </c>
    </row>
    <row r="6128" spans="2:4" x14ac:dyDescent="0.25">
      <c r="B6128">
        <f t="shared" ca="1" si="287"/>
        <v>43353.713084784002</v>
      </c>
      <c r="C6128">
        <f t="shared" ca="1" si="285"/>
        <v>0</v>
      </c>
      <c r="D6128">
        <f t="shared" ca="1" si="286"/>
        <v>3353.7130847840017</v>
      </c>
    </row>
    <row r="6129" spans="2:4" x14ac:dyDescent="0.25">
      <c r="B6129">
        <f t="shared" ca="1" si="287"/>
        <v>42119.143032934124</v>
      </c>
      <c r="C6129">
        <f t="shared" ca="1" si="285"/>
        <v>0</v>
      </c>
      <c r="D6129">
        <f t="shared" ca="1" si="286"/>
        <v>2119.1430329341238</v>
      </c>
    </row>
    <row r="6130" spans="2:4" x14ac:dyDescent="0.25">
      <c r="B6130">
        <f t="shared" ca="1" si="287"/>
        <v>40653.419568793644</v>
      </c>
      <c r="C6130">
        <f t="shared" ca="1" si="285"/>
        <v>0</v>
      </c>
      <c r="D6130">
        <f t="shared" ca="1" si="286"/>
        <v>653.41956879364443</v>
      </c>
    </row>
    <row r="6131" spans="2:4" x14ac:dyDescent="0.25">
      <c r="B6131">
        <f t="shared" ca="1" si="287"/>
        <v>48384.726910009696</v>
      </c>
      <c r="C6131">
        <f t="shared" ca="1" si="285"/>
        <v>0</v>
      </c>
      <c r="D6131">
        <f t="shared" ca="1" si="286"/>
        <v>8384.7269100096964</v>
      </c>
    </row>
    <row r="6132" spans="2:4" x14ac:dyDescent="0.25">
      <c r="B6132">
        <f t="shared" ca="1" si="287"/>
        <v>47000.809225247009</v>
      </c>
      <c r="C6132">
        <f t="shared" ca="1" si="285"/>
        <v>0</v>
      </c>
      <c r="D6132">
        <f t="shared" ca="1" si="286"/>
        <v>7000.8092252470087</v>
      </c>
    </row>
    <row r="6133" spans="2:4" x14ac:dyDescent="0.25">
      <c r="B6133">
        <f t="shared" ca="1" si="287"/>
        <v>45229.898219150717</v>
      </c>
      <c r="C6133">
        <f t="shared" ca="1" si="285"/>
        <v>0</v>
      </c>
      <c r="D6133">
        <f t="shared" ca="1" si="286"/>
        <v>5229.8982191507166</v>
      </c>
    </row>
    <row r="6134" spans="2:4" x14ac:dyDescent="0.25">
      <c r="B6134">
        <f t="shared" ca="1" si="287"/>
        <v>42907.801667874483</v>
      </c>
      <c r="C6134">
        <f t="shared" ca="1" si="285"/>
        <v>0</v>
      </c>
      <c r="D6134">
        <f t="shared" ca="1" si="286"/>
        <v>2907.8016678744825</v>
      </c>
    </row>
    <row r="6135" spans="2:4" x14ac:dyDescent="0.25">
      <c r="B6135">
        <f t="shared" ca="1" si="287"/>
        <v>41316.817368524411</v>
      </c>
      <c r="C6135">
        <f t="shared" ca="1" si="285"/>
        <v>0</v>
      </c>
      <c r="D6135">
        <f t="shared" ca="1" si="286"/>
        <v>1316.817368524411</v>
      </c>
    </row>
    <row r="6136" spans="2:4" x14ac:dyDescent="0.25">
      <c r="B6136">
        <f t="shared" ca="1" si="287"/>
        <v>46619.207900973663</v>
      </c>
      <c r="C6136">
        <f t="shared" ca="1" si="285"/>
        <v>0</v>
      </c>
      <c r="D6136">
        <f t="shared" ca="1" si="286"/>
        <v>6619.2079009736626</v>
      </c>
    </row>
    <row r="6137" spans="2:4" x14ac:dyDescent="0.25">
      <c r="B6137">
        <f t="shared" ca="1" si="287"/>
        <v>42848.781766351647</v>
      </c>
      <c r="C6137">
        <f t="shared" ca="1" si="285"/>
        <v>0</v>
      </c>
      <c r="D6137">
        <f t="shared" ca="1" si="286"/>
        <v>2848.7817663516471</v>
      </c>
    </row>
    <row r="6138" spans="2:4" x14ac:dyDescent="0.25">
      <c r="B6138">
        <f t="shared" ca="1" si="287"/>
        <v>42956.073722288762</v>
      </c>
      <c r="C6138">
        <f t="shared" ca="1" si="285"/>
        <v>0</v>
      </c>
      <c r="D6138">
        <f t="shared" ca="1" si="286"/>
        <v>2956.0737222887619</v>
      </c>
    </row>
    <row r="6139" spans="2:4" x14ac:dyDescent="0.25">
      <c r="B6139">
        <f t="shared" ca="1" si="287"/>
        <v>40263.235501525443</v>
      </c>
      <c r="C6139">
        <f t="shared" ca="1" si="285"/>
        <v>0</v>
      </c>
      <c r="D6139">
        <f t="shared" ca="1" si="286"/>
        <v>263.2355015254434</v>
      </c>
    </row>
    <row r="6140" spans="2:4" x14ac:dyDescent="0.25">
      <c r="B6140">
        <f t="shared" ca="1" si="287"/>
        <v>48592.497839233292</v>
      </c>
      <c r="C6140">
        <f t="shared" ca="1" si="285"/>
        <v>0</v>
      </c>
      <c r="D6140">
        <f t="shared" ca="1" si="286"/>
        <v>8592.4978392332923</v>
      </c>
    </row>
    <row r="6141" spans="2:4" x14ac:dyDescent="0.25">
      <c r="B6141">
        <f t="shared" ca="1" si="287"/>
        <v>43556.793434297368</v>
      </c>
      <c r="C6141">
        <f t="shared" ca="1" si="285"/>
        <v>0</v>
      </c>
      <c r="D6141">
        <f t="shared" ca="1" si="286"/>
        <v>3556.7934342973676</v>
      </c>
    </row>
    <row r="6142" spans="2:4" x14ac:dyDescent="0.25">
      <c r="B6142">
        <f t="shared" ca="1" si="287"/>
        <v>43017.368151426461</v>
      </c>
      <c r="C6142">
        <f t="shared" ca="1" si="285"/>
        <v>0</v>
      </c>
      <c r="D6142">
        <f t="shared" ca="1" si="286"/>
        <v>3017.3681514264608</v>
      </c>
    </row>
    <row r="6143" spans="2:4" x14ac:dyDescent="0.25">
      <c r="B6143">
        <f t="shared" ca="1" si="287"/>
        <v>39660.280276353973</v>
      </c>
      <c r="C6143">
        <f t="shared" ca="1" si="285"/>
        <v>339.71972364602698</v>
      </c>
      <c r="D6143">
        <f t="shared" ca="1" si="286"/>
        <v>0</v>
      </c>
    </row>
    <row r="6144" spans="2:4" x14ac:dyDescent="0.25">
      <c r="B6144">
        <f t="shared" ca="1" si="287"/>
        <v>39874.391430390082</v>
      </c>
      <c r="C6144">
        <f t="shared" ca="1" si="285"/>
        <v>125.60856960991805</v>
      </c>
      <c r="D6144">
        <f t="shared" ca="1" si="286"/>
        <v>0</v>
      </c>
    </row>
    <row r="6145" spans="2:4" x14ac:dyDescent="0.25">
      <c r="B6145">
        <f t="shared" ca="1" si="287"/>
        <v>53096.183244747634</v>
      </c>
      <c r="C6145">
        <f t="shared" ca="1" si="285"/>
        <v>0</v>
      </c>
      <c r="D6145">
        <f t="shared" ca="1" si="286"/>
        <v>13096.183244747634</v>
      </c>
    </row>
    <row r="6146" spans="2:4" x14ac:dyDescent="0.25">
      <c r="B6146">
        <f t="shared" ca="1" si="287"/>
        <v>49935.605367029668</v>
      </c>
      <c r="C6146">
        <f t="shared" ca="1" si="285"/>
        <v>0</v>
      </c>
      <c r="D6146">
        <f t="shared" ca="1" si="286"/>
        <v>9935.6053670296678</v>
      </c>
    </row>
    <row r="6147" spans="2:4" x14ac:dyDescent="0.25">
      <c r="B6147">
        <f t="shared" ca="1" si="287"/>
        <v>39137.441776485859</v>
      </c>
      <c r="C6147">
        <f t="shared" ca="1" si="285"/>
        <v>862.55822351414099</v>
      </c>
      <c r="D6147">
        <f t="shared" ca="1" si="286"/>
        <v>0</v>
      </c>
    </row>
    <row r="6148" spans="2:4" x14ac:dyDescent="0.25">
      <c r="B6148">
        <f t="shared" ca="1" si="287"/>
        <v>46312.369461033551</v>
      </c>
      <c r="C6148">
        <f t="shared" ca="1" si="285"/>
        <v>0</v>
      </c>
      <c r="D6148">
        <f t="shared" ca="1" si="286"/>
        <v>6312.3694610335515</v>
      </c>
    </row>
    <row r="6149" spans="2:4" x14ac:dyDescent="0.25">
      <c r="B6149">
        <f t="shared" ca="1" si="287"/>
        <v>51614.620439757593</v>
      </c>
      <c r="C6149">
        <f t="shared" ca="1" si="285"/>
        <v>0</v>
      </c>
      <c r="D6149">
        <f t="shared" ca="1" si="286"/>
        <v>11614.620439757593</v>
      </c>
    </row>
    <row r="6150" spans="2:4" x14ac:dyDescent="0.25">
      <c r="B6150">
        <f t="shared" ca="1" si="287"/>
        <v>43253.944718660146</v>
      </c>
      <c r="C6150">
        <f t="shared" ca="1" si="285"/>
        <v>0</v>
      </c>
      <c r="D6150">
        <f t="shared" ca="1" si="286"/>
        <v>3253.9447186601465</v>
      </c>
    </row>
    <row r="6151" spans="2:4" x14ac:dyDescent="0.25">
      <c r="B6151">
        <f t="shared" ca="1" si="287"/>
        <v>55553.807986862688</v>
      </c>
      <c r="C6151">
        <f t="shared" ca="1" si="285"/>
        <v>0</v>
      </c>
      <c r="D6151">
        <f t="shared" ca="1" si="286"/>
        <v>15553.807986862688</v>
      </c>
    </row>
    <row r="6152" spans="2:4" x14ac:dyDescent="0.25">
      <c r="B6152">
        <f t="shared" ca="1" si="287"/>
        <v>51758.001925830002</v>
      </c>
      <c r="C6152">
        <f t="shared" ca="1" si="285"/>
        <v>0</v>
      </c>
      <c r="D6152">
        <f t="shared" ca="1" si="286"/>
        <v>11758.001925830002</v>
      </c>
    </row>
    <row r="6153" spans="2:4" x14ac:dyDescent="0.25">
      <c r="B6153">
        <f t="shared" ca="1" si="287"/>
        <v>44643.061686006717</v>
      </c>
      <c r="C6153">
        <f t="shared" ca="1" si="285"/>
        <v>0</v>
      </c>
      <c r="D6153">
        <f t="shared" ca="1" si="286"/>
        <v>4643.0616860067166</v>
      </c>
    </row>
    <row r="6154" spans="2:4" x14ac:dyDescent="0.25">
      <c r="B6154">
        <f t="shared" ca="1" si="287"/>
        <v>41262.147599107841</v>
      </c>
      <c r="C6154">
        <f t="shared" ca="1" si="285"/>
        <v>0</v>
      </c>
      <c r="D6154">
        <f t="shared" ca="1" si="286"/>
        <v>1262.1475991078405</v>
      </c>
    </row>
    <row r="6155" spans="2:4" x14ac:dyDescent="0.25">
      <c r="B6155">
        <f t="shared" ca="1" si="287"/>
        <v>49897.544333861573</v>
      </c>
      <c r="C6155">
        <f t="shared" ca="1" si="285"/>
        <v>0</v>
      </c>
      <c r="D6155">
        <f t="shared" ca="1" si="286"/>
        <v>9897.5443338615733</v>
      </c>
    </row>
    <row r="6156" spans="2:4" x14ac:dyDescent="0.25">
      <c r="B6156">
        <f t="shared" ca="1" si="287"/>
        <v>43855.810041554483</v>
      </c>
      <c r="C6156">
        <f t="shared" ref="C6156:C6219" ca="1" si="288">IF(MAX($B$2-B6156)&lt;0,0,$B$2-B6156)</f>
        <v>0</v>
      </c>
      <c r="D6156">
        <f t="shared" ref="D6156:D6219" ca="1" si="289">IF(MAX(B6156-$B$2)&lt;0,0,B6156-$B$2)</f>
        <v>3855.8100415544832</v>
      </c>
    </row>
    <row r="6157" spans="2:4" x14ac:dyDescent="0.25">
      <c r="B6157">
        <f t="shared" ref="B6157:B6220" ca="1" si="290">$B$1*EXP((($B$4-($B$3^2)/2)*$B$5+$B$3*SQRT($B$5)*NORMSINV(RAND())))</f>
        <v>42133.929923070522</v>
      </c>
      <c r="C6157">
        <f t="shared" ca="1" si="288"/>
        <v>0</v>
      </c>
      <c r="D6157">
        <f t="shared" ca="1" si="289"/>
        <v>2133.9299230705219</v>
      </c>
    </row>
    <row r="6158" spans="2:4" x14ac:dyDescent="0.25">
      <c r="B6158">
        <f t="shared" ca="1" si="290"/>
        <v>47564.675316563698</v>
      </c>
      <c r="C6158">
        <f t="shared" ca="1" si="288"/>
        <v>0</v>
      </c>
      <c r="D6158">
        <f t="shared" ca="1" si="289"/>
        <v>7564.6753165636983</v>
      </c>
    </row>
    <row r="6159" spans="2:4" x14ac:dyDescent="0.25">
      <c r="B6159">
        <f t="shared" ca="1" si="290"/>
        <v>40711.986247715606</v>
      </c>
      <c r="C6159">
        <f t="shared" ca="1" si="288"/>
        <v>0</v>
      </c>
      <c r="D6159">
        <f t="shared" ca="1" si="289"/>
        <v>711.98624771560571</v>
      </c>
    </row>
    <row r="6160" spans="2:4" x14ac:dyDescent="0.25">
      <c r="B6160">
        <f t="shared" ca="1" si="290"/>
        <v>44708.553931264643</v>
      </c>
      <c r="C6160">
        <f t="shared" ca="1" si="288"/>
        <v>0</v>
      </c>
      <c r="D6160">
        <f t="shared" ca="1" si="289"/>
        <v>4708.5539312646433</v>
      </c>
    </row>
    <row r="6161" spans="2:4" x14ac:dyDescent="0.25">
      <c r="B6161">
        <f t="shared" ca="1" si="290"/>
        <v>54500.235510159197</v>
      </c>
      <c r="C6161">
        <f t="shared" ca="1" si="288"/>
        <v>0</v>
      </c>
      <c r="D6161">
        <f t="shared" ca="1" si="289"/>
        <v>14500.235510159197</v>
      </c>
    </row>
    <row r="6162" spans="2:4" x14ac:dyDescent="0.25">
      <c r="B6162">
        <f t="shared" ca="1" si="290"/>
        <v>50742.033542611163</v>
      </c>
      <c r="C6162">
        <f t="shared" ca="1" si="288"/>
        <v>0</v>
      </c>
      <c r="D6162">
        <f t="shared" ca="1" si="289"/>
        <v>10742.033542611163</v>
      </c>
    </row>
    <row r="6163" spans="2:4" x14ac:dyDescent="0.25">
      <c r="B6163">
        <f t="shared" ca="1" si="290"/>
        <v>45508.43090178461</v>
      </c>
      <c r="C6163">
        <f t="shared" ca="1" si="288"/>
        <v>0</v>
      </c>
      <c r="D6163">
        <f t="shared" ca="1" si="289"/>
        <v>5508.4309017846099</v>
      </c>
    </row>
    <row r="6164" spans="2:4" x14ac:dyDescent="0.25">
      <c r="B6164">
        <f t="shared" ca="1" si="290"/>
        <v>40330.14769390416</v>
      </c>
      <c r="C6164">
        <f t="shared" ca="1" si="288"/>
        <v>0</v>
      </c>
      <c r="D6164">
        <f t="shared" ca="1" si="289"/>
        <v>330.14769390416041</v>
      </c>
    </row>
    <row r="6165" spans="2:4" x14ac:dyDescent="0.25">
      <c r="B6165">
        <f t="shared" ca="1" si="290"/>
        <v>43119.729107817897</v>
      </c>
      <c r="C6165">
        <f t="shared" ca="1" si="288"/>
        <v>0</v>
      </c>
      <c r="D6165">
        <f t="shared" ca="1" si="289"/>
        <v>3119.7291078178969</v>
      </c>
    </row>
    <row r="6166" spans="2:4" x14ac:dyDescent="0.25">
      <c r="B6166">
        <f t="shared" ca="1" si="290"/>
        <v>44002.357538507938</v>
      </c>
      <c r="C6166">
        <f t="shared" ca="1" si="288"/>
        <v>0</v>
      </c>
      <c r="D6166">
        <f t="shared" ca="1" si="289"/>
        <v>4002.3575385079384</v>
      </c>
    </row>
    <row r="6167" spans="2:4" x14ac:dyDescent="0.25">
      <c r="B6167">
        <f t="shared" ca="1" si="290"/>
        <v>46132.997238678079</v>
      </c>
      <c r="C6167">
        <f t="shared" ca="1" si="288"/>
        <v>0</v>
      </c>
      <c r="D6167">
        <f t="shared" ca="1" si="289"/>
        <v>6132.9972386780792</v>
      </c>
    </row>
    <row r="6168" spans="2:4" x14ac:dyDescent="0.25">
      <c r="B6168">
        <f t="shared" ca="1" si="290"/>
        <v>49189.316096779097</v>
      </c>
      <c r="C6168">
        <f t="shared" ca="1" si="288"/>
        <v>0</v>
      </c>
      <c r="D6168">
        <f t="shared" ca="1" si="289"/>
        <v>9189.3160967790973</v>
      </c>
    </row>
    <row r="6169" spans="2:4" x14ac:dyDescent="0.25">
      <c r="B6169">
        <f t="shared" ca="1" si="290"/>
        <v>49781.534549776683</v>
      </c>
      <c r="C6169">
        <f t="shared" ca="1" si="288"/>
        <v>0</v>
      </c>
      <c r="D6169">
        <f t="shared" ca="1" si="289"/>
        <v>9781.534549776683</v>
      </c>
    </row>
    <row r="6170" spans="2:4" x14ac:dyDescent="0.25">
      <c r="B6170">
        <f t="shared" ca="1" si="290"/>
        <v>45779.186493411638</v>
      </c>
      <c r="C6170">
        <f t="shared" ca="1" si="288"/>
        <v>0</v>
      </c>
      <c r="D6170">
        <f t="shared" ca="1" si="289"/>
        <v>5779.1864934116384</v>
      </c>
    </row>
    <row r="6171" spans="2:4" x14ac:dyDescent="0.25">
      <c r="B6171">
        <f t="shared" ca="1" si="290"/>
        <v>43411.236382142022</v>
      </c>
      <c r="C6171">
        <f t="shared" ca="1" si="288"/>
        <v>0</v>
      </c>
      <c r="D6171">
        <f t="shared" ca="1" si="289"/>
        <v>3411.2363821420222</v>
      </c>
    </row>
    <row r="6172" spans="2:4" x14ac:dyDescent="0.25">
      <c r="B6172">
        <f t="shared" ca="1" si="290"/>
        <v>38914.963509041692</v>
      </c>
      <c r="C6172">
        <f t="shared" ca="1" si="288"/>
        <v>1085.0364909583077</v>
      </c>
      <c r="D6172">
        <f t="shared" ca="1" si="289"/>
        <v>0</v>
      </c>
    </row>
    <row r="6173" spans="2:4" x14ac:dyDescent="0.25">
      <c r="B6173">
        <f t="shared" ca="1" si="290"/>
        <v>41069.902919590721</v>
      </c>
      <c r="C6173">
        <f t="shared" ca="1" si="288"/>
        <v>0</v>
      </c>
      <c r="D6173">
        <f t="shared" ca="1" si="289"/>
        <v>1069.9029195907206</v>
      </c>
    </row>
    <row r="6174" spans="2:4" x14ac:dyDescent="0.25">
      <c r="B6174">
        <f t="shared" ca="1" si="290"/>
        <v>50540.048969315139</v>
      </c>
      <c r="C6174">
        <f t="shared" ca="1" si="288"/>
        <v>0</v>
      </c>
      <c r="D6174">
        <f t="shared" ca="1" si="289"/>
        <v>10540.048969315139</v>
      </c>
    </row>
    <row r="6175" spans="2:4" x14ac:dyDescent="0.25">
      <c r="B6175">
        <f t="shared" ca="1" si="290"/>
        <v>40388.950311467313</v>
      </c>
      <c r="C6175">
        <f t="shared" ca="1" si="288"/>
        <v>0</v>
      </c>
      <c r="D6175">
        <f t="shared" ca="1" si="289"/>
        <v>388.95031146731344</v>
      </c>
    </row>
    <row r="6176" spans="2:4" x14ac:dyDescent="0.25">
      <c r="B6176">
        <f t="shared" ca="1" si="290"/>
        <v>46271.939808912299</v>
      </c>
      <c r="C6176">
        <f t="shared" ca="1" si="288"/>
        <v>0</v>
      </c>
      <c r="D6176">
        <f t="shared" ca="1" si="289"/>
        <v>6271.9398089122988</v>
      </c>
    </row>
    <row r="6177" spans="2:4" x14ac:dyDescent="0.25">
      <c r="B6177">
        <f t="shared" ca="1" si="290"/>
        <v>56881.197671588445</v>
      </c>
      <c r="C6177">
        <f t="shared" ca="1" si="288"/>
        <v>0</v>
      </c>
      <c r="D6177">
        <f t="shared" ca="1" si="289"/>
        <v>16881.197671588445</v>
      </c>
    </row>
    <row r="6178" spans="2:4" x14ac:dyDescent="0.25">
      <c r="B6178">
        <f t="shared" ca="1" si="290"/>
        <v>42485.980011279047</v>
      </c>
      <c r="C6178">
        <f t="shared" ca="1" si="288"/>
        <v>0</v>
      </c>
      <c r="D6178">
        <f t="shared" ca="1" si="289"/>
        <v>2485.9800112790472</v>
      </c>
    </row>
    <row r="6179" spans="2:4" x14ac:dyDescent="0.25">
      <c r="B6179">
        <f t="shared" ca="1" si="290"/>
        <v>44921.584729674665</v>
      </c>
      <c r="C6179">
        <f t="shared" ca="1" si="288"/>
        <v>0</v>
      </c>
      <c r="D6179">
        <f t="shared" ca="1" si="289"/>
        <v>4921.5847296746651</v>
      </c>
    </row>
    <row r="6180" spans="2:4" x14ac:dyDescent="0.25">
      <c r="B6180">
        <f t="shared" ca="1" si="290"/>
        <v>40046.034044446467</v>
      </c>
      <c r="C6180">
        <f t="shared" ca="1" si="288"/>
        <v>0</v>
      </c>
      <c r="D6180">
        <f t="shared" ca="1" si="289"/>
        <v>46.034044446467306</v>
      </c>
    </row>
    <row r="6181" spans="2:4" x14ac:dyDescent="0.25">
      <c r="B6181">
        <f t="shared" ca="1" si="290"/>
        <v>34569.235425787934</v>
      </c>
      <c r="C6181">
        <f t="shared" ca="1" si="288"/>
        <v>5430.7645742120658</v>
      </c>
      <c r="D6181">
        <f t="shared" ca="1" si="289"/>
        <v>0</v>
      </c>
    </row>
    <row r="6182" spans="2:4" x14ac:dyDescent="0.25">
      <c r="B6182">
        <f t="shared" ca="1" si="290"/>
        <v>45787.444041658629</v>
      </c>
      <c r="C6182">
        <f t="shared" ca="1" si="288"/>
        <v>0</v>
      </c>
      <c r="D6182">
        <f t="shared" ca="1" si="289"/>
        <v>5787.4440416586294</v>
      </c>
    </row>
    <row r="6183" spans="2:4" x14ac:dyDescent="0.25">
      <c r="B6183">
        <f t="shared" ca="1" si="290"/>
        <v>46160.956578796802</v>
      </c>
      <c r="C6183">
        <f t="shared" ca="1" si="288"/>
        <v>0</v>
      </c>
      <c r="D6183">
        <f t="shared" ca="1" si="289"/>
        <v>6160.9565787968022</v>
      </c>
    </row>
    <row r="6184" spans="2:4" x14ac:dyDescent="0.25">
      <c r="B6184">
        <f t="shared" ca="1" si="290"/>
        <v>42033.921630486067</v>
      </c>
      <c r="C6184">
        <f t="shared" ca="1" si="288"/>
        <v>0</v>
      </c>
      <c r="D6184">
        <f t="shared" ca="1" si="289"/>
        <v>2033.9216304860674</v>
      </c>
    </row>
    <row r="6185" spans="2:4" x14ac:dyDescent="0.25">
      <c r="B6185">
        <f t="shared" ca="1" si="290"/>
        <v>42004.671926921954</v>
      </c>
      <c r="C6185">
        <f t="shared" ca="1" si="288"/>
        <v>0</v>
      </c>
      <c r="D6185">
        <f t="shared" ca="1" si="289"/>
        <v>2004.6719269219539</v>
      </c>
    </row>
    <row r="6186" spans="2:4" x14ac:dyDescent="0.25">
      <c r="B6186">
        <f t="shared" ca="1" si="290"/>
        <v>47961.280003016647</v>
      </c>
      <c r="C6186">
        <f t="shared" ca="1" si="288"/>
        <v>0</v>
      </c>
      <c r="D6186">
        <f t="shared" ca="1" si="289"/>
        <v>7961.2800030166472</v>
      </c>
    </row>
    <row r="6187" spans="2:4" x14ac:dyDescent="0.25">
      <c r="B6187">
        <f t="shared" ca="1" si="290"/>
        <v>43639.297694601788</v>
      </c>
      <c r="C6187">
        <f t="shared" ca="1" si="288"/>
        <v>0</v>
      </c>
      <c r="D6187">
        <f t="shared" ca="1" si="289"/>
        <v>3639.297694601788</v>
      </c>
    </row>
    <row r="6188" spans="2:4" x14ac:dyDescent="0.25">
      <c r="B6188">
        <f t="shared" ca="1" si="290"/>
        <v>37433.100793996942</v>
      </c>
      <c r="C6188">
        <f t="shared" ca="1" si="288"/>
        <v>2566.8992060030578</v>
      </c>
      <c r="D6188">
        <f t="shared" ca="1" si="289"/>
        <v>0</v>
      </c>
    </row>
    <row r="6189" spans="2:4" x14ac:dyDescent="0.25">
      <c r="B6189">
        <f t="shared" ca="1" si="290"/>
        <v>44006.187748080825</v>
      </c>
      <c r="C6189">
        <f t="shared" ca="1" si="288"/>
        <v>0</v>
      </c>
      <c r="D6189">
        <f t="shared" ca="1" si="289"/>
        <v>4006.1877480808253</v>
      </c>
    </row>
    <row r="6190" spans="2:4" x14ac:dyDescent="0.25">
      <c r="B6190">
        <f t="shared" ca="1" si="290"/>
        <v>44287.488234698481</v>
      </c>
      <c r="C6190">
        <f t="shared" ca="1" si="288"/>
        <v>0</v>
      </c>
      <c r="D6190">
        <f t="shared" ca="1" si="289"/>
        <v>4287.4882346984814</v>
      </c>
    </row>
    <row r="6191" spans="2:4" x14ac:dyDescent="0.25">
      <c r="B6191">
        <f t="shared" ca="1" si="290"/>
        <v>48441.793725425028</v>
      </c>
      <c r="C6191">
        <f t="shared" ca="1" si="288"/>
        <v>0</v>
      </c>
      <c r="D6191">
        <f t="shared" ca="1" si="289"/>
        <v>8441.7937254250282</v>
      </c>
    </row>
    <row r="6192" spans="2:4" x14ac:dyDescent="0.25">
      <c r="B6192">
        <f t="shared" ca="1" si="290"/>
        <v>46858.917239299837</v>
      </c>
      <c r="C6192">
        <f t="shared" ca="1" si="288"/>
        <v>0</v>
      </c>
      <c r="D6192">
        <f t="shared" ca="1" si="289"/>
        <v>6858.9172392998371</v>
      </c>
    </row>
    <row r="6193" spans="2:4" x14ac:dyDescent="0.25">
      <c r="B6193">
        <f t="shared" ca="1" si="290"/>
        <v>49395.203367127615</v>
      </c>
      <c r="C6193">
        <f t="shared" ca="1" si="288"/>
        <v>0</v>
      </c>
      <c r="D6193">
        <f t="shared" ca="1" si="289"/>
        <v>9395.2033671276149</v>
      </c>
    </row>
    <row r="6194" spans="2:4" x14ac:dyDescent="0.25">
      <c r="B6194">
        <f t="shared" ca="1" si="290"/>
        <v>43858.260578713591</v>
      </c>
      <c r="C6194">
        <f t="shared" ca="1" si="288"/>
        <v>0</v>
      </c>
      <c r="D6194">
        <f t="shared" ca="1" si="289"/>
        <v>3858.2605787135908</v>
      </c>
    </row>
    <row r="6195" spans="2:4" x14ac:dyDescent="0.25">
      <c r="B6195">
        <f t="shared" ca="1" si="290"/>
        <v>43932.494316057171</v>
      </c>
      <c r="C6195">
        <f t="shared" ca="1" si="288"/>
        <v>0</v>
      </c>
      <c r="D6195">
        <f t="shared" ca="1" si="289"/>
        <v>3932.4943160571711</v>
      </c>
    </row>
    <row r="6196" spans="2:4" x14ac:dyDescent="0.25">
      <c r="B6196">
        <f t="shared" ca="1" si="290"/>
        <v>46334.504562289614</v>
      </c>
      <c r="C6196">
        <f t="shared" ca="1" si="288"/>
        <v>0</v>
      </c>
      <c r="D6196">
        <f t="shared" ca="1" si="289"/>
        <v>6334.5045622896141</v>
      </c>
    </row>
    <row r="6197" spans="2:4" x14ac:dyDescent="0.25">
      <c r="B6197">
        <f t="shared" ca="1" si="290"/>
        <v>45059.703126795583</v>
      </c>
      <c r="C6197">
        <f t="shared" ca="1" si="288"/>
        <v>0</v>
      </c>
      <c r="D6197">
        <f t="shared" ca="1" si="289"/>
        <v>5059.7031267955826</v>
      </c>
    </row>
    <row r="6198" spans="2:4" x14ac:dyDescent="0.25">
      <c r="B6198">
        <f t="shared" ca="1" si="290"/>
        <v>38970.284053820382</v>
      </c>
      <c r="C6198">
        <f t="shared" ca="1" si="288"/>
        <v>1029.7159461796182</v>
      </c>
      <c r="D6198">
        <f t="shared" ca="1" si="289"/>
        <v>0</v>
      </c>
    </row>
    <row r="6199" spans="2:4" x14ac:dyDescent="0.25">
      <c r="B6199">
        <f t="shared" ca="1" si="290"/>
        <v>46086.399081935735</v>
      </c>
      <c r="C6199">
        <f t="shared" ca="1" si="288"/>
        <v>0</v>
      </c>
      <c r="D6199">
        <f t="shared" ca="1" si="289"/>
        <v>6086.399081935735</v>
      </c>
    </row>
    <row r="6200" spans="2:4" x14ac:dyDescent="0.25">
      <c r="B6200">
        <f t="shared" ca="1" si="290"/>
        <v>48424.899216528371</v>
      </c>
      <c r="C6200">
        <f t="shared" ca="1" si="288"/>
        <v>0</v>
      </c>
      <c r="D6200">
        <f t="shared" ca="1" si="289"/>
        <v>8424.8992165283707</v>
      </c>
    </row>
    <row r="6201" spans="2:4" x14ac:dyDescent="0.25">
      <c r="B6201">
        <f t="shared" ca="1" si="290"/>
        <v>43280.578846450488</v>
      </c>
      <c r="C6201">
        <f t="shared" ca="1" si="288"/>
        <v>0</v>
      </c>
      <c r="D6201">
        <f t="shared" ca="1" si="289"/>
        <v>3280.5788464504876</v>
      </c>
    </row>
    <row r="6202" spans="2:4" x14ac:dyDescent="0.25">
      <c r="B6202">
        <f t="shared" ca="1" si="290"/>
        <v>39494.075707529613</v>
      </c>
      <c r="C6202">
        <f t="shared" ca="1" si="288"/>
        <v>505.92429247038672</v>
      </c>
      <c r="D6202">
        <f t="shared" ca="1" si="289"/>
        <v>0</v>
      </c>
    </row>
    <row r="6203" spans="2:4" x14ac:dyDescent="0.25">
      <c r="B6203">
        <f t="shared" ca="1" si="290"/>
        <v>48812.269246508724</v>
      </c>
      <c r="C6203">
        <f t="shared" ca="1" si="288"/>
        <v>0</v>
      </c>
      <c r="D6203">
        <f t="shared" ca="1" si="289"/>
        <v>8812.2692465087239</v>
      </c>
    </row>
    <row r="6204" spans="2:4" x14ac:dyDescent="0.25">
      <c r="B6204">
        <f t="shared" ca="1" si="290"/>
        <v>45008.269687318978</v>
      </c>
      <c r="C6204">
        <f t="shared" ca="1" si="288"/>
        <v>0</v>
      </c>
      <c r="D6204">
        <f t="shared" ca="1" si="289"/>
        <v>5008.269687318978</v>
      </c>
    </row>
    <row r="6205" spans="2:4" x14ac:dyDescent="0.25">
      <c r="B6205">
        <f t="shared" ca="1" si="290"/>
        <v>53959.039449991476</v>
      </c>
      <c r="C6205">
        <f t="shared" ca="1" si="288"/>
        <v>0</v>
      </c>
      <c r="D6205">
        <f t="shared" ca="1" si="289"/>
        <v>13959.039449991476</v>
      </c>
    </row>
    <row r="6206" spans="2:4" x14ac:dyDescent="0.25">
      <c r="B6206">
        <f t="shared" ca="1" si="290"/>
        <v>66274.230687010204</v>
      </c>
      <c r="C6206">
        <f t="shared" ca="1" si="288"/>
        <v>0</v>
      </c>
      <c r="D6206">
        <f t="shared" ca="1" si="289"/>
        <v>26274.230687010204</v>
      </c>
    </row>
    <row r="6207" spans="2:4" x14ac:dyDescent="0.25">
      <c r="B6207">
        <f t="shared" ca="1" si="290"/>
        <v>49321.972089306284</v>
      </c>
      <c r="C6207">
        <f t="shared" ca="1" si="288"/>
        <v>0</v>
      </c>
      <c r="D6207">
        <f t="shared" ca="1" si="289"/>
        <v>9321.972089306284</v>
      </c>
    </row>
    <row r="6208" spans="2:4" x14ac:dyDescent="0.25">
      <c r="B6208">
        <f t="shared" ca="1" si="290"/>
        <v>42616.47776805341</v>
      </c>
      <c r="C6208">
        <f t="shared" ca="1" si="288"/>
        <v>0</v>
      </c>
      <c r="D6208">
        <f t="shared" ca="1" si="289"/>
        <v>2616.4777680534098</v>
      </c>
    </row>
    <row r="6209" spans="2:4" x14ac:dyDescent="0.25">
      <c r="B6209">
        <f t="shared" ca="1" si="290"/>
        <v>47061.788628772498</v>
      </c>
      <c r="C6209">
        <f t="shared" ca="1" si="288"/>
        <v>0</v>
      </c>
      <c r="D6209">
        <f t="shared" ca="1" si="289"/>
        <v>7061.7886287724978</v>
      </c>
    </row>
    <row r="6210" spans="2:4" x14ac:dyDescent="0.25">
      <c r="B6210">
        <f t="shared" ca="1" si="290"/>
        <v>52378.566737827408</v>
      </c>
      <c r="C6210">
        <f t="shared" ca="1" si="288"/>
        <v>0</v>
      </c>
      <c r="D6210">
        <f t="shared" ca="1" si="289"/>
        <v>12378.566737827408</v>
      </c>
    </row>
    <row r="6211" spans="2:4" x14ac:dyDescent="0.25">
      <c r="B6211">
        <f t="shared" ca="1" si="290"/>
        <v>38972.741417164034</v>
      </c>
      <c r="C6211">
        <f t="shared" ca="1" si="288"/>
        <v>1027.2585828359661</v>
      </c>
      <c r="D6211">
        <f t="shared" ca="1" si="289"/>
        <v>0</v>
      </c>
    </row>
    <row r="6212" spans="2:4" x14ac:dyDescent="0.25">
      <c r="B6212">
        <f t="shared" ca="1" si="290"/>
        <v>43702.664290157249</v>
      </c>
      <c r="C6212">
        <f t="shared" ca="1" si="288"/>
        <v>0</v>
      </c>
      <c r="D6212">
        <f t="shared" ca="1" si="289"/>
        <v>3702.6642901572486</v>
      </c>
    </row>
    <row r="6213" spans="2:4" x14ac:dyDescent="0.25">
      <c r="B6213">
        <f t="shared" ca="1" si="290"/>
        <v>49401.859440809414</v>
      </c>
      <c r="C6213">
        <f t="shared" ca="1" si="288"/>
        <v>0</v>
      </c>
      <c r="D6213">
        <f t="shared" ca="1" si="289"/>
        <v>9401.8594408094141</v>
      </c>
    </row>
    <row r="6214" spans="2:4" x14ac:dyDescent="0.25">
      <c r="B6214">
        <f t="shared" ca="1" si="290"/>
        <v>45530.914354252804</v>
      </c>
      <c r="C6214">
        <f t="shared" ca="1" si="288"/>
        <v>0</v>
      </c>
      <c r="D6214">
        <f t="shared" ca="1" si="289"/>
        <v>5530.9143542528036</v>
      </c>
    </row>
    <row r="6215" spans="2:4" x14ac:dyDescent="0.25">
      <c r="B6215">
        <f t="shared" ca="1" si="290"/>
        <v>52338.788829475852</v>
      </c>
      <c r="C6215">
        <f t="shared" ca="1" si="288"/>
        <v>0</v>
      </c>
      <c r="D6215">
        <f t="shared" ca="1" si="289"/>
        <v>12338.788829475852</v>
      </c>
    </row>
    <row r="6216" spans="2:4" x14ac:dyDescent="0.25">
      <c r="B6216">
        <f t="shared" ca="1" si="290"/>
        <v>48771.569294582187</v>
      </c>
      <c r="C6216">
        <f t="shared" ca="1" si="288"/>
        <v>0</v>
      </c>
      <c r="D6216">
        <f t="shared" ca="1" si="289"/>
        <v>8771.5692945821866</v>
      </c>
    </row>
    <row r="6217" spans="2:4" x14ac:dyDescent="0.25">
      <c r="B6217">
        <f t="shared" ca="1" si="290"/>
        <v>42984.517935213778</v>
      </c>
      <c r="C6217">
        <f t="shared" ca="1" si="288"/>
        <v>0</v>
      </c>
      <c r="D6217">
        <f t="shared" ca="1" si="289"/>
        <v>2984.5179352137784</v>
      </c>
    </row>
    <row r="6218" spans="2:4" x14ac:dyDescent="0.25">
      <c r="B6218">
        <f t="shared" ca="1" si="290"/>
        <v>41510.436431636917</v>
      </c>
      <c r="C6218">
        <f t="shared" ca="1" si="288"/>
        <v>0</v>
      </c>
      <c r="D6218">
        <f t="shared" ca="1" si="289"/>
        <v>1510.4364316369174</v>
      </c>
    </row>
    <row r="6219" spans="2:4" x14ac:dyDescent="0.25">
      <c r="B6219">
        <f t="shared" ca="1" si="290"/>
        <v>43709.179420545704</v>
      </c>
      <c r="C6219">
        <f t="shared" ca="1" si="288"/>
        <v>0</v>
      </c>
      <c r="D6219">
        <f t="shared" ca="1" si="289"/>
        <v>3709.1794205457045</v>
      </c>
    </row>
    <row r="6220" spans="2:4" x14ac:dyDescent="0.25">
      <c r="B6220">
        <f t="shared" ca="1" si="290"/>
        <v>37130.684105030341</v>
      </c>
      <c r="C6220">
        <f t="shared" ref="C6220:C6283" ca="1" si="291">IF(MAX($B$2-B6220)&lt;0,0,$B$2-B6220)</f>
        <v>2869.315894969659</v>
      </c>
      <c r="D6220">
        <f t="shared" ref="D6220:D6283" ca="1" si="292">IF(MAX(B6220-$B$2)&lt;0,0,B6220-$B$2)</f>
        <v>0</v>
      </c>
    </row>
    <row r="6221" spans="2:4" x14ac:dyDescent="0.25">
      <c r="B6221">
        <f t="shared" ref="B6221:B6284" ca="1" si="293">$B$1*EXP((($B$4-($B$3^2)/2)*$B$5+$B$3*SQRT($B$5)*NORMSINV(RAND())))</f>
        <v>45798.70909697326</v>
      </c>
      <c r="C6221">
        <f t="shared" ca="1" si="291"/>
        <v>0</v>
      </c>
      <c r="D6221">
        <f t="shared" ca="1" si="292"/>
        <v>5798.7090969732599</v>
      </c>
    </row>
    <row r="6222" spans="2:4" x14ac:dyDescent="0.25">
      <c r="B6222">
        <f t="shared" ca="1" si="293"/>
        <v>53308.072359475438</v>
      </c>
      <c r="C6222">
        <f t="shared" ca="1" si="291"/>
        <v>0</v>
      </c>
      <c r="D6222">
        <f t="shared" ca="1" si="292"/>
        <v>13308.072359475438</v>
      </c>
    </row>
    <row r="6223" spans="2:4" x14ac:dyDescent="0.25">
      <c r="B6223">
        <f t="shared" ca="1" si="293"/>
        <v>41182.644017950966</v>
      </c>
      <c r="C6223">
        <f t="shared" ca="1" si="291"/>
        <v>0</v>
      </c>
      <c r="D6223">
        <f t="shared" ca="1" si="292"/>
        <v>1182.6440179509664</v>
      </c>
    </row>
    <row r="6224" spans="2:4" x14ac:dyDescent="0.25">
      <c r="B6224">
        <f t="shared" ca="1" si="293"/>
        <v>48002.725963022014</v>
      </c>
      <c r="C6224">
        <f t="shared" ca="1" si="291"/>
        <v>0</v>
      </c>
      <c r="D6224">
        <f t="shared" ca="1" si="292"/>
        <v>8002.7259630220142</v>
      </c>
    </row>
    <row r="6225" spans="2:4" x14ac:dyDescent="0.25">
      <c r="B6225">
        <f t="shared" ca="1" si="293"/>
        <v>40413.243729023226</v>
      </c>
      <c r="C6225">
        <f t="shared" ca="1" si="291"/>
        <v>0</v>
      </c>
      <c r="D6225">
        <f t="shared" ca="1" si="292"/>
        <v>413.24372902322648</v>
      </c>
    </row>
    <row r="6226" spans="2:4" x14ac:dyDescent="0.25">
      <c r="B6226">
        <f t="shared" ca="1" si="293"/>
        <v>42838.102741111303</v>
      </c>
      <c r="C6226">
        <f t="shared" ca="1" si="291"/>
        <v>0</v>
      </c>
      <c r="D6226">
        <f t="shared" ca="1" si="292"/>
        <v>2838.1027411113027</v>
      </c>
    </row>
    <row r="6227" spans="2:4" x14ac:dyDescent="0.25">
      <c r="B6227">
        <f t="shared" ca="1" si="293"/>
        <v>41888.710819606553</v>
      </c>
      <c r="C6227">
        <f t="shared" ca="1" si="291"/>
        <v>0</v>
      </c>
      <c r="D6227">
        <f t="shared" ca="1" si="292"/>
        <v>1888.7108196065528</v>
      </c>
    </row>
    <row r="6228" spans="2:4" x14ac:dyDescent="0.25">
      <c r="B6228">
        <f t="shared" ca="1" si="293"/>
        <v>49491.43251245554</v>
      </c>
      <c r="C6228">
        <f t="shared" ca="1" si="291"/>
        <v>0</v>
      </c>
      <c r="D6228">
        <f t="shared" ca="1" si="292"/>
        <v>9491.4325124555398</v>
      </c>
    </row>
    <row r="6229" spans="2:4" x14ac:dyDescent="0.25">
      <c r="B6229">
        <f t="shared" ca="1" si="293"/>
        <v>38485.812587841836</v>
      </c>
      <c r="C6229">
        <f t="shared" ca="1" si="291"/>
        <v>1514.1874121581641</v>
      </c>
      <c r="D6229">
        <f t="shared" ca="1" si="292"/>
        <v>0</v>
      </c>
    </row>
    <row r="6230" spans="2:4" x14ac:dyDescent="0.25">
      <c r="B6230">
        <f t="shared" ca="1" si="293"/>
        <v>46337.21564534121</v>
      </c>
      <c r="C6230">
        <f t="shared" ca="1" si="291"/>
        <v>0</v>
      </c>
      <c r="D6230">
        <f t="shared" ca="1" si="292"/>
        <v>6337.2156453412099</v>
      </c>
    </row>
    <row r="6231" spans="2:4" x14ac:dyDescent="0.25">
      <c r="B6231">
        <f t="shared" ca="1" si="293"/>
        <v>40752.542227284976</v>
      </c>
      <c r="C6231">
        <f t="shared" ca="1" si="291"/>
        <v>0</v>
      </c>
      <c r="D6231">
        <f t="shared" ca="1" si="292"/>
        <v>752.54222728497552</v>
      </c>
    </row>
    <row r="6232" spans="2:4" x14ac:dyDescent="0.25">
      <c r="B6232">
        <f t="shared" ca="1" si="293"/>
        <v>46911.904876586392</v>
      </c>
      <c r="C6232">
        <f t="shared" ca="1" si="291"/>
        <v>0</v>
      </c>
      <c r="D6232">
        <f t="shared" ca="1" si="292"/>
        <v>6911.9048765863918</v>
      </c>
    </row>
    <row r="6233" spans="2:4" x14ac:dyDescent="0.25">
      <c r="B6233">
        <f t="shared" ca="1" si="293"/>
        <v>48474.149081622447</v>
      </c>
      <c r="C6233">
        <f t="shared" ca="1" si="291"/>
        <v>0</v>
      </c>
      <c r="D6233">
        <f t="shared" ca="1" si="292"/>
        <v>8474.1490816224468</v>
      </c>
    </row>
    <row r="6234" spans="2:4" x14ac:dyDescent="0.25">
      <c r="B6234">
        <f t="shared" ca="1" si="293"/>
        <v>48668.849026562857</v>
      </c>
      <c r="C6234">
        <f t="shared" ca="1" si="291"/>
        <v>0</v>
      </c>
      <c r="D6234">
        <f t="shared" ca="1" si="292"/>
        <v>8668.849026562857</v>
      </c>
    </row>
    <row r="6235" spans="2:4" x14ac:dyDescent="0.25">
      <c r="B6235">
        <f t="shared" ca="1" si="293"/>
        <v>37480.300294363667</v>
      </c>
      <c r="C6235">
        <f t="shared" ca="1" si="291"/>
        <v>2519.6997056363325</v>
      </c>
      <c r="D6235">
        <f t="shared" ca="1" si="292"/>
        <v>0</v>
      </c>
    </row>
    <row r="6236" spans="2:4" x14ac:dyDescent="0.25">
      <c r="B6236">
        <f t="shared" ca="1" si="293"/>
        <v>42283.53792038851</v>
      </c>
      <c r="C6236">
        <f t="shared" ca="1" si="291"/>
        <v>0</v>
      </c>
      <c r="D6236">
        <f t="shared" ca="1" si="292"/>
        <v>2283.5379203885095</v>
      </c>
    </row>
    <row r="6237" spans="2:4" x14ac:dyDescent="0.25">
      <c r="B6237">
        <f t="shared" ca="1" si="293"/>
        <v>45269.165454486509</v>
      </c>
      <c r="C6237">
        <f t="shared" ca="1" si="291"/>
        <v>0</v>
      </c>
      <c r="D6237">
        <f t="shared" ca="1" si="292"/>
        <v>5269.1654544865087</v>
      </c>
    </row>
    <row r="6238" spans="2:4" x14ac:dyDescent="0.25">
      <c r="B6238">
        <f t="shared" ca="1" si="293"/>
        <v>38395.532459470851</v>
      </c>
      <c r="C6238">
        <f t="shared" ca="1" si="291"/>
        <v>1604.4675405291491</v>
      </c>
      <c r="D6238">
        <f t="shared" ca="1" si="292"/>
        <v>0</v>
      </c>
    </row>
    <row r="6239" spans="2:4" x14ac:dyDescent="0.25">
      <c r="B6239">
        <f t="shared" ca="1" si="293"/>
        <v>51335.258447653723</v>
      </c>
      <c r="C6239">
        <f t="shared" ca="1" si="291"/>
        <v>0</v>
      </c>
      <c r="D6239">
        <f t="shared" ca="1" si="292"/>
        <v>11335.258447653723</v>
      </c>
    </row>
    <row r="6240" spans="2:4" x14ac:dyDescent="0.25">
      <c r="B6240">
        <f t="shared" ca="1" si="293"/>
        <v>48353.451844212803</v>
      </c>
      <c r="C6240">
        <f t="shared" ca="1" si="291"/>
        <v>0</v>
      </c>
      <c r="D6240">
        <f t="shared" ca="1" si="292"/>
        <v>8353.4518442128028</v>
      </c>
    </row>
    <row r="6241" spans="2:4" x14ac:dyDescent="0.25">
      <c r="B6241">
        <f t="shared" ca="1" si="293"/>
        <v>40116.848092586828</v>
      </c>
      <c r="C6241">
        <f t="shared" ca="1" si="291"/>
        <v>0</v>
      </c>
      <c r="D6241">
        <f t="shared" ca="1" si="292"/>
        <v>116.84809258682799</v>
      </c>
    </row>
    <row r="6242" spans="2:4" x14ac:dyDescent="0.25">
      <c r="B6242">
        <f t="shared" ca="1" si="293"/>
        <v>44262.869225350863</v>
      </c>
      <c r="C6242">
        <f t="shared" ca="1" si="291"/>
        <v>0</v>
      </c>
      <c r="D6242">
        <f t="shared" ca="1" si="292"/>
        <v>4262.8692253508634</v>
      </c>
    </row>
    <row r="6243" spans="2:4" x14ac:dyDescent="0.25">
      <c r="B6243">
        <f t="shared" ca="1" si="293"/>
        <v>38154.620776539821</v>
      </c>
      <c r="C6243">
        <f t="shared" ca="1" si="291"/>
        <v>1845.3792234601788</v>
      </c>
      <c r="D6243">
        <f t="shared" ca="1" si="292"/>
        <v>0</v>
      </c>
    </row>
    <row r="6244" spans="2:4" x14ac:dyDescent="0.25">
      <c r="B6244">
        <f t="shared" ca="1" si="293"/>
        <v>55080.62597529011</v>
      </c>
      <c r="C6244">
        <f t="shared" ca="1" si="291"/>
        <v>0</v>
      </c>
      <c r="D6244">
        <f t="shared" ca="1" si="292"/>
        <v>15080.62597529011</v>
      </c>
    </row>
    <row r="6245" spans="2:4" x14ac:dyDescent="0.25">
      <c r="B6245">
        <f t="shared" ca="1" si="293"/>
        <v>42146.266854775291</v>
      </c>
      <c r="C6245">
        <f t="shared" ca="1" si="291"/>
        <v>0</v>
      </c>
      <c r="D6245">
        <f t="shared" ca="1" si="292"/>
        <v>2146.266854775291</v>
      </c>
    </row>
    <row r="6246" spans="2:4" x14ac:dyDescent="0.25">
      <c r="B6246">
        <f t="shared" ca="1" si="293"/>
        <v>39790.866552282336</v>
      </c>
      <c r="C6246">
        <f t="shared" ca="1" si="291"/>
        <v>209.13344771766424</v>
      </c>
      <c r="D6246">
        <f t="shared" ca="1" si="292"/>
        <v>0</v>
      </c>
    </row>
    <row r="6247" spans="2:4" x14ac:dyDescent="0.25">
      <c r="B6247">
        <f t="shared" ca="1" si="293"/>
        <v>40938.858537146938</v>
      </c>
      <c r="C6247">
        <f t="shared" ca="1" si="291"/>
        <v>0</v>
      </c>
      <c r="D6247">
        <f t="shared" ca="1" si="292"/>
        <v>938.85853714693803</v>
      </c>
    </row>
    <row r="6248" spans="2:4" x14ac:dyDescent="0.25">
      <c r="B6248">
        <f t="shared" ca="1" si="293"/>
        <v>40513.17474413821</v>
      </c>
      <c r="C6248">
        <f t="shared" ca="1" si="291"/>
        <v>0</v>
      </c>
      <c r="D6248">
        <f t="shared" ca="1" si="292"/>
        <v>513.17474413821037</v>
      </c>
    </row>
    <row r="6249" spans="2:4" x14ac:dyDescent="0.25">
      <c r="B6249">
        <f t="shared" ca="1" si="293"/>
        <v>49817.079297655291</v>
      </c>
      <c r="C6249">
        <f t="shared" ca="1" si="291"/>
        <v>0</v>
      </c>
      <c r="D6249">
        <f t="shared" ca="1" si="292"/>
        <v>9817.0792976552912</v>
      </c>
    </row>
    <row r="6250" spans="2:4" x14ac:dyDescent="0.25">
      <c r="B6250">
        <f t="shared" ca="1" si="293"/>
        <v>49835.453733988943</v>
      </c>
      <c r="C6250">
        <f t="shared" ca="1" si="291"/>
        <v>0</v>
      </c>
      <c r="D6250">
        <f t="shared" ca="1" si="292"/>
        <v>9835.453733988943</v>
      </c>
    </row>
    <row r="6251" spans="2:4" x14ac:dyDescent="0.25">
      <c r="B6251">
        <f t="shared" ca="1" si="293"/>
        <v>42956.061189402048</v>
      </c>
      <c r="C6251">
        <f t="shared" ca="1" si="291"/>
        <v>0</v>
      </c>
      <c r="D6251">
        <f t="shared" ca="1" si="292"/>
        <v>2956.0611894020476</v>
      </c>
    </row>
    <row r="6252" spans="2:4" x14ac:dyDescent="0.25">
      <c r="B6252">
        <f t="shared" ca="1" si="293"/>
        <v>48886.352984359299</v>
      </c>
      <c r="C6252">
        <f t="shared" ca="1" si="291"/>
        <v>0</v>
      </c>
      <c r="D6252">
        <f t="shared" ca="1" si="292"/>
        <v>8886.3529843592987</v>
      </c>
    </row>
    <row r="6253" spans="2:4" x14ac:dyDescent="0.25">
      <c r="B6253">
        <f t="shared" ca="1" si="293"/>
        <v>44811.82748321988</v>
      </c>
      <c r="C6253">
        <f t="shared" ca="1" si="291"/>
        <v>0</v>
      </c>
      <c r="D6253">
        <f t="shared" ca="1" si="292"/>
        <v>4811.8274832198804</v>
      </c>
    </row>
    <row r="6254" spans="2:4" x14ac:dyDescent="0.25">
      <c r="B6254">
        <f t="shared" ca="1" si="293"/>
        <v>51149.333749904094</v>
      </c>
      <c r="C6254">
        <f t="shared" ca="1" si="291"/>
        <v>0</v>
      </c>
      <c r="D6254">
        <f t="shared" ca="1" si="292"/>
        <v>11149.333749904094</v>
      </c>
    </row>
    <row r="6255" spans="2:4" x14ac:dyDescent="0.25">
      <c r="B6255">
        <f t="shared" ca="1" si="293"/>
        <v>42615.012154159529</v>
      </c>
      <c r="C6255">
        <f t="shared" ca="1" si="291"/>
        <v>0</v>
      </c>
      <c r="D6255">
        <f t="shared" ca="1" si="292"/>
        <v>2615.012154159529</v>
      </c>
    </row>
    <row r="6256" spans="2:4" x14ac:dyDescent="0.25">
      <c r="B6256">
        <f t="shared" ca="1" si="293"/>
        <v>45824.660923344738</v>
      </c>
      <c r="C6256">
        <f t="shared" ca="1" si="291"/>
        <v>0</v>
      </c>
      <c r="D6256">
        <f t="shared" ca="1" si="292"/>
        <v>5824.660923344738</v>
      </c>
    </row>
    <row r="6257" spans="2:4" x14ac:dyDescent="0.25">
      <c r="B6257">
        <f t="shared" ca="1" si="293"/>
        <v>44401.618306065866</v>
      </c>
      <c r="C6257">
        <f t="shared" ca="1" si="291"/>
        <v>0</v>
      </c>
      <c r="D6257">
        <f t="shared" ca="1" si="292"/>
        <v>4401.6183060658659</v>
      </c>
    </row>
    <row r="6258" spans="2:4" x14ac:dyDescent="0.25">
      <c r="B6258">
        <f t="shared" ca="1" si="293"/>
        <v>53980.489013509221</v>
      </c>
      <c r="C6258">
        <f t="shared" ca="1" si="291"/>
        <v>0</v>
      </c>
      <c r="D6258">
        <f t="shared" ca="1" si="292"/>
        <v>13980.489013509221</v>
      </c>
    </row>
    <row r="6259" spans="2:4" x14ac:dyDescent="0.25">
      <c r="B6259">
        <f t="shared" ca="1" si="293"/>
        <v>47223.341132509217</v>
      </c>
      <c r="C6259">
        <f t="shared" ca="1" si="291"/>
        <v>0</v>
      </c>
      <c r="D6259">
        <f t="shared" ca="1" si="292"/>
        <v>7223.3411325092165</v>
      </c>
    </row>
    <row r="6260" spans="2:4" x14ac:dyDescent="0.25">
      <c r="B6260">
        <f t="shared" ca="1" si="293"/>
        <v>42490.299034297248</v>
      </c>
      <c r="C6260">
        <f t="shared" ca="1" si="291"/>
        <v>0</v>
      </c>
      <c r="D6260">
        <f t="shared" ca="1" si="292"/>
        <v>2490.299034297248</v>
      </c>
    </row>
    <row r="6261" spans="2:4" x14ac:dyDescent="0.25">
      <c r="B6261">
        <f t="shared" ca="1" si="293"/>
        <v>41556.847087199734</v>
      </c>
      <c r="C6261">
        <f t="shared" ca="1" si="291"/>
        <v>0</v>
      </c>
      <c r="D6261">
        <f t="shared" ca="1" si="292"/>
        <v>1556.8470871997342</v>
      </c>
    </row>
    <row r="6262" spans="2:4" x14ac:dyDescent="0.25">
      <c r="B6262">
        <f t="shared" ca="1" si="293"/>
        <v>46461.253955266075</v>
      </c>
      <c r="C6262">
        <f t="shared" ca="1" si="291"/>
        <v>0</v>
      </c>
      <c r="D6262">
        <f t="shared" ca="1" si="292"/>
        <v>6461.2539552660746</v>
      </c>
    </row>
    <row r="6263" spans="2:4" x14ac:dyDescent="0.25">
      <c r="B6263">
        <f t="shared" ca="1" si="293"/>
        <v>45295.626275340022</v>
      </c>
      <c r="C6263">
        <f t="shared" ca="1" si="291"/>
        <v>0</v>
      </c>
      <c r="D6263">
        <f t="shared" ca="1" si="292"/>
        <v>5295.6262753400224</v>
      </c>
    </row>
    <row r="6264" spans="2:4" x14ac:dyDescent="0.25">
      <c r="B6264">
        <f t="shared" ca="1" si="293"/>
        <v>50302.036097740041</v>
      </c>
      <c r="C6264">
        <f t="shared" ca="1" si="291"/>
        <v>0</v>
      </c>
      <c r="D6264">
        <f t="shared" ca="1" si="292"/>
        <v>10302.036097740041</v>
      </c>
    </row>
    <row r="6265" spans="2:4" x14ac:dyDescent="0.25">
      <c r="B6265">
        <f t="shared" ca="1" si="293"/>
        <v>39964.88246366207</v>
      </c>
      <c r="C6265">
        <f t="shared" ca="1" si="291"/>
        <v>35.117536337929778</v>
      </c>
      <c r="D6265">
        <f t="shared" ca="1" si="292"/>
        <v>0</v>
      </c>
    </row>
    <row r="6266" spans="2:4" x14ac:dyDescent="0.25">
      <c r="B6266">
        <f t="shared" ca="1" si="293"/>
        <v>49476.236454667356</v>
      </c>
      <c r="C6266">
        <f t="shared" ca="1" si="291"/>
        <v>0</v>
      </c>
      <c r="D6266">
        <f t="shared" ca="1" si="292"/>
        <v>9476.2364546673562</v>
      </c>
    </row>
    <row r="6267" spans="2:4" x14ac:dyDescent="0.25">
      <c r="B6267">
        <f t="shared" ca="1" si="293"/>
        <v>47529.94259444184</v>
      </c>
      <c r="C6267">
        <f t="shared" ca="1" si="291"/>
        <v>0</v>
      </c>
      <c r="D6267">
        <f t="shared" ca="1" si="292"/>
        <v>7529.9425944418399</v>
      </c>
    </row>
    <row r="6268" spans="2:4" x14ac:dyDescent="0.25">
      <c r="B6268">
        <f t="shared" ca="1" si="293"/>
        <v>42584.281054181884</v>
      </c>
      <c r="C6268">
        <f t="shared" ca="1" si="291"/>
        <v>0</v>
      </c>
      <c r="D6268">
        <f t="shared" ca="1" si="292"/>
        <v>2584.2810541818835</v>
      </c>
    </row>
    <row r="6269" spans="2:4" x14ac:dyDescent="0.25">
      <c r="B6269">
        <f t="shared" ca="1" si="293"/>
        <v>49351.481249308032</v>
      </c>
      <c r="C6269">
        <f t="shared" ca="1" si="291"/>
        <v>0</v>
      </c>
      <c r="D6269">
        <f t="shared" ca="1" si="292"/>
        <v>9351.4812493080317</v>
      </c>
    </row>
    <row r="6270" spans="2:4" x14ac:dyDescent="0.25">
      <c r="B6270">
        <f t="shared" ca="1" si="293"/>
        <v>47419.268136382714</v>
      </c>
      <c r="C6270">
        <f t="shared" ca="1" si="291"/>
        <v>0</v>
      </c>
      <c r="D6270">
        <f t="shared" ca="1" si="292"/>
        <v>7419.2681363827141</v>
      </c>
    </row>
    <row r="6271" spans="2:4" x14ac:dyDescent="0.25">
      <c r="B6271">
        <f t="shared" ca="1" si="293"/>
        <v>41325.79149176932</v>
      </c>
      <c r="C6271">
        <f t="shared" ca="1" si="291"/>
        <v>0</v>
      </c>
      <c r="D6271">
        <f t="shared" ca="1" si="292"/>
        <v>1325.7914917693197</v>
      </c>
    </row>
    <row r="6272" spans="2:4" x14ac:dyDescent="0.25">
      <c r="B6272">
        <f t="shared" ca="1" si="293"/>
        <v>38351.107681741749</v>
      </c>
      <c r="C6272">
        <f t="shared" ca="1" si="291"/>
        <v>1648.8923182582512</v>
      </c>
      <c r="D6272">
        <f t="shared" ca="1" si="292"/>
        <v>0</v>
      </c>
    </row>
    <row r="6273" spans="2:4" x14ac:dyDescent="0.25">
      <c r="B6273">
        <f t="shared" ca="1" si="293"/>
        <v>49901.467418744862</v>
      </c>
      <c r="C6273">
        <f t="shared" ca="1" si="291"/>
        <v>0</v>
      </c>
      <c r="D6273">
        <f t="shared" ca="1" si="292"/>
        <v>9901.4674187448618</v>
      </c>
    </row>
    <row r="6274" spans="2:4" x14ac:dyDescent="0.25">
      <c r="B6274">
        <f t="shared" ca="1" si="293"/>
        <v>46369.374663855706</v>
      </c>
      <c r="C6274">
        <f t="shared" ca="1" si="291"/>
        <v>0</v>
      </c>
      <c r="D6274">
        <f t="shared" ca="1" si="292"/>
        <v>6369.3746638557059</v>
      </c>
    </row>
    <row r="6275" spans="2:4" x14ac:dyDescent="0.25">
      <c r="B6275">
        <f t="shared" ca="1" si="293"/>
        <v>44832.710293376171</v>
      </c>
      <c r="C6275">
        <f t="shared" ca="1" si="291"/>
        <v>0</v>
      </c>
      <c r="D6275">
        <f t="shared" ca="1" si="292"/>
        <v>4832.7102933761707</v>
      </c>
    </row>
    <row r="6276" spans="2:4" x14ac:dyDescent="0.25">
      <c r="B6276">
        <f t="shared" ca="1" si="293"/>
        <v>53186.65914185872</v>
      </c>
      <c r="C6276">
        <f t="shared" ca="1" si="291"/>
        <v>0</v>
      </c>
      <c r="D6276">
        <f t="shared" ca="1" si="292"/>
        <v>13186.65914185872</v>
      </c>
    </row>
    <row r="6277" spans="2:4" x14ac:dyDescent="0.25">
      <c r="B6277">
        <f t="shared" ca="1" si="293"/>
        <v>49612.846737133077</v>
      </c>
      <c r="C6277">
        <f t="shared" ca="1" si="291"/>
        <v>0</v>
      </c>
      <c r="D6277">
        <f t="shared" ca="1" si="292"/>
        <v>9612.8467371330771</v>
      </c>
    </row>
    <row r="6278" spans="2:4" x14ac:dyDescent="0.25">
      <c r="B6278">
        <f t="shared" ca="1" si="293"/>
        <v>44674.303766629164</v>
      </c>
      <c r="C6278">
        <f t="shared" ca="1" si="291"/>
        <v>0</v>
      </c>
      <c r="D6278">
        <f t="shared" ca="1" si="292"/>
        <v>4674.3037666291639</v>
      </c>
    </row>
    <row r="6279" spans="2:4" x14ac:dyDescent="0.25">
      <c r="B6279">
        <f t="shared" ca="1" si="293"/>
        <v>37678.799513277329</v>
      </c>
      <c r="C6279">
        <f t="shared" ca="1" si="291"/>
        <v>2321.2004867226715</v>
      </c>
      <c r="D6279">
        <f t="shared" ca="1" si="292"/>
        <v>0</v>
      </c>
    </row>
    <row r="6280" spans="2:4" x14ac:dyDescent="0.25">
      <c r="B6280">
        <f t="shared" ca="1" si="293"/>
        <v>43611.353255038593</v>
      </c>
      <c r="C6280">
        <f t="shared" ca="1" si="291"/>
        <v>0</v>
      </c>
      <c r="D6280">
        <f t="shared" ca="1" si="292"/>
        <v>3611.3532550385935</v>
      </c>
    </row>
    <row r="6281" spans="2:4" x14ac:dyDescent="0.25">
      <c r="B6281">
        <f t="shared" ca="1" si="293"/>
        <v>39804.554647125602</v>
      </c>
      <c r="C6281">
        <f t="shared" ca="1" si="291"/>
        <v>195.44535287439794</v>
      </c>
      <c r="D6281">
        <f t="shared" ca="1" si="292"/>
        <v>0</v>
      </c>
    </row>
    <row r="6282" spans="2:4" x14ac:dyDescent="0.25">
      <c r="B6282">
        <f t="shared" ca="1" si="293"/>
        <v>45220.163556090338</v>
      </c>
      <c r="C6282">
        <f t="shared" ca="1" si="291"/>
        <v>0</v>
      </c>
      <c r="D6282">
        <f t="shared" ca="1" si="292"/>
        <v>5220.1635560903378</v>
      </c>
    </row>
    <row r="6283" spans="2:4" x14ac:dyDescent="0.25">
      <c r="B6283">
        <f t="shared" ca="1" si="293"/>
        <v>46636.695064648942</v>
      </c>
      <c r="C6283">
        <f t="shared" ca="1" si="291"/>
        <v>0</v>
      </c>
      <c r="D6283">
        <f t="shared" ca="1" si="292"/>
        <v>6636.6950646489422</v>
      </c>
    </row>
    <row r="6284" spans="2:4" x14ac:dyDescent="0.25">
      <c r="B6284">
        <f t="shared" ca="1" si="293"/>
        <v>49555.677471612682</v>
      </c>
      <c r="C6284">
        <f t="shared" ref="C6284:C6347" ca="1" si="294">IF(MAX($B$2-B6284)&lt;0,0,$B$2-B6284)</f>
        <v>0</v>
      </c>
      <c r="D6284">
        <f t="shared" ref="D6284:D6347" ca="1" si="295">IF(MAX(B6284-$B$2)&lt;0,0,B6284-$B$2)</f>
        <v>9555.677471612682</v>
      </c>
    </row>
    <row r="6285" spans="2:4" x14ac:dyDescent="0.25">
      <c r="B6285">
        <f t="shared" ref="B6285:B6348" ca="1" si="296">$B$1*EXP((($B$4-($B$3^2)/2)*$B$5+$B$3*SQRT($B$5)*NORMSINV(RAND())))</f>
        <v>39907.080616626918</v>
      </c>
      <c r="C6285">
        <f t="shared" ca="1" si="294"/>
        <v>92.919383373082383</v>
      </c>
      <c r="D6285">
        <f t="shared" ca="1" si="295"/>
        <v>0</v>
      </c>
    </row>
    <row r="6286" spans="2:4" x14ac:dyDescent="0.25">
      <c r="B6286">
        <f t="shared" ca="1" si="296"/>
        <v>47541.091676542805</v>
      </c>
      <c r="C6286">
        <f t="shared" ca="1" si="294"/>
        <v>0</v>
      </c>
      <c r="D6286">
        <f t="shared" ca="1" si="295"/>
        <v>7541.0916765428046</v>
      </c>
    </row>
    <row r="6287" spans="2:4" x14ac:dyDescent="0.25">
      <c r="B6287">
        <f t="shared" ca="1" si="296"/>
        <v>48405.174803582828</v>
      </c>
      <c r="C6287">
        <f t="shared" ca="1" si="294"/>
        <v>0</v>
      </c>
      <c r="D6287">
        <f t="shared" ca="1" si="295"/>
        <v>8405.1748035828277</v>
      </c>
    </row>
    <row r="6288" spans="2:4" x14ac:dyDescent="0.25">
      <c r="B6288">
        <f t="shared" ca="1" si="296"/>
        <v>42832.527592005339</v>
      </c>
      <c r="C6288">
        <f t="shared" ca="1" si="294"/>
        <v>0</v>
      </c>
      <c r="D6288">
        <f t="shared" ca="1" si="295"/>
        <v>2832.5275920053391</v>
      </c>
    </row>
    <row r="6289" spans="2:4" x14ac:dyDescent="0.25">
      <c r="B6289">
        <f t="shared" ca="1" si="296"/>
        <v>42031.054252929549</v>
      </c>
      <c r="C6289">
        <f t="shared" ca="1" si="294"/>
        <v>0</v>
      </c>
      <c r="D6289">
        <f t="shared" ca="1" si="295"/>
        <v>2031.054252929549</v>
      </c>
    </row>
    <row r="6290" spans="2:4" x14ac:dyDescent="0.25">
      <c r="B6290">
        <f t="shared" ca="1" si="296"/>
        <v>36713.181655246983</v>
      </c>
      <c r="C6290">
        <f t="shared" ca="1" si="294"/>
        <v>3286.8183447530173</v>
      </c>
      <c r="D6290">
        <f t="shared" ca="1" si="295"/>
        <v>0</v>
      </c>
    </row>
    <row r="6291" spans="2:4" x14ac:dyDescent="0.25">
      <c r="B6291">
        <f t="shared" ca="1" si="296"/>
        <v>42914.110302978734</v>
      </c>
      <c r="C6291">
        <f t="shared" ca="1" si="294"/>
        <v>0</v>
      </c>
      <c r="D6291">
        <f t="shared" ca="1" si="295"/>
        <v>2914.1103029787337</v>
      </c>
    </row>
    <row r="6292" spans="2:4" x14ac:dyDescent="0.25">
      <c r="B6292">
        <f t="shared" ca="1" si="296"/>
        <v>47987.266568715975</v>
      </c>
      <c r="C6292">
        <f t="shared" ca="1" si="294"/>
        <v>0</v>
      </c>
      <c r="D6292">
        <f t="shared" ca="1" si="295"/>
        <v>7987.2665687159752</v>
      </c>
    </row>
    <row r="6293" spans="2:4" x14ac:dyDescent="0.25">
      <c r="B6293">
        <f t="shared" ca="1" si="296"/>
        <v>34928.595262624476</v>
      </c>
      <c r="C6293">
        <f t="shared" ca="1" si="294"/>
        <v>5071.4047373755238</v>
      </c>
      <c r="D6293">
        <f t="shared" ca="1" si="295"/>
        <v>0</v>
      </c>
    </row>
    <row r="6294" spans="2:4" x14ac:dyDescent="0.25">
      <c r="B6294">
        <f t="shared" ca="1" si="296"/>
        <v>40764.224921924753</v>
      </c>
      <c r="C6294">
        <f t="shared" ca="1" si="294"/>
        <v>0</v>
      </c>
      <c r="D6294">
        <f t="shared" ca="1" si="295"/>
        <v>764.22492192475329</v>
      </c>
    </row>
    <row r="6295" spans="2:4" x14ac:dyDescent="0.25">
      <c r="B6295">
        <f t="shared" ca="1" si="296"/>
        <v>35119.563712601455</v>
      </c>
      <c r="C6295">
        <f t="shared" ca="1" si="294"/>
        <v>4880.4362873985447</v>
      </c>
      <c r="D6295">
        <f t="shared" ca="1" si="295"/>
        <v>0</v>
      </c>
    </row>
    <row r="6296" spans="2:4" x14ac:dyDescent="0.25">
      <c r="B6296">
        <f t="shared" ca="1" si="296"/>
        <v>49038.783911956452</v>
      </c>
      <c r="C6296">
        <f t="shared" ca="1" si="294"/>
        <v>0</v>
      </c>
      <c r="D6296">
        <f t="shared" ca="1" si="295"/>
        <v>9038.7839119564524</v>
      </c>
    </row>
    <row r="6297" spans="2:4" x14ac:dyDescent="0.25">
      <c r="B6297">
        <f t="shared" ca="1" si="296"/>
        <v>39984.42190118305</v>
      </c>
      <c r="C6297">
        <f t="shared" ca="1" si="294"/>
        <v>15.578098816949932</v>
      </c>
      <c r="D6297">
        <f t="shared" ca="1" si="295"/>
        <v>0</v>
      </c>
    </row>
    <row r="6298" spans="2:4" x14ac:dyDescent="0.25">
      <c r="B6298">
        <f t="shared" ca="1" si="296"/>
        <v>51991.129207228711</v>
      </c>
      <c r="C6298">
        <f t="shared" ca="1" si="294"/>
        <v>0</v>
      </c>
      <c r="D6298">
        <f t="shared" ca="1" si="295"/>
        <v>11991.129207228711</v>
      </c>
    </row>
    <row r="6299" spans="2:4" x14ac:dyDescent="0.25">
      <c r="B6299">
        <f t="shared" ca="1" si="296"/>
        <v>54967.277284317228</v>
      </c>
      <c r="C6299">
        <f t="shared" ca="1" si="294"/>
        <v>0</v>
      </c>
      <c r="D6299">
        <f t="shared" ca="1" si="295"/>
        <v>14967.277284317228</v>
      </c>
    </row>
    <row r="6300" spans="2:4" x14ac:dyDescent="0.25">
      <c r="B6300">
        <f t="shared" ca="1" si="296"/>
        <v>44890.59966297209</v>
      </c>
      <c r="C6300">
        <f t="shared" ca="1" si="294"/>
        <v>0</v>
      </c>
      <c r="D6300">
        <f t="shared" ca="1" si="295"/>
        <v>4890.5996629720903</v>
      </c>
    </row>
    <row r="6301" spans="2:4" x14ac:dyDescent="0.25">
      <c r="B6301">
        <f t="shared" ca="1" si="296"/>
        <v>41565.604766797296</v>
      </c>
      <c r="C6301">
        <f t="shared" ca="1" si="294"/>
        <v>0</v>
      </c>
      <c r="D6301">
        <f t="shared" ca="1" si="295"/>
        <v>1565.6047667972962</v>
      </c>
    </row>
    <row r="6302" spans="2:4" x14ac:dyDescent="0.25">
      <c r="B6302">
        <f t="shared" ca="1" si="296"/>
        <v>40834.01603174246</v>
      </c>
      <c r="C6302">
        <f t="shared" ca="1" si="294"/>
        <v>0</v>
      </c>
      <c r="D6302">
        <f t="shared" ca="1" si="295"/>
        <v>834.01603174245975</v>
      </c>
    </row>
    <row r="6303" spans="2:4" x14ac:dyDescent="0.25">
      <c r="B6303">
        <f t="shared" ca="1" si="296"/>
        <v>47907.99728890026</v>
      </c>
      <c r="C6303">
        <f t="shared" ca="1" si="294"/>
        <v>0</v>
      </c>
      <c r="D6303">
        <f t="shared" ca="1" si="295"/>
        <v>7907.9972889002602</v>
      </c>
    </row>
    <row r="6304" spans="2:4" x14ac:dyDescent="0.25">
      <c r="B6304">
        <f t="shared" ca="1" si="296"/>
        <v>44736.329324499595</v>
      </c>
      <c r="C6304">
        <f t="shared" ca="1" si="294"/>
        <v>0</v>
      </c>
      <c r="D6304">
        <f t="shared" ca="1" si="295"/>
        <v>4736.3293244995948</v>
      </c>
    </row>
    <row r="6305" spans="2:4" x14ac:dyDescent="0.25">
      <c r="B6305">
        <f t="shared" ca="1" si="296"/>
        <v>45937.012873754036</v>
      </c>
      <c r="C6305">
        <f t="shared" ca="1" si="294"/>
        <v>0</v>
      </c>
      <c r="D6305">
        <f t="shared" ca="1" si="295"/>
        <v>5937.0128737540363</v>
      </c>
    </row>
    <row r="6306" spans="2:4" x14ac:dyDescent="0.25">
      <c r="B6306">
        <f t="shared" ca="1" si="296"/>
        <v>38442.163394781332</v>
      </c>
      <c r="C6306">
        <f t="shared" ca="1" si="294"/>
        <v>1557.8366052186684</v>
      </c>
      <c r="D6306">
        <f t="shared" ca="1" si="295"/>
        <v>0</v>
      </c>
    </row>
    <row r="6307" spans="2:4" x14ac:dyDescent="0.25">
      <c r="B6307">
        <f t="shared" ca="1" si="296"/>
        <v>38629.28212634923</v>
      </c>
      <c r="C6307">
        <f t="shared" ca="1" si="294"/>
        <v>1370.7178736507703</v>
      </c>
      <c r="D6307">
        <f t="shared" ca="1" si="295"/>
        <v>0</v>
      </c>
    </row>
    <row r="6308" spans="2:4" x14ac:dyDescent="0.25">
      <c r="B6308">
        <f t="shared" ca="1" si="296"/>
        <v>42180.685582927101</v>
      </c>
      <c r="C6308">
        <f t="shared" ca="1" si="294"/>
        <v>0</v>
      </c>
      <c r="D6308">
        <f t="shared" ca="1" si="295"/>
        <v>2180.6855829271008</v>
      </c>
    </row>
    <row r="6309" spans="2:4" x14ac:dyDescent="0.25">
      <c r="B6309">
        <f t="shared" ca="1" si="296"/>
        <v>46839.007398435941</v>
      </c>
      <c r="C6309">
        <f t="shared" ca="1" si="294"/>
        <v>0</v>
      </c>
      <c r="D6309">
        <f t="shared" ca="1" si="295"/>
        <v>6839.0073984359406</v>
      </c>
    </row>
    <row r="6310" spans="2:4" x14ac:dyDescent="0.25">
      <c r="B6310">
        <f t="shared" ca="1" si="296"/>
        <v>38356.280852256124</v>
      </c>
      <c r="C6310">
        <f t="shared" ca="1" si="294"/>
        <v>1643.7191477438755</v>
      </c>
      <c r="D6310">
        <f t="shared" ca="1" si="295"/>
        <v>0</v>
      </c>
    </row>
    <row r="6311" spans="2:4" x14ac:dyDescent="0.25">
      <c r="B6311">
        <f t="shared" ca="1" si="296"/>
        <v>46531.028703805176</v>
      </c>
      <c r="C6311">
        <f t="shared" ca="1" si="294"/>
        <v>0</v>
      </c>
      <c r="D6311">
        <f t="shared" ca="1" si="295"/>
        <v>6531.0287038051756</v>
      </c>
    </row>
    <row r="6312" spans="2:4" x14ac:dyDescent="0.25">
      <c r="B6312">
        <f t="shared" ca="1" si="296"/>
        <v>47188.306506847635</v>
      </c>
      <c r="C6312">
        <f t="shared" ca="1" si="294"/>
        <v>0</v>
      </c>
      <c r="D6312">
        <f t="shared" ca="1" si="295"/>
        <v>7188.3065068476353</v>
      </c>
    </row>
    <row r="6313" spans="2:4" x14ac:dyDescent="0.25">
      <c r="B6313">
        <f t="shared" ca="1" si="296"/>
        <v>47199.74325440103</v>
      </c>
      <c r="C6313">
        <f t="shared" ca="1" si="294"/>
        <v>0</v>
      </c>
      <c r="D6313">
        <f t="shared" ca="1" si="295"/>
        <v>7199.7432544010298</v>
      </c>
    </row>
    <row r="6314" spans="2:4" x14ac:dyDescent="0.25">
      <c r="B6314">
        <f t="shared" ca="1" si="296"/>
        <v>43580.088495160686</v>
      </c>
      <c r="C6314">
        <f t="shared" ca="1" si="294"/>
        <v>0</v>
      </c>
      <c r="D6314">
        <f t="shared" ca="1" si="295"/>
        <v>3580.0884951606859</v>
      </c>
    </row>
    <row r="6315" spans="2:4" x14ac:dyDescent="0.25">
      <c r="B6315">
        <f t="shared" ca="1" si="296"/>
        <v>54389.530245497815</v>
      </c>
      <c r="C6315">
        <f t="shared" ca="1" si="294"/>
        <v>0</v>
      </c>
      <c r="D6315">
        <f t="shared" ca="1" si="295"/>
        <v>14389.530245497815</v>
      </c>
    </row>
    <row r="6316" spans="2:4" x14ac:dyDescent="0.25">
      <c r="B6316">
        <f t="shared" ca="1" si="296"/>
        <v>38582.062143757117</v>
      </c>
      <c r="C6316">
        <f t="shared" ca="1" si="294"/>
        <v>1417.9378562428828</v>
      </c>
      <c r="D6316">
        <f t="shared" ca="1" si="295"/>
        <v>0</v>
      </c>
    </row>
    <row r="6317" spans="2:4" x14ac:dyDescent="0.25">
      <c r="B6317">
        <f t="shared" ca="1" si="296"/>
        <v>44112.165740244185</v>
      </c>
      <c r="C6317">
        <f t="shared" ca="1" si="294"/>
        <v>0</v>
      </c>
      <c r="D6317">
        <f t="shared" ca="1" si="295"/>
        <v>4112.1657402441851</v>
      </c>
    </row>
    <row r="6318" spans="2:4" x14ac:dyDescent="0.25">
      <c r="B6318">
        <f t="shared" ca="1" si="296"/>
        <v>43178.118118834718</v>
      </c>
      <c r="C6318">
        <f t="shared" ca="1" si="294"/>
        <v>0</v>
      </c>
      <c r="D6318">
        <f t="shared" ca="1" si="295"/>
        <v>3178.1181188347182</v>
      </c>
    </row>
    <row r="6319" spans="2:4" x14ac:dyDescent="0.25">
      <c r="B6319">
        <f t="shared" ca="1" si="296"/>
        <v>45457.041662969757</v>
      </c>
      <c r="C6319">
        <f t="shared" ca="1" si="294"/>
        <v>0</v>
      </c>
      <c r="D6319">
        <f t="shared" ca="1" si="295"/>
        <v>5457.0416629697575</v>
      </c>
    </row>
    <row r="6320" spans="2:4" x14ac:dyDescent="0.25">
      <c r="B6320">
        <f t="shared" ca="1" si="296"/>
        <v>47312.681785101202</v>
      </c>
      <c r="C6320">
        <f t="shared" ca="1" si="294"/>
        <v>0</v>
      </c>
      <c r="D6320">
        <f t="shared" ca="1" si="295"/>
        <v>7312.681785101202</v>
      </c>
    </row>
    <row r="6321" spans="2:4" x14ac:dyDescent="0.25">
      <c r="B6321">
        <f t="shared" ca="1" si="296"/>
        <v>38682.167003952178</v>
      </c>
      <c r="C6321">
        <f t="shared" ca="1" si="294"/>
        <v>1317.8329960478222</v>
      </c>
      <c r="D6321">
        <f t="shared" ca="1" si="295"/>
        <v>0</v>
      </c>
    </row>
    <row r="6322" spans="2:4" x14ac:dyDescent="0.25">
      <c r="B6322">
        <f t="shared" ca="1" si="296"/>
        <v>48499.506538523048</v>
      </c>
      <c r="C6322">
        <f t="shared" ca="1" si="294"/>
        <v>0</v>
      </c>
      <c r="D6322">
        <f t="shared" ca="1" si="295"/>
        <v>8499.5065385230482</v>
      </c>
    </row>
    <row r="6323" spans="2:4" x14ac:dyDescent="0.25">
      <c r="B6323">
        <f t="shared" ca="1" si="296"/>
        <v>41694.173672798184</v>
      </c>
      <c r="C6323">
        <f t="shared" ca="1" si="294"/>
        <v>0</v>
      </c>
      <c r="D6323">
        <f t="shared" ca="1" si="295"/>
        <v>1694.1736727981843</v>
      </c>
    </row>
    <row r="6324" spans="2:4" x14ac:dyDescent="0.25">
      <c r="B6324">
        <f t="shared" ca="1" si="296"/>
        <v>46356.588666314783</v>
      </c>
      <c r="C6324">
        <f t="shared" ca="1" si="294"/>
        <v>0</v>
      </c>
      <c r="D6324">
        <f t="shared" ca="1" si="295"/>
        <v>6356.588666314783</v>
      </c>
    </row>
    <row r="6325" spans="2:4" x14ac:dyDescent="0.25">
      <c r="B6325">
        <f t="shared" ca="1" si="296"/>
        <v>43252.011157277542</v>
      </c>
      <c r="C6325">
        <f t="shared" ca="1" si="294"/>
        <v>0</v>
      </c>
      <c r="D6325">
        <f t="shared" ca="1" si="295"/>
        <v>3252.0111572775422</v>
      </c>
    </row>
    <row r="6326" spans="2:4" x14ac:dyDescent="0.25">
      <c r="B6326">
        <f t="shared" ca="1" si="296"/>
        <v>35590.66360946362</v>
      </c>
      <c r="C6326">
        <f t="shared" ca="1" si="294"/>
        <v>4409.3363905363803</v>
      </c>
      <c r="D6326">
        <f t="shared" ca="1" si="295"/>
        <v>0</v>
      </c>
    </row>
    <row r="6327" spans="2:4" x14ac:dyDescent="0.25">
      <c r="B6327">
        <f t="shared" ca="1" si="296"/>
        <v>46339.925583948534</v>
      </c>
      <c r="C6327">
        <f t="shared" ca="1" si="294"/>
        <v>0</v>
      </c>
      <c r="D6327">
        <f t="shared" ca="1" si="295"/>
        <v>6339.925583948534</v>
      </c>
    </row>
    <row r="6328" spans="2:4" x14ac:dyDescent="0.25">
      <c r="B6328">
        <f t="shared" ca="1" si="296"/>
        <v>47283.081285881526</v>
      </c>
      <c r="C6328">
        <f t="shared" ca="1" si="294"/>
        <v>0</v>
      </c>
      <c r="D6328">
        <f t="shared" ca="1" si="295"/>
        <v>7283.0812858815261</v>
      </c>
    </row>
    <row r="6329" spans="2:4" x14ac:dyDescent="0.25">
      <c r="B6329">
        <f t="shared" ca="1" si="296"/>
        <v>46129.479943573766</v>
      </c>
      <c r="C6329">
        <f t="shared" ca="1" si="294"/>
        <v>0</v>
      </c>
      <c r="D6329">
        <f t="shared" ca="1" si="295"/>
        <v>6129.4799435737659</v>
      </c>
    </row>
    <row r="6330" spans="2:4" x14ac:dyDescent="0.25">
      <c r="B6330">
        <f t="shared" ca="1" si="296"/>
        <v>38389.409712154535</v>
      </c>
      <c r="C6330">
        <f t="shared" ca="1" si="294"/>
        <v>1610.5902878454654</v>
      </c>
      <c r="D6330">
        <f t="shared" ca="1" si="295"/>
        <v>0</v>
      </c>
    </row>
    <row r="6331" spans="2:4" x14ac:dyDescent="0.25">
      <c r="B6331">
        <f t="shared" ca="1" si="296"/>
        <v>43330.166189551739</v>
      </c>
      <c r="C6331">
        <f t="shared" ca="1" si="294"/>
        <v>0</v>
      </c>
      <c r="D6331">
        <f t="shared" ca="1" si="295"/>
        <v>3330.1661895517391</v>
      </c>
    </row>
    <row r="6332" spans="2:4" x14ac:dyDescent="0.25">
      <c r="B6332">
        <f t="shared" ca="1" si="296"/>
        <v>42883.216536429034</v>
      </c>
      <c r="C6332">
        <f t="shared" ca="1" si="294"/>
        <v>0</v>
      </c>
      <c r="D6332">
        <f t="shared" ca="1" si="295"/>
        <v>2883.216536429034</v>
      </c>
    </row>
    <row r="6333" spans="2:4" x14ac:dyDescent="0.25">
      <c r="B6333">
        <f t="shared" ca="1" si="296"/>
        <v>47098.201767500206</v>
      </c>
      <c r="C6333">
        <f t="shared" ca="1" si="294"/>
        <v>0</v>
      </c>
      <c r="D6333">
        <f t="shared" ca="1" si="295"/>
        <v>7098.2017675002062</v>
      </c>
    </row>
    <row r="6334" spans="2:4" x14ac:dyDescent="0.25">
      <c r="B6334">
        <f t="shared" ca="1" si="296"/>
        <v>44615.584376082174</v>
      </c>
      <c r="C6334">
        <f t="shared" ca="1" si="294"/>
        <v>0</v>
      </c>
      <c r="D6334">
        <f t="shared" ca="1" si="295"/>
        <v>4615.5843760821735</v>
      </c>
    </row>
    <row r="6335" spans="2:4" x14ac:dyDescent="0.25">
      <c r="B6335">
        <f t="shared" ca="1" si="296"/>
        <v>40172.877919752907</v>
      </c>
      <c r="C6335">
        <f t="shared" ca="1" si="294"/>
        <v>0</v>
      </c>
      <c r="D6335">
        <f t="shared" ca="1" si="295"/>
        <v>172.87791975290747</v>
      </c>
    </row>
    <row r="6336" spans="2:4" x14ac:dyDescent="0.25">
      <c r="B6336">
        <f t="shared" ca="1" si="296"/>
        <v>44532.61044393725</v>
      </c>
      <c r="C6336">
        <f t="shared" ca="1" si="294"/>
        <v>0</v>
      </c>
      <c r="D6336">
        <f t="shared" ca="1" si="295"/>
        <v>4532.6104439372502</v>
      </c>
    </row>
    <row r="6337" spans="2:4" x14ac:dyDescent="0.25">
      <c r="B6337">
        <f t="shared" ca="1" si="296"/>
        <v>44912.785821770092</v>
      </c>
      <c r="C6337">
        <f t="shared" ca="1" si="294"/>
        <v>0</v>
      </c>
      <c r="D6337">
        <f t="shared" ca="1" si="295"/>
        <v>4912.7858217700923</v>
      </c>
    </row>
    <row r="6338" spans="2:4" x14ac:dyDescent="0.25">
      <c r="B6338">
        <f t="shared" ca="1" si="296"/>
        <v>45143.065846525715</v>
      </c>
      <c r="C6338">
        <f t="shared" ca="1" si="294"/>
        <v>0</v>
      </c>
      <c r="D6338">
        <f t="shared" ca="1" si="295"/>
        <v>5143.0658465257147</v>
      </c>
    </row>
    <row r="6339" spans="2:4" x14ac:dyDescent="0.25">
      <c r="B6339">
        <f t="shared" ca="1" si="296"/>
        <v>42504.645435410137</v>
      </c>
      <c r="C6339">
        <f t="shared" ca="1" si="294"/>
        <v>0</v>
      </c>
      <c r="D6339">
        <f t="shared" ca="1" si="295"/>
        <v>2504.645435410137</v>
      </c>
    </row>
    <row r="6340" spans="2:4" x14ac:dyDescent="0.25">
      <c r="B6340">
        <f t="shared" ca="1" si="296"/>
        <v>38599.708169369842</v>
      </c>
      <c r="C6340">
        <f t="shared" ca="1" si="294"/>
        <v>1400.2918306301581</v>
      </c>
      <c r="D6340">
        <f t="shared" ca="1" si="295"/>
        <v>0</v>
      </c>
    </row>
    <row r="6341" spans="2:4" x14ac:dyDescent="0.25">
      <c r="B6341">
        <f t="shared" ca="1" si="296"/>
        <v>47528.408362874601</v>
      </c>
      <c r="C6341">
        <f t="shared" ca="1" si="294"/>
        <v>0</v>
      </c>
      <c r="D6341">
        <f t="shared" ca="1" si="295"/>
        <v>7528.4083628746012</v>
      </c>
    </row>
    <row r="6342" spans="2:4" x14ac:dyDescent="0.25">
      <c r="B6342">
        <f t="shared" ca="1" si="296"/>
        <v>38453.630592763278</v>
      </c>
      <c r="C6342">
        <f t="shared" ca="1" si="294"/>
        <v>1546.3694072367216</v>
      </c>
      <c r="D6342">
        <f t="shared" ca="1" si="295"/>
        <v>0</v>
      </c>
    </row>
    <row r="6343" spans="2:4" x14ac:dyDescent="0.25">
      <c r="B6343">
        <f t="shared" ca="1" si="296"/>
        <v>46995.353594521061</v>
      </c>
      <c r="C6343">
        <f t="shared" ca="1" si="294"/>
        <v>0</v>
      </c>
      <c r="D6343">
        <f t="shared" ca="1" si="295"/>
        <v>6995.3535945210606</v>
      </c>
    </row>
    <row r="6344" spans="2:4" x14ac:dyDescent="0.25">
      <c r="B6344">
        <f t="shared" ca="1" si="296"/>
        <v>41970.904995766265</v>
      </c>
      <c r="C6344">
        <f t="shared" ca="1" si="294"/>
        <v>0</v>
      </c>
      <c r="D6344">
        <f t="shared" ca="1" si="295"/>
        <v>1970.9049957662646</v>
      </c>
    </row>
    <row r="6345" spans="2:4" x14ac:dyDescent="0.25">
      <c r="B6345">
        <f t="shared" ca="1" si="296"/>
        <v>39577.736892487235</v>
      </c>
      <c r="C6345">
        <f t="shared" ca="1" si="294"/>
        <v>422.26310751276469</v>
      </c>
      <c r="D6345">
        <f t="shared" ca="1" si="295"/>
        <v>0</v>
      </c>
    </row>
    <row r="6346" spans="2:4" x14ac:dyDescent="0.25">
      <c r="B6346">
        <f t="shared" ca="1" si="296"/>
        <v>44870.738820939034</v>
      </c>
      <c r="C6346">
        <f t="shared" ca="1" si="294"/>
        <v>0</v>
      </c>
      <c r="D6346">
        <f t="shared" ca="1" si="295"/>
        <v>4870.7388209390338</v>
      </c>
    </row>
    <row r="6347" spans="2:4" x14ac:dyDescent="0.25">
      <c r="B6347">
        <f t="shared" ca="1" si="296"/>
        <v>44727.138806738236</v>
      </c>
      <c r="C6347">
        <f t="shared" ca="1" si="294"/>
        <v>0</v>
      </c>
      <c r="D6347">
        <f t="shared" ca="1" si="295"/>
        <v>4727.1388067382359</v>
      </c>
    </row>
    <row r="6348" spans="2:4" x14ac:dyDescent="0.25">
      <c r="B6348">
        <f t="shared" ca="1" si="296"/>
        <v>51359.008328604017</v>
      </c>
      <c r="C6348">
        <f t="shared" ref="C6348:C6411" ca="1" si="297">IF(MAX($B$2-B6348)&lt;0,0,$B$2-B6348)</f>
        <v>0</v>
      </c>
      <c r="D6348">
        <f t="shared" ref="D6348:D6411" ca="1" si="298">IF(MAX(B6348-$B$2)&lt;0,0,B6348-$B$2)</f>
        <v>11359.008328604017</v>
      </c>
    </row>
    <row r="6349" spans="2:4" x14ac:dyDescent="0.25">
      <c r="B6349">
        <f t="shared" ref="B6349:B6412" ca="1" si="299">$B$1*EXP((($B$4-($B$3^2)/2)*$B$5+$B$3*SQRT($B$5)*NORMSINV(RAND())))</f>
        <v>37430.973584226245</v>
      </c>
      <c r="C6349">
        <f t="shared" ca="1" si="297"/>
        <v>2569.0264157737547</v>
      </c>
      <c r="D6349">
        <f t="shared" ca="1" si="298"/>
        <v>0</v>
      </c>
    </row>
    <row r="6350" spans="2:4" x14ac:dyDescent="0.25">
      <c r="B6350">
        <f t="shared" ca="1" si="299"/>
        <v>47649.545523543318</v>
      </c>
      <c r="C6350">
        <f t="shared" ca="1" si="297"/>
        <v>0</v>
      </c>
      <c r="D6350">
        <f t="shared" ca="1" si="298"/>
        <v>7649.5455235433183</v>
      </c>
    </row>
    <row r="6351" spans="2:4" x14ac:dyDescent="0.25">
      <c r="B6351">
        <f t="shared" ca="1" si="299"/>
        <v>38016.532773582847</v>
      </c>
      <c r="C6351">
        <f t="shared" ca="1" si="297"/>
        <v>1983.4672264171531</v>
      </c>
      <c r="D6351">
        <f t="shared" ca="1" si="298"/>
        <v>0</v>
      </c>
    </row>
    <row r="6352" spans="2:4" x14ac:dyDescent="0.25">
      <c r="B6352">
        <f t="shared" ca="1" si="299"/>
        <v>45906.984034821216</v>
      </c>
      <c r="C6352">
        <f t="shared" ca="1" si="297"/>
        <v>0</v>
      </c>
      <c r="D6352">
        <f t="shared" ca="1" si="298"/>
        <v>5906.9840348212165</v>
      </c>
    </row>
    <row r="6353" spans="2:4" x14ac:dyDescent="0.25">
      <c r="B6353">
        <f t="shared" ca="1" si="299"/>
        <v>49064.574180478165</v>
      </c>
      <c r="C6353">
        <f t="shared" ca="1" si="297"/>
        <v>0</v>
      </c>
      <c r="D6353">
        <f t="shared" ca="1" si="298"/>
        <v>9064.5741804781646</v>
      </c>
    </row>
    <row r="6354" spans="2:4" x14ac:dyDescent="0.25">
      <c r="B6354">
        <f t="shared" ca="1" si="299"/>
        <v>47317.54631187387</v>
      </c>
      <c r="C6354">
        <f t="shared" ca="1" si="297"/>
        <v>0</v>
      </c>
      <c r="D6354">
        <f t="shared" ca="1" si="298"/>
        <v>7317.5463118738699</v>
      </c>
    </row>
    <row r="6355" spans="2:4" x14ac:dyDescent="0.25">
      <c r="B6355">
        <f t="shared" ca="1" si="299"/>
        <v>47127.661064425512</v>
      </c>
      <c r="C6355">
        <f t="shared" ca="1" si="297"/>
        <v>0</v>
      </c>
      <c r="D6355">
        <f t="shared" ca="1" si="298"/>
        <v>7127.6610644255124</v>
      </c>
    </row>
    <row r="6356" spans="2:4" x14ac:dyDescent="0.25">
      <c r="B6356">
        <f t="shared" ca="1" si="299"/>
        <v>41336.073593640314</v>
      </c>
      <c r="C6356">
        <f t="shared" ca="1" si="297"/>
        <v>0</v>
      </c>
      <c r="D6356">
        <f t="shared" ca="1" si="298"/>
        <v>1336.0735936403144</v>
      </c>
    </row>
    <row r="6357" spans="2:4" x14ac:dyDescent="0.25">
      <c r="B6357">
        <f t="shared" ca="1" si="299"/>
        <v>43879.742837522826</v>
      </c>
      <c r="C6357">
        <f t="shared" ca="1" si="297"/>
        <v>0</v>
      </c>
      <c r="D6357">
        <f t="shared" ca="1" si="298"/>
        <v>3879.7428375228264</v>
      </c>
    </row>
    <row r="6358" spans="2:4" x14ac:dyDescent="0.25">
      <c r="B6358">
        <f t="shared" ca="1" si="299"/>
        <v>41517.354764194148</v>
      </c>
      <c r="C6358">
        <f t="shared" ca="1" si="297"/>
        <v>0</v>
      </c>
      <c r="D6358">
        <f t="shared" ca="1" si="298"/>
        <v>1517.3547641941477</v>
      </c>
    </row>
    <row r="6359" spans="2:4" x14ac:dyDescent="0.25">
      <c r="B6359">
        <f t="shared" ca="1" si="299"/>
        <v>48700.662106603551</v>
      </c>
      <c r="C6359">
        <f t="shared" ca="1" si="297"/>
        <v>0</v>
      </c>
      <c r="D6359">
        <f t="shared" ca="1" si="298"/>
        <v>8700.6621066035514</v>
      </c>
    </row>
    <row r="6360" spans="2:4" x14ac:dyDescent="0.25">
      <c r="B6360">
        <f t="shared" ca="1" si="299"/>
        <v>44238.006333303078</v>
      </c>
      <c r="C6360">
        <f t="shared" ca="1" si="297"/>
        <v>0</v>
      </c>
      <c r="D6360">
        <f t="shared" ca="1" si="298"/>
        <v>4238.0063333030776</v>
      </c>
    </row>
    <row r="6361" spans="2:4" x14ac:dyDescent="0.25">
      <c r="B6361">
        <f t="shared" ca="1" si="299"/>
        <v>45700.216879256703</v>
      </c>
      <c r="C6361">
        <f t="shared" ca="1" si="297"/>
        <v>0</v>
      </c>
      <c r="D6361">
        <f t="shared" ca="1" si="298"/>
        <v>5700.2168792567027</v>
      </c>
    </row>
    <row r="6362" spans="2:4" x14ac:dyDescent="0.25">
      <c r="B6362">
        <f t="shared" ca="1" si="299"/>
        <v>44332.676082138911</v>
      </c>
      <c r="C6362">
        <f t="shared" ca="1" si="297"/>
        <v>0</v>
      </c>
      <c r="D6362">
        <f t="shared" ca="1" si="298"/>
        <v>4332.6760821389107</v>
      </c>
    </row>
    <row r="6363" spans="2:4" x14ac:dyDescent="0.25">
      <c r="B6363">
        <f t="shared" ca="1" si="299"/>
        <v>44246.940946110408</v>
      </c>
      <c r="C6363">
        <f t="shared" ca="1" si="297"/>
        <v>0</v>
      </c>
      <c r="D6363">
        <f t="shared" ca="1" si="298"/>
        <v>4246.9409461104078</v>
      </c>
    </row>
    <row r="6364" spans="2:4" x14ac:dyDescent="0.25">
      <c r="B6364">
        <f t="shared" ca="1" si="299"/>
        <v>38587.071267002961</v>
      </c>
      <c r="C6364">
        <f t="shared" ca="1" si="297"/>
        <v>1412.9287329970393</v>
      </c>
      <c r="D6364">
        <f t="shared" ca="1" si="298"/>
        <v>0</v>
      </c>
    </row>
    <row r="6365" spans="2:4" x14ac:dyDescent="0.25">
      <c r="B6365">
        <f t="shared" ca="1" si="299"/>
        <v>41533.08974152639</v>
      </c>
      <c r="C6365">
        <f t="shared" ca="1" si="297"/>
        <v>0</v>
      </c>
      <c r="D6365">
        <f t="shared" ca="1" si="298"/>
        <v>1533.0897415263898</v>
      </c>
    </row>
    <row r="6366" spans="2:4" x14ac:dyDescent="0.25">
      <c r="B6366">
        <f t="shared" ca="1" si="299"/>
        <v>37948.98832709837</v>
      </c>
      <c r="C6366">
        <f t="shared" ca="1" si="297"/>
        <v>2051.0116729016299</v>
      </c>
      <c r="D6366">
        <f t="shared" ca="1" si="298"/>
        <v>0</v>
      </c>
    </row>
    <row r="6367" spans="2:4" x14ac:dyDescent="0.25">
      <c r="B6367">
        <f t="shared" ca="1" si="299"/>
        <v>35747.444498745514</v>
      </c>
      <c r="C6367">
        <f t="shared" ca="1" si="297"/>
        <v>4252.5555012544864</v>
      </c>
      <c r="D6367">
        <f t="shared" ca="1" si="298"/>
        <v>0</v>
      </c>
    </row>
    <row r="6368" spans="2:4" x14ac:dyDescent="0.25">
      <c r="B6368">
        <f t="shared" ca="1" si="299"/>
        <v>44472.385727576766</v>
      </c>
      <c r="C6368">
        <f t="shared" ca="1" si="297"/>
        <v>0</v>
      </c>
      <c r="D6368">
        <f t="shared" ca="1" si="298"/>
        <v>4472.3857275767659</v>
      </c>
    </row>
    <row r="6369" spans="2:4" x14ac:dyDescent="0.25">
      <c r="B6369">
        <f t="shared" ca="1" si="299"/>
        <v>61370.466291674071</v>
      </c>
      <c r="C6369">
        <f t="shared" ca="1" si="297"/>
        <v>0</v>
      </c>
      <c r="D6369">
        <f t="shared" ca="1" si="298"/>
        <v>21370.466291674071</v>
      </c>
    </row>
    <row r="6370" spans="2:4" x14ac:dyDescent="0.25">
      <c r="B6370">
        <f t="shared" ca="1" si="299"/>
        <v>55453.689828541006</v>
      </c>
      <c r="C6370">
        <f t="shared" ca="1" si="297"/>
        <v>0</v>
      </c>
      <c r="D6370">
        <f t="shared" ca="1" si="298"/>
        <v>15453.689828541006</v>
      </c>
    </row>
    <row r="6371" spans="2:4" x14ac:dyDescent="0.25">
      <c r="B6371">
        <f t="shared" ca="1" si="299"/>
        <v>41244.594719514731</v>
      </c>
      <c r="C6371">
        <f t="shared" ca="1" si="297"/>
        <v>0</v>
      </c>
      <c r="D6371">
        <f t="shared" ca="1" si="298"/>
        <v>1244.594719514731</v>
      </c>
    </row>
    <row r="6372" spans="2:4" x14ac:dyDescent="0.25">
      <c r="B6372">
        <f t="shared" ca="1" si="299"/>
        <v>49770.102265840629</v>
      </c>
      <c r="C6372">
        <f t="shared" ca="1" si="297"/>
        <v>0</v>
      </c>
      <c r="D6372">
        <f t="shared" ca="1" si="298"/>
        <v>9770.1022658406291</v>
      </c>
    </row>
    <row r="6373" spans="2:4" x14ac:dyDescent="0.25">
      <c r="B6373">
        <f t="shared" ca="1" si="299"/>
        <v>49568.272982570787</v>
      </c>
      <c r="C6373">
        <f t="shared" ca="1" si="297"/>
        <v>0</v>
      </c>
      <c r="D6373">
        <f t="shared" ca="1" si="298"/>
        <v>9568.2729825707866</v>
      </c>
    </row>
    <row r="6374" spans="2:4" x14ac:dyDescent="0.25">
      <c r="B6374">
        <f t="shared" ca="1" si="299"/>
        <v>34581.866138306141</v>
      </c>
      <c r="C6374">
        <f t="shared" ca="1" si="297"/>
        <v>5418.1338616938592</v>
      </c>
      <c r="D6374">
        <f t="shared" ca="1" si="298"/>
        <v>0</v>
      </c>
    </row>
    <row r="6375" spans="2:4" x14ac:dyDescent="0.25">
      <c r="B6375">
        <f t="shared" ca="1" si="299"/>
        <v>55824.783246413979</v>
      </c>
      <c r="C6375">
        <f t="shared" ca="1" si="297"/>
        <v>0</v>
      </c>
      <c r="D6375">
        <f t="shared" ca="1" si="298"/>
        <v>15824.783246413979</v>
      </c>
    </row>
    <row r="6376" spans="2:4" x14ac:dyDescent="0.25">
      <c r="B6376">
        <f t="shared" ca="1" si="299"/>
        <v>47468.425782311657</v>
      </c>
      <c r="C6376">
        <f t="shared" ca="1" si="297"/>
        <v>0</v>
      </c>
      <c r="D6376">
        <f t="shared" ca="1" si="298"/>
        <v>7468.4257823116568</v>
      </c>
    </row>
    <row r="6377" spans="2:4" x14ac:dyDescent="0.25">
      <c r="B6377">
        <f t="shared" ca="1" si="299"/>
        <v>54954.908358494416</v>
      </c>
      <c r="C6377">
        <f t="shared" ca="1" si="297"/>
        <v>0</v>
      </c>
      <c r="D6377">
        <f t="shared" ca="1" si="298"/>
        <v>14954.908358494416</v>
      </c>
    </row>
    <row r="6378" spans="2:4" x14ac:dyDescent="0.25">
      <c r="B6378">
        <f t="shared" ca="1" si="299"/>
        <v>47865.640506970354</v>
      </c>
      <c r="C6378">
        <f t="shared" ca="1" si="297"/>
        <v>0</v>
      </c>
      <c r="D6378">
        <f t="shared" ca="1" si="298"/>
        <v>7865.6405069703542</v>
      </c>
    </row>
    <row r="6379" spans="2:4" x14ac:dyDescent="0.25">
      <c r="B6379">
        <f t="shared" ca="1" si="299"/>
        <v>45378.801244115486</v>
      </c>
      <c r="C6379">
        <f t="shared" ca="1" si="297"/>
        <v>0</v>
      </c>
      <c r="D6379">
        <f t="shared" ca="1" si="298"/>
        <v>5378.801244115486</v>
      </c>
    </row>
    <row r="6380" spans="2:4" x14ac:dyDescent="0.25">
      <c r="B6380">
        <f t="shared" ca="1" si="299"/>
        <v>41882.373284865796</v>
      </c>
      <c r="C6380">
        <f t="shared" ca="1" si="297"/>
        <v>0</v>
      </c>
      <c r="D6380">
        <f t="shared" ca="1" si="298"/>
        <v>1882.3732848657964</v>
      </c>
    </row>
    <row r="6381" spans="2:4" x14ac:dyDescent="0.25">
      <c r="B6381">
        <f t="shared" ca="1" si="299"/>
        <v>36813.092559693272</v>
      </c>
      <c r="C6381">
        <f t="shared" ca="1" si="297"/>
        <v>3186.9074403067279</v>
      </c>
      <c r="D6381">
        <f t="shared" ca="1" si="298"/>
        <v>0</v>
      </c>
    </row>
    <row r="6382" spans="2:4" x14ac:dyDescent="0.25">
      <c r="B6382">
        <f t="shared" ca="1" si="299"/>
        <v>40974.076997422235</v>
      </c>
      <c r="C6382">
        <f t="shared" ca="1" si="297"/>
        <v>0</v>
      </c>
      <c r="D6382">
        <f t="shared" ca="1" si="298"/>
        <v>974.07699742223485</v>
      </c>
    </row>
    <row r="6383" spans="2:4" x14ac:dyDescent="0.25">
      <c r="B6383">
        <f t="shared" ca="1" si="299"/>
        <v>40294.526394646426</v>
      </c>
      <c r="C6383">
        <f t="shared" ca="1" si="297"/>
        <v>0</v>
      </c>
      <c r="D6383">
        <f t="shared" ca="1" si="298"/>
        <v>294.52639464642562</v>
      </c>
    </row>
    <row r="6384" spans="2:4" x14ac:dyDescent="0.25">
      <c r="B6384">
        <f t="shared" ca="1" si="299"/>
        <v>49416.495949428085</v>
      </c>
      <c r="C6384">
        <f t="shared" ca="1" si="297"/>
        <v>0</v>
      </c>
      <c r="D6384">
        <f t="shared" ca="1" si="298"/>
        <v>9416.4959494280847</v>
      </c>
    </row>
    <row r="6385" spans="2:4" x14ac:dyDescent="0.25">
      <c r="B6385">
        <f t="shared" ca="1" si="299"/>
        <v>50563.784133757232</v>
      </c>
      <c r="C6385">
        <f t="shared" ca="1" si="297"/>
        <v>0</v>
      </c>
      <c r="D6385">
        <f t="shared" ca="1" si="298"/>
        <v>10563.784133757232</v>
      </c>
    </row>
    <row r="6386" spans="2:4" x14ac:dyDescent="0.25">
      <c r="B6386">
        <f t="shared" ca="1" si="299"/>
        <v>45349.545213493897</v>
      </c>
      <c r="C6386">
        <f t="shared" ca="1" si="297"/>
        <v>0</v>
      </c>
      <c r="D6386">
        <f t="shared" ca="1" si="298"/>
        <v>5349.5452134938969</v>
      </c>
    </row>
    <row r="6387" spans="2:4" x14ac:dyDescent="0.25">
      <c r="B6387">
        <f t="shared" ca="1" si="299"/>
        <v>38709.389131036725</v>
      </c>
      <c r="C6387">
        <f t="shared" ca="1" si="297"/>
        <v>1290.6108689632747</v>
      </c>
      <c r="D6387">
        <f t="shared" ca="1" si="298"/>
        <v>0</v>
      </c>
    </row>
    <row r="6388" spans="2:4" x14ac:dyDescent="0.25">
      <c r="B6388">
        <f t="shared" ca="1" si="299"/>
        <v>45249.288483582975</v>
      </c>
      <c r="C6388">
        <f t="shared" ca="1" si="297"/>
        <v>0</v>
      </c>
      <c r="D6388">
        <f t="shared" ca="1" si="298"/>
        <v>5249.2884835829755</v>
      </c>
    </row>
    <row r="6389" spans="2:4" x14ac:dyDescent="0.25">
      <c r="B6389">
        <f t="shared" ca="1" si="299"/>
        <v>42069.689018554003</v>
      </c>
      <c r="C6389">
        <f t="shared" ca="1" si="297"/>
        <v>0</v>
      </c>
      <c r="D6389">
        <f t="shared" ca="1" si="298"/>
        <v>2069.6890185540033</v>
      </c>
    </row>
    <row r="6390" spans="2:4" x14ac:dyDescent="0.25">
      <c r="B6390">
        <f t="shared" ca="1" si="299"/>
        <v>47560.419581666712</v>
      </c>
      <c r="C6390">
        <f t="shared" ca="1" si="297"/>
        <v>0</v>
      </c>
      <c r="D6390">
        <f t="shared" ca="1" si="298"/>
        <v>7560.4195816667125</v>
      </c>
    </row>
    <row r="6391" spans="2:4" x14ac:dyDescent="0.25">
      <c r="B6391">
        <f t="shared" ca="1" si="299"/>
        <v>51329.148014031111</v>
      </c>
      <c r="C6391">
        <f t="shared" ca="1" si="297"/>
        <v>0</v>
      </c>
      <c r="D6391">
        <f t="shared" ca="1" si="298"/>
        <v>11329.148014031111</v>
      </c>
    </row>
    <row r="6392" spans="2:4" x14ac:dyDescent="0.25">
      <c r="B6392">
        <f t="shared" ca="1" si="299"/>
        <v>46247.621379884702</v>
      </c>
      <c r="C6392">
        <f t="shared" ca="1" si="297"/>
        <v>0</v>
      </c>
      <c r="D6392">
        <f t="shared" ca="1" si="298"/>
        <v>6247.621379884702</v>
      </c>
    </row>
    <row r="6393" spans="2:4" x14ac:dyDescent="0.25">
      <c r="B6393">
        <f t="shared" ca="1" si="299"/>
        <v>45570.122694486919</v>
      </c>
      <c r="C6393">
        <f t="shared" ca="1" si="297"/>
        <v>0</v>
      </c>
      <c r="D6393">
        <f t="shared" ca="1" si="298"/>
        <v>5570.1226944869195</v>
      </c>
    </row>
    <row r="6394" spans="2:4" x14ac:dyDescent="0.25">
      <c r="B6394">
        <f t="shared" ca="1" si="299"/>
        <v>48012.942683917456</v>
      </c>
      <c r="C6394">
        <f t="shared" ca="1" si="297"/>
        <v>0</v>
      </c>
      <c r="D6394">
        <f t="shared" ca="1" si="298"/>
        <v>8012.9426839174557</v>
      </c>
    </row>
    <row r="6395" spans="2:4" x14ac:dyDescent="0.25">
      <c r="B6395">
        <f t="shared" ca="1" si="299"/>
        <v>43056.233302548579</v>
      </c>
      <c r="C6395">
        <f t="shared" ca="1" si="297"/>
        <v>0</v>
      </c>
      <c r="D6395">
        <f t="shared" ca="1" si="298"/>
        <v>3056.2333025485786</v>
      </c>
    </row>
    <row r="6396" spans="2:4" x14ac:dyDescent="0.25">
      <c r="B6396">
        <f t="shared" ca="1" si="299"/>
        <v>42494.214427982464</v>
      </c>
      <c r="C6396">
        <f t="shared" ca="1" si="297"/>
        <v>0</v>
      </c>
      <c r="D6396">
        <f t="shared" ca="1" si="298"/>
        <v>2494.2144279824643</v>
      </c>
    </row>
    <row r="6397" spans="2:4" x14ac:dyDescent="0.25">
      <c r="B6397">
        <f t="shared" ca="1" si="299"/>
        <v>52007.291582593789</v>
      </c>
      <c r="C6397">
        <f t="shared" ca="1" si="297"/>
        <v>0</v>
      </c>
      <c r="D6397">
        <f t="shared" ca="1" si="298"/>
        <v>12007.291582593789</v>
      </c>
    </row>
    <row r="6398" spans="2:4" x14ac:dyDescent="0.25">
      <c r="B6398">
        <f t="shared" ca="1" si="299"/>
        <v>46015.255891564993</v>
      </c>
      <c r="C6398">
        <f t="shared" ca="1" si="297"/>
        <v>0</v>
      </c>
      <c r="D6398">
        <f t="shared" ca="1" si="298"/>
        <v>6015.2558915649934</v>
      </c>
    </row>
    <row r="6399" spans="2:4" x14ac:dyDescent="0.25">
      <c r="B6399">
        <f t="shared" ca="1" si="299"/>
        <v>48367.336077613269</v>
      </c>
      <c r="C6399">
        <f t="shared" ca="1" si="297"/>
        <v>0</v>
      </c>
      <c r="D6399">
        <f t="shared" ca="1" si="298"/>
        <v>8367.3360776132686</v>
      </c>
    </row>
    <row r="6400" spans="2:4" x14ac:dyDescent="0.25">
      <c r="B6400">
        <f t="shared" ca="1" si="299"/>
        <v>46717.937025450243</v>
      </c>
      <c r="C6400">
        <f t="shared" ca="1" si="297"/>
        <v>0</v>
      </c>
      <c r="D6400">
        <f t="shared" ca="1" si="298"/>
        <v>6717.9370254502428</v>
      </c>
    </row>
    <row r="6401" spans="2:4" x14ac:dyDescent="0.25">
      <c r="B6401">
        <f t="shared" ca="1" si="299"/>
        <v>45129.622649667181</v>
      </c>
      <c r="C6401">
        <f t="shared" ca="1" si="297"/>
        <v>0</v>
      </c>
      <c r="D6401">
        <f t="shared" ca="1" si="298"/>
        <v>5129.6226496671807</v>
      </c>
    </row>
    <row r="6402" spans="2:4" x14ac:dyDescent="0.25">
      <c r="B6402">
        <f t="shared" ca="1" si="299"/>
        <v>47697.635543607699</v>
      </c>
      <c r="C6402">
        <f t="shared" ca="1" si="297"/>
        <v>0</v>
      </c>
      <c r="D6402">
        <f t="shared" ca="1" si="298"/>
        <v>7697.6355436076992</v>
      </c>
    </row>
    <row r="6403" spans="2:4" x14ac:dyDescent="0.25">
      <c r="B6403">
        <f t="shared" ca="1" si="299"/>
        <v>45612.63595498955</v>
      </c>
      <c r="C6403">
        <f t="shared" ca="1" si="297"/>
        <v>0</v>
      </c>
      <c r="D6403">
        <f t="shared" ca="1" si="298"/>
        <v>5612.6359549895496</v>
      </c>
    </row>
    <row r="6404" spans="2:4" x14ac:dyDescent="0.25">
      <c r="B6404">
        <f t="shared" ca="1" si="299"/>
        <v>36226.884602932994</v>
      </c>
      <c r="C6404">
        <f t="shared" ca="1" si="297"/>
        <v>3773.1153970670057</v>
      </c>
      <c r="D6404">
        <f t="shared" ca="1" si="298"/>
        <v>0</v>
      </c>
    </row>
    <row r="6405" spans="2:4" x14ac:dyDescent="0.25">
      <c r="B6405">
        <f t="shared" ca="1" si="299"/>
        <v>39100.997928045683</v>
      </c>
      <c r="C6405">
        <f t="shared" ca="1" si="297"/>
        <v>899.00207195431722</v>
      </c>
      <c r="D6405">
        <f t="shared" ca="1" si="298"/>
        <v>0</v>
      </c>
    </row>
    <row r="6406" spans="2:4" x14ac:dyDescent="0.25">
      <c r="B6406">
        <f t="shared" ca="1" si="299"/>
        <v>39689.148642903325</v>
      </c>
      <c r="C6406">
        <f t="shared" ca="1" si="297"/>
        <v>310.8513570966752</v>
      </c>
      <c r="D6406">
        <f t="shared" ca="1" si="298"/>
        <v>0</v>
      </c>
    </row>
    <row r="6407" spans="2:4" x14ac:dyDescent="0.25">
      <c r="B6407">
        <f t="shared" ca="1" si="299"/>
        <v>42155.415672675648</v>
      </c>
      <c r="C6407">
        <f t="shared" ca="1" si="297"/>
        <v>0</v>
      </c>
      <c r="D6407">
        <f t="shared" ca="1" si="298"/>
        <v>2155.4156726756482</v>
      </c>
    </row>
    <row r="6408" spans="2:4" x14ac:dyDescent="0.25">
      <c r="B6408">
        <f t="shared" ca="1" si="299"/>
        <v>39084.915473883419</v>
      </c>
      <c r="C6408">
        <f t="shared" ca="1" si="297"/>
        <v>915.0845261165814</v>
      </c>
      <c r="D6408">
        <f t="shared" ca="1" si="298"/>
        <v>0</v>
      </c>
    </row>
    <row r="6409" spans="2:4" x14ac:dyDescent="0.25">
      <c r="B6409">
        <f t="shared" ca="1" si="299"/>
        <v>44817.762896818909</v>
      </c>
      <c r="C6409">
        <f t="shared" ca="1" si="297"/>
        <v>0</v>
      </c>
      <c r="D6409">
        <f t="shared" ca="1" si="298"/>
        <v>4817.7628968189092</v>
      </c>
    </row>
    <row r="6410" spans="2:4" x14ac:dyDescent="0.25">
      <c r="B6410">
        <f t="shared" ca="1" si="299"/>
        <v>38200.474836980968</v>
      </c>
      <c r="C6410">
        <f t="shared" ca="1" si="297"/>
        <v>1799.5251630190323</v>
      </c>
      <c r="D6410">
        <f t="shared" ca="1" si="298"/>
        <v>0</v>
      </c>
    </row>
    <row r="6411" spans="2:4" x14ac:dyDescent="0.25">
      <c r="B6411">
        <f t="shared" ca="1" si="299"/>
        <v>46398.589783909338</v>
      </c>
      <c r="C6411">
        <f t="shared" ca="1" si="297"/>
        <v>0</v>
      </c>
      <c r="D6411">
        <f t="shared" ca="1" si="298"/>
        <v>6398.5897839093377</v>
      </c>
    </row>
    <row r="6412" spans="2:4" x14ac:dyDescent="0.25">
      <c r="B6412">
        <f t="shared" ca="1" si="299"/>
        <v>46390.87790017933</v>
      </c>
      <c r="C6412">
        <f t="shared" ref="C6412:C6475" ca="1" si="300">IF(MAX($B$2-B6412)&lt;0,0,$B$2-B6412)</f>
        <v>0</v>
      </c>
      <c r="D6412">
        <f t="shared" ref="D6412:D6475" ca="1" si="301">IF(MAX(B6412-$B$2)&lt;0,0,B6412-$B$2)</f>
        <v>6390.87790017933</v>
      </c>
    </row>
    <row r="6413" spans="2:4" x14ac:dyDescent="0.25">
      <c r="B6413">
        <f t="shared" ref="B6413:B6476" ca="1" si="302">$B$1*EXP((($B$4-($B$3^2)/2)*$B$5+$B$3*SQRT($B$5)*NORMSINV(RAND())))</f>
        <v>47347.781151999181</v>
      </c>
      <c r="C6413">
        <f t="shared" ca="1" si="300"/>
        <v>0</v>
      </c>
      <c r="D6413">
        <f t="shared" ca="1" si="301"/>
        <v>7347.781151999181</v>
      </c>
    </row>
    <row r="6414" spans="2:4" x14ac:dyDescent="0.25">
      <c r="B6414">
        <f t="shared" ca="1" si="302"/>
        <v>50713.487169142711</v>
      </c>
      <c r="C6414">
        <f t="shared" ca="1" si="300"/>
        <v>0</v>
      </c>
      <c r="D6414">
        <f t="shared" ca="1" si="301"/>
        <v>10713.487169142711</v>
      </c>
    </row>
    <row r="6415" spans="2:4" x14ac:dyDescent="0.25">
      <c r="B6415">
        <f t="shared" ca="1" si="302"/>
        <v>41176.595190800261</v>
      </c>
      <c r="C6415">
        <f t="shared" ca="1" si="300"/>
        <v>0</v>
      </c>
      <c r="D6415">
        <f t="shared" ca="1" si="301"/>
        <v>1176.5951908002608</v>
      </c>
    </row>
    <row r="6416" spans="2:4" x14ac:dyDescent="0.25">
      <c r="B6416">
        <f t="shared" ca="1" si="302"/>
        <v>44693.262083582966</v>
      </c>
      <c r="C6416">
        <f t="shared" ca="1" si="300"/>
        <v>0</v>
      </c>
      <c r="D6416">
        <f t="shared" ca="1" si="301"/>
        <v>4693.2620835829657</v>
      </c>
    </row>
    <row r="6417" spans="2:4" x14ac:dyDescent="0.25">
      <c r="B6417">
        <f t="shared" ca="1" si="302"/>
        <v>40734.544678403887</v>
      </c>
      <c r="C6417">
        <f t="shared" ca="1" si="300"/>
        <v>0</v>
      </c>
      <c r="D6417">
        <f t="shared" ca="1" si="301"/>
        <v>734.54467840388679</v>
      </c>
    </row>
    <row r="6418" spans="2:4" x14ac:dyDescent="0.25">
      <c r="B6418">
        <f t="shared" ca="1" si="302"/>
        <v>44941.208449549311</v>
      </c>
      <c r="C6418">
        <f t="shared" ca="1" si="300"/>
        <v>0</v>
      </c>
      <c r="D6418">
        <f t="shared" ca="1" si="301"/>
        <v>4941.2084495493109</v>
      </c>
    </row>
    <row r="6419" spans="2:4" x14ac:dyDescent="0.25">
      <c r="B6419">
        <f t="shared" ca="1" si="302"/>
        <v>41894.800896553184</v>
      </c>
      <c r="C6419">
        <f t="shared" ca="1" si="300"/>
        <v>0</v>
      </c>
      <c r="D6419">
        <f t="shared" ca="1" si="301"/>
        <v>1894.8008965531844</v>
      </c>
    </row>
    <row r="6420" spans="2:4" x14ac:dyDescent="0.25">
      <c r="B6420">
        <f t="shared" ca="1" si="302"/>
        <v>39827.91706513118</v>
      </c>
      <c r="C6420">
        <f t="shared" ca="1" si="300"/>
        <v>172.0829348688203</v>
      </c>
      <c r="D6420">
        <f t="shared" ca="1" si="301"/>
        <v>0</v>
      </c>
    </row>
    <row r="6421" spans="2:4" x14ac:dyDescent="0.25">
      <c r="B6421">
        <f t="shared" ca="1" si="302"/>
        <v>49011.221091660795</v>
      </c>
      <c r="C6421">
        <f t="shared" ca="1" si="300"/>
        <v>0</v>
      </c>
      <c r="D6421">
        <f t="shared" ca="1" si="301"/>
        <v>9011.2210916607946</v>
      </c>
    </row>
    <row r="6422" spans="2:4" x14ac:dyDescent="0.25">
      <c r="B6422">
        <f t="shared" ca="1" si="302"/>
        <v>43576.778032073773</v>
      </c>
      <c r="C6422">
        <f t="shared" ca="1" si="300"/>
        <v>0</v>
      </c>
      <c r="D6422">
        <f t="shared" ca="1" si="301"/>
        <v>3576.7780320737729</v>
      </c>
    </row>
    <row r="6423" spans="2:4" x14ac:dyDescent="0.25">
      <c r="B6423">
        <f t="shared" ca="1" si="302"/>
        <v>47225.247109528878</v>
      </c>
      <c r="C6423">
        <f t="shared" ca="1" si="300"/>
        <v>0</v>
      </c>
      <c r="D6423">
        <f t="shared" ca="1" si="301"/>
        <v>7225.2471095288784</v>
      </c>
    </row>
    <row r="6424" spans="2:4" x14ac:dyDescent="0.25">
      <c r="B6424">
        <f t="shared" ca="1" si="302"/>
        <v>45115.905290124887</v>
      </c>
      <c r="C6424">
        <f t="shared" ca="1" si="300"/>
        <v>0</v>
      </c>
      <c r="D6424">
        <f t="shared" ca="1" si="301"/>
        <v>5115.905290124887</v>
      </c>
    </row>
    <row r="6425" spans="2:4" x14ac:dyDescent="0.25">
      <c r="B6425">
        <f t="shared" ca="1" si="302"/>
        <v>46599.000010352596</v>
      </c>
      <c r="C6425">
        <f t="shared" ca="1" si="300"/>
        <v>0</v>
      </c>
      <c r="D6425">
        <f t="shared" ca="1" si="301"/>
        <v>6599.0000103525963</v>
      </c>
    </row>
    <row r="6426" spans="2:4" x14ac:dyDescent="0.25">
      <c r="B6426">
        <f t="shared" ca="1" si="302"/>
        <v>41664.650176856259</v>
      </c>
      <c r="C6426">
        <f t="shared" ca="1" si="300"/>
        <v>0</v>
      </c>
      <c r="D6426">
        <f t="shared" ca="1" si="301"/>
        <v>1664.6501768562593</v>
      </c>
    </row>
    <row r="6427" spans="2:4" x14ac:dyDescent="0.25">
      <c r="B6427">
        <f t="shared" ca="1" si="302"/>
        <v>46842.184413756491</v>
      </c>
      <c r="C6427">
        <f t="shared" ca="1" si="300"/>
        <v>0</v>
      </c>
      <c r="D6427">
        <f t="shared" ca="1" si="301"/>
        <v>6842.1844137564913</v>
      </c>
    </row>
    <row r="6428" spans="2:4" x14ac:dyDescent="0.25">
      <c r="B6428">
        <f t="shared" ca="1" si="302"/>
        <v>44714.464415103997</v>
      </c>
      <c r="C6428">
        <f t="shared" ca="1" si="300"/>
        <v>0</v>
      </c>
      <c r="D6428">
        <f t="shared" ca="1" si="301"/>
        <v>4714.4644151039975</v>
      </c>
    </row>
    <row r="6429" spans="2:4" x14ac:dyDescent="0.25">
      <c r="B6429">
        <f t="shared" ca="1" si="302"/>
        <v>46052.971533823926</v>
      </c>
      <c r="C6429">
        <f t="shared" ca="1" si="300"/>
        <v>0</v>
      </c>
      <c r="D6429">
        <f t="shared" ca="1" si="301"/>
        <v>6052.9715338239257</v>
      </c>
    </row>
    <row r="6430" spans="2:4" x14ac:dyDescent="0.25">
      <c r="B6430">
        <f t="shared" ca="1" si="302"/>
        <v>42133.848682308482</v>
      </c>
      <c r="C6430">
        <f t="shared" ca="1" si="300"/>
        <v>0</v>
      </c>
      <c r="D6430">
        <f t="shared" ca="1" si="301"/>
        <v>2133.8486823084822</v>
      </c>
    </row>
    <row r="6431" spans="2:4" x14ac:dyDescent="0.25">
      <c r="B6431">
        <f t="shared" ca="1" si="302"/>
        <v>43736.839456179492</v>
      </c>
      <c r="C6431">
        <f t="shared" ca="1" si="300"/>
        <v>0</v>
      </c>
      <c r="D6431">
        <f t="shared" ca="1" si="301"/>
        <v>3736.8394561794921</v>
      </c>
    </row>
    <row r="6432" spans="2:4" x14ac:dyDescent="0.25">
      <c r="B6432">
        <f t="shared" ca="1" si="302"/>
        <v>47645.090700193432</v>
      </c>
      <c r="C6432">
        <f t="shared" ca="1" si="300"/>
        <v>0</v>
      </c>
      <c r="D6432">
        <f t="shared" ca="1" si="301"/>
        <v>7645.090700193432</v>
      </c>
    </row>
    <row r="6433" spans="2:4" x14ac:dyDescent="0.25">
      <c r="B6433">
        <f t="shared" ca="1" si="302"/>
        <v>47570.506109763286</v>
      </c>
      <c r="C6433">
        <f t="shared" ca="1" si="300"/>
        <v>0</v>
      </c>
      <c r="D6433">
        <f t="shared" ca="1" si="301"/>
        <v>7570.5061097632861</v>
      </c>
    </row>
    <row r="6434" spans="2:4" x14ac:dyDescent="0.25">
      <c r="B6434">
        <f t="shared" ca="1" si="302"/>
        <v>56158.240466988689</v>
      </c>
      <c r="C6434">
        <f t="shared" ca="1" si="300"/>
        <v>0</v>
      </c>
      <c r="D6434">
        <f t="shared" ca="1" si="301"/>
        <v>16158.240466988689</v>
      </c>
    </row>
    <row r="6435" spans="2:4" x14ac:dyDescent="0.25">
      <c r="B6435">
        <f t="shared" ca="1" si="302"/>
        <v>54254.63320884361</v>
      </c>
      <c r="C6435">
        <f t="shared" ca="1" si="300"/>
        <v>0</v>
      </c>
      <c r="D6435">
        <f t="shared" ca="1" si="301"/>
        <v>14254.63320884361</v>
      </c>
    </row>
    <row r="6436" spans="2:4" x14ac:dyDescent="0.25">
      <c r="B6436">
        <f t="shared" ca="1" si="302"/>
        <v>44396.803055904376</v>
      </c>
      <c r="C6436">
        <f t="shared" ca="1" si="300"/>
        <v>0</v>
      </c>
      <c r="D6436">
        <f t="shared" ca="1" si="301"/>
        <v>4396.8030559043764</v>
      </c>
    </row>
    <row r="6437" spans="2:4" x14ac:dyDescent="0.25">
      <c r="B6437">
        <f t="shared" ca="1" si="302"/>
        <v>44015.389051127342</v>
      </c>
      <c r="C6437">
        <f t="shared" ca="1" si="300"/>
        <v>0</v>
      </c>
      <c r="D6437">
        <f t="shared" ca="1" si="301"/>
        <v>4015.3890511273421</v>
      </c>
    </row>
    <row r="6438" spans="2:4" x14ac:dyDescent="0.25">
      <c r="B6438">
        <f t="shared" ca="1" si="302"/>
        <v>44886.531995938269</v>
      </c>
      <c r="C6438">
        <f t="shared" ca="1" si="300"/>
        <v>0</v>
      </c>
      <c r="D6438">
        <f t="shared" ca="1" si="301"/>
        <v>4886.5319959382687</v>
      </c>
    </row>
    <row r="6439" spans="2:4" x14ac:dyDescent="0.25">
      <c r="B6439">
        <f t="shared" ca="1" si="302"/>
        <v>39430.639822568235</v>
      </c>
      <c r="C6439">
        <f t="shared" ca="1" si="300"/>
        <v>569.3601774317649</v>
      </c>
      <c r="D6439">
        <f t="shared" ca="1" si="301"/>
        <v>0</v>
      </c>
    </row>
    <row r="6440" spans="2:4" x14ac:dyDescent="0.25">
      <c r="B6440">
        <f t="shared" ca="1" si="302"/>
        <v>52812.767516863219</v>
      </c>
      <c r="C6440">
        <f t="shared" ca="1" si="300"/>
        <v>0</v>
      </c>
      <c r="D6440">
        <f t="shared" ca="1" si="301"/>
        <v>12812.767516863219</v>
      </c>
    </row>
    <row r="6441" spans="2:4" x14ac:dyDescent="0.25">
      <c r="B6441">
        <f t="shared" ca="1" si="302"/>
        <v>46916.906082445559</v>
      </c>
      <c r="C6441">
        <f t="shared" ca="1" si="300"/>
        <v>0</v>
      </c>
      <c r="D6441">
        <f t="shared" ca="1" si="301"/>
        <v>6916.9060824455592</v>
      </c>
    </row>
    <row r="6442" spans="2:4" x14ac:dyDescent="0.25">
      <c r="B6442">
        <f t="shared" ca="1" si="302"/>
        <v>47805.526046257954</v>
      </c>
      <c r="C6442">
        <f t="shared" ca="1" si="300"/>
        <v>0</v>
      </c>
      <c r="D6442">
        <f t="shared" ca="1" si="301"/>
        <v>7805.5260462579536</v>
      </c>
    </row>
    <row r="6443" spans="2:4" x14ac:dyDescent="0.25">
      <c r="B6443">
        <f t="shared" ca="1" si="302"/>
        <v>49725.038219525959</v>
      </c>
      <c r="C6443">
        <f t="shared" ca="1" si="300"/>
        <v>0</v>
      </c>
      <c r="D6443">
        <f t="shared" ca="1" si="301"/>
        <v>9725.038219525959</v>
      </c>
    </row>
    <row r="6444" spans="2:4" x14ac:dyDescent="0.25">
      <c r="B6444">
        <f t="shared" ca="1" si="302"/>
        <v>45524.030920148696</v>
      </c>
      <c r="C6444">
        <f t="shared" ca="1" si="300"/>
        <v>0</v>
      </c>
      <c r="D6444">
        <f t="shared" ca="1" si="301"/>
        <v>5524.0309201486962</v>
      </c>
    </row>
    <row r="6445" spans="2:4" x14ac:dyDescent="0.25">
      <c r="B6445">
        <f t="shared" ca="1" si="302"/>
        <v>44879.449930639043</v>
      </c>
      <c r="C6445">
        <f t="shared" ca="1" si="300"/>
        <v>0</v>
      </c>
      <c r="D6445">
        <f t="shared" ca="1" si="301"/>
        <v>4879.4499306390426</v>
      </c>
    </row>
    <row r="6446" spans="2:4" x14ac:dyDescent="0.25">
      <c r="B6446">
        <f t="shared" ca="1" si="302"/>
        <v>43067.44984817697</v>
      </c>
      <c r="C6446">
        <f t="shared" ca="1" si="300"/>
        <v>0</v>
      </c>
      <c r="D6446">
        <f t="shared" ca="1" si="301"/>
        <v>3067.4498481769697</v>
      </c>
    </row>
    <row r="6447" spans="2:4" x14ac:dyDescent="0.25">
      <c r="B6447">
        <f t="shared" ca="1" si="302"/>
        <v>44152.601523365949</v>
      </c>
      <c r="C6447">
        <f t="shared" ca="1" si="300"/>
        <v>0</v>
      </c>
      <c r="D6447">
        <f t="shared" ca="1" si="301"/>
        <v>4152.6015233659491</v>
      </c>
    </row>
    <row r="6448" spans="2:4" x14ac:dyDescent="0.25">
      <c r="B6448">
        <f t="shared" ca="1" si="302"/>
        <v>40008.988961737894</v>
      </c>
      <c r="C6448">
        <f t="shared" ca="1" si="300"/>
        <v>0</v>
      </c>
      <c r="D6448">
        <f t="shared" ca="1" si="301"/>
        <v>8.9889617378939874</v>
      </c>
    </row>
    <row r="6449" spans="2:4" x14ac:dyDescent="0.25">
      <c r="B6449">
        <f t="shared" ca="1" si="302"/>
        <v>52825.342555021612</v>
      </c>
      <c r="C6449">
        <f t="shared" ca="1" si="300"/>
        <v>0</v>
      </c>
      <c r="D6449">
        <f t="shared" ca="1" si="301"/>
        <v>12825.342555021612</v>
      </c>
    </row>
    <row r="6450" spans="2:4" x14ac:dyDescent="0.25">
      <c r="B6450">
        <f t="shared" ca="1" si="302"/>
        <v>50580.528815187579</v>
      </c>
      <c r="C6450">
        <f t="shared" ca="1" si="300"/>
        <v>0</v>
      </c>
      <c r="D6450">
        <f t="shared" ca="1" si="301"/>
        <v>10580.528815187579</v>
      </c>
    </row>
    <row r="6451" spans="2:4" x14ac:dyDescent="0.25">
      <c r="B6451">
        <f t="shared" ca="1" si="302"/>
        <v>41451.745640207322</v>
      </c>
      <c r="C6451">
        <f t="shared" ca="1" si="300"/>
        <v>0</v>
      </c>
      <c r="D6451">
        <f t="shared" ca="1" si="301"/>
        <v>1451.7456402073221</v>
      </c>
    </row>
    <row r="6452" spans="2:4" x14ac:dyDescent="0.25">
      <c r="B6452">
        <f t="shared" ca="1" si="302"/>
        <v>42137.591335432262</v>
      </c>
      <c r="C6452">
        <f t="shared" ca="1" si="300"/>
        <v>0</v>
      </c>
      <c r="D6452">
        <f t="shared" ca="1" si="301"/>
        <v>2137.591335432262</v>
      </c>
    </row>
    <row r="6453" spans="2:4" x14ac:dyDescent="0.25">
      <c r="B6453">
        <f t="shared" ca="1" si="302"/>
        <v>49558.770031890432</v>
      </c>
      <c r="C6453">
        <f t="shared" ca="1" si="300"/>
        <v>0</v>
      </c>
      <c r="D6453">
        <f t="shared" ca="1" si="301"/>
        <v>9558.7700318904317</v>
      </c>
    </row>
    <row r="6454" spans="2:4" x14ac:dyDescent="0.25">
      <c r="B6454">
        <f t="shared" ca="1" si="302"/>
        <v>45021.459776001117</v>
      </c>
      <c r="C6454">
        <f t="shared" ca="1" si="300"/>
        <v>0</v>
      </c>
      <c r="D6454">
        <f t="shared" ca="1" si="301"/>
        <v>5021.4597760011166</v>
      </c>
    </row>
    <row r="6455" spans="2:4" x14ac:dyDescent="0.25">
      <c r="B6455">
        <f t="shared" ca="1" si="302"/>
        <v>43831.969814702192</v>
      </c>
      <c r="C6455">
        <f t="shared" ca="1" si="300"/>
        <v>0</v>
      </c>
      <c r="D6455">
        <f t="shared" ca="1" si="301"/>
        <v>3831.9698147021918</v>
      </c>
    </row>
    <row r="6456" spans="2:4" x14ac:dyDescent="0.25">
      <c r="B6456">
        <f t="shared" ca="1" si="302"/>
        <v>42873.474141226892</v>
      </c>
      <c r="C6456">
        <f t="shared" ca="1" si="300"/>
        <v>0</v>
      </c>
      <c r="D6456">
        <f t="shared" ca="1" si="301"/>
        <v>2873.4741412268922</v>
      </c>
    </row>
    <row r="6457" spans="2:4" x14ac:dyDescent="0.25">
      <c r="B6457">
        <f t="shared" ca="1" si="302"/>
        <v>47329.183995482199</v>
      </c>
      <c r="C6457">
        <f t="shared" ca="1" si="300"/>
        <v>0</v>
      </c>
      <c r="D6457">
        <f t="shared" ca="1" si="301"/>
        <v>7329.183995482199</v>
      </c>
    </row>
    <row r="6458" spans="2:4" x14ac:dyDescent="0.25">
      <c r="B6458">
        <f t="shared" ca="1" si="302"/>
        <v>54205.447913105767</v>
      </c>
      <c r="C6458">
        <f t="shared" ca="1" si="300"/>
        <v>0</v>
      </c>
      <c r="D6458">
        <f t="shared" ca="1" si="301"/>
        <v>14205.447913105767</v>
      </c>
    </row>
    <row r="6459" spans="2:4" x14ac:dyDescent="0.25">
      <c r="B6459">
        <f t="shared" ca="1" si="302"/>
        <v>45493.673262075514</v>
      </c>
      <c r="C6459">
        <f t="shared" ca="1" si="300"/>
        <v>0</v>
      </c>
      <c r="D6459">
        <f t="shared" ca="1" si="301"/>
        <v>5493.6732620755138</v>
      </c>
    </row>
    <row r="6460" spans="2:4" x14ac:dyDescent="0.25">
      <c r="B6460">
        <f t="shared" ca="1" si="302"/>
        <v>48686.849646942632</v>
      </c>
      <c r="C6460">
        <f t="shared" ca="1" si="300"/>
        <v>0</v>
      </c>
      <c r="D6460">
        <f t="shared" ca="1" si="301"/>
        <v>8686.8496469426318</v>
      </c>
    </row>
    <row r="6461" spans="2:4" x14ac:dyDescent="0.25">
      <c r="B6461">
        <f t="shared" ca="1" si="302"/>
        <v>47497.130565425839</v>
      </c>
      <c r="C6461">
        <f t="shared" ca="1" si="300"/>
        <v>0</v>
      </c>
      <c r="D6461">
        <f t="shared" ca="1" si="301"/>
        <v>7497.1305654258394</v>
      </c>
    </row>
    <row r="6462" spans="2:4" x14ac:dyDescent="0.25">
      <c r="B6462">
        <f t="shared" ca="1" si="302"/>
        <v>43028.210336935968</v>
      </c>
      <c r="C6462">
        <f t="shared" ca="1" si="300"/>
        <v>0</v>
      </c>
      <c r="D6462">
        <f t="shared" ca="1" si="301"/>
        <v>3028.2103369359684</v>
      </c>
    </row>
    <row r="6463" spans="2:4" x14ac:dyDescent="0.25">
      <c r="B6463">
        <f t="shared" ca="1" si="302"/>
        <v>40849.527631244127</v>
      </c>
      <c r="C6463">
        <f t="shared" ca="1" si="300"/>
        <v>0</v>
      </c>
      <c r="D6463">
        <f t="shared" ca="1" si="301"/>
        <v>849.52763124412741</v>
      </c>
    </row>
    <row r="6464" spans="2:4" x14ac:dyDescent="0.25">
      <c r="B6464">
        <f t="shared" ca="1" si="302"/>
        <v>46494.742312871203</v>
      </c>
      <c r="C6464">
        <f t="shared" ca="1" si="300"/>
        <v>0</v>
      </c>
      <c r="D6464">
        <f t="shared" ca="1" si="301"/>
        <v>6494.7423128712035</v>
      </c>
    </row>
    <row r="6465" spans="2:4" x14ac:dyDescent="0.25">
      <c r="B6465">
        <f t="shared" ca="1" si="302"/>
        <v>52109.698714390091</v>
      </c>
      <c r="C6465">
        <f t="shared" ca="1" si="300"/>
        <v>0</v>
      </c>
      <c r="D6465">
        <f t="shared" ca="1" si="301"/>
        <v>12109.698714390091</v>
      </c>
    </row>
    <row r="6466" spans="2:4" x14ac:dyDescent="0.25">
      <c r="B6466">
        <f t="shared" ca="1" si="302"/>
        <v>47275.81951227456</v>
      </c>
      <c r="C6466">
        <f t="shared" ca="1" si="300"/>
        <v>0</v>
      </c>
      <c r="D6466">
        <f t="shared" ca="1" si="301"/>
        <v>7275.8195122745601</v>
      </c>
    </row>
    <row r="6467" spans="2:4" x14ac:dyDescent="0.25">
      <c r="B6467">
        <f t="shared" ca="1" si="302"/>
        <v>42766.987540409587</v>
      </c>
      <c r="C6467">
        <f t="shared" ca="1" si="300"/>
        <v>0</v>
      </c>
      <c r="D6467">
        <f t="shared" ca="1" si="301"/>
        <v>2766.9875404095874</v>
      </c>
    </row>
    <row r="6468" spans="2:4" x14ac:dyDescent="0.25">
      <c r="B6468">
        <f t="shared" ca="1" si="302"/>
        <v>49995.974542639087</v>
      </c>
      <c r="C6468">
        <f t="shared" ca="1" si="300"/>
        <v>0</v>
      </c>
      <c r="D6468">
        <f t="shared" ca="1" si="301"/>
        <v>9995.9745426390873</v>
      </c>
    </row>
    <row r="6469" spans="2:4" x14ac:dyDescent="0.25">
      <c r="B6469">
        <f t="shared" ca="1" si="302"/>
        <v>37675.021015077065</v>
      </c>
      <c r="C6469">
        <f t="shared" ca="1" si="300"/>
        <v>2324.9789849229346</v>
      </c>
      <c r="D6469">
        <f t="shared" ca="1" si="301"/>
        <v>0</v>
      </c>
    </row>
    <row r="6470" spans="2:4" x14ac:dyDescent="0.25">
      <c r="B6470">
        <f t="shared" ca="1" si="302"/>
        <v>41604.24385628142</v>
      </c>
      <c r="C6470">
        <f t="shared" ca="1" si="300"/>
        <v>0</v>
      </c>
      <c r="D6470">
        <f t="shared" ca="1" si="301"/>
        <v>1604.2438562814204</v>
      </c>
    </row>
    <row r="6471" spans="2:4" x14ac:dyDescent="0.25">
      <c r="B6471">
        <f t="shared" ca="1" si="302"/>
        <v>44040.499475716933</v>
      </c>
      <c r="C6471">
        <f t="shared" ca="1" si="300"/>
        <v>0</v>
      </c>
      <c r="D6471">
        <f t="shared" ca="1" si="301"/>
        <v>4040.4994757169334</v>
      </c>
    </row>
    <row r="6472" spans="2:4" x14ac:dyDescent="0.25">
      <c r="B6472">
        <f t="shared" ca="1" si="302"/>
        <v>40971.027701632651</v>
      </c>
      <c r="C6472">
        <f t="shared" ca="1" si="300"/>
        <v>0</v>
      </c>
      <c r="D6472">
        <f t="shared" ca="1" si="301"/>
        <v>971.02770163265086</v>
      </c>
    </row>
    <row r="6473" spans="2:4" x14ac:dyDescent="0.25">
      <c r="B6473">
        <f t="shared" ca="1" si="302"/>
        <v>52837.534742378186</v>
      </c>
      <c r="C6473">
        <f t="shared" ca="1" si="300"/>
        <v>0</v>
      </c>
      <c r="D6473">
        <f t="shared" ca="1" si="301"/>
        <v>12837.534742378186</v>
      </c>
    </row>
    <row r="6474" spans="2:4" x14ac:dyDescent="0.25">
      <c r="B6474">
        <f t="shared" ca="1" si="302"/>
        <v>48988.657959459437</v>
      </c>
      <c r="C6474">
        <f t="shared" ca="1" si="300"/>
        <v>0</v>
      </c>
      <c r="D6474">
        <f t="shared" ca="1" si="301"/>
        <v>8988.6579594594368</v>
      </c>
    </row>
    <row r="6475" spans="2:4" x14ac:dyDescent="0.25">
      <c r="B6475">
        <f t="shared" ca="1" si="302"/>
        <v>42310.635914189792</v>
      </c>
      <c r="C6475">
        <f t="shared" ca="1" si="300"/>
        <v>0</v>
      </c>
      <c r="D6475">
        <f t="shared" ca="1" si="301"/>
        <v>2310.6359141897919</v>
      </c>
    </row>
    <row r="6476" spans="2:4" x14ac:dyDescent="0.25">
      <c r="B6476">
        <f t="shared" ca="1" si="302"/>
        <v>51495.087195220898</v>
      </c>
      <c r="C6476">
        <f t="shared" ref="C6476:C6539" ca="1" si="303">IF(MAX($B$2-B6476)&lt;0,0,$B$2-B6476)</f>
        <v>0</v>
      </c>
      <c r="D6476">
        <f t="shared" ref="D6476:D6539" ca="1" si="304">IF(MAX(B6476-$B$2)&lt;0,0,B6476-$B$2)</f>
        <v>11495.087195220898</v>
      </c>
    </row>
    <row r="6477" spans="2:4" x14ac:dyDescent="0.25">
      <c r="B6477">
        <f t="shared" ref="B6477:B6540" ca="1" si="305">$B$1*EXP((($B$4-($B$3^2)/2)*$B$5+$B$3*SQRT($B$5)*NORMSINV(RAND())))</f>
        <v>47241.995543742647</v>
      </c>
      <c r="C6477">
        <f t="shared" ca="1" si="303"/>
        <v>0</v>
      </c>
      <c r="D6477">
        <f t="shared" ca="1" si="304"/>
        <v>7241.995543742647</v>
      </c>
    </row>
    <row r="6478" spans="2:4" x14ac:dyDescent="0.25">
      <c r="B6478">
        <f t="shared" ca="1" si="305"/>
        <v>42088.786864247195</v>
      </c>
      <c r="C6478">
        <f t="shared" ca="1" si="303"/>
        <v>0</v>
      </c>
      <c r="D6478">
        <f t="shared" ca="1" si="304"/>
        <v>2088.7868642471949</v>
      </c>
    </row>
    <row r="6479" spans="2:4" x14ac:dyDescent="0.25">
      <c r="B6479">
        <f t="shared" ca="1" si="305"/>
        <v>49693.106325397355</v>
      </c>
      <c r="C6479">
        <f t="shared" ca="1" si="303"/>
        <v>0</v>
      </c>
      <c r="D6479">
        <f t="shared" ca="1" si="304"/>
        <v>9693.1063253973552</v>
      </c>
    </row>
    <row r="6480" spans="2:4" x14ac:dyDescent="0.25">
      <c r="B6480">
        <f t="shared" ca="1" si="305"/>
        <v>44282.068031620787</v>
      </c>
      <c r="C6480">
        <f t="shared" ca="1" si="303"/>
        <v>0</v>
      </c>
      <c r="D6480">
        <f t="shared" ca="1" si="304"/>
        <v>4282.0680316207872</v>
      </c>
    </row>
    <row r="6481" spans="2:4" x14ac:dyDescent="0.25">
      <c r="B6481">
        <f t="shared" ca="1" si="305"/>
        <v>46349.508767723048</v>
      </c>
      <c r="C6481">
        <f t="shared" ca="1" si="303"/>
        <v>0</v>
      </c>
      <c r="D6481">
        <f t="shared" ca="1" si="304"/>
        <v>6349.5087677230476</v>
      </c>
    </row>
    <row r="6482" spans="2:4" x14ac:dyDescent="0.25">
      <c r="B6482">
        <f t="shared" ca="1" si="305"/>
        <v>43245.27780462442</v>
      </c>
      <c r="C6482">
        <f t="shared" ca="1" si="303"/>
        <v>0</v>
      </c>
      <c r="D6482">
        <f t="shared" ca="1" si="304"/>
        <v>3245.2778046244202</v>
      </c>
    </row>
    <row r="6483" spans="2:4" x14ac:dyDescent="0.25">
      <c r="B6483">
        <f t="shared" ca="1" si="305"/>
        <v>39488.925064436575</v>
      </c>
      <c r="C6483">
        <f t="shared" ca="1" si="303"/>
        <v>511.07493556342524</v>
      </c>
      <c r="D6483">
        <f t="shared" ca="1" si="304"/>
        <v>0</v>
      </c>
    </row>
    <row r="6484" spans="2:4" x14ac:dyDescent="0.25">
      <c r="B6484">
        <f t="shared" ca="1" si="305"/>
        <v>44218.318519374836</v>
      </c>
      <c r="C6484">
        <f t="shared" ca="1" si="303"/>
        <v>0</v>
      </c>
      <c r="D6484">
        <f t="shared" ca="1" si="304"/>
        <v>4218.3185193748359</v>
      </c>
    </row>
    <row r="6485" spans="2:4" x14ac:dyDescent="0.25">
      <c r="B6485">
        <f t="shared" ca="1" si="305"/>
        <v>52151.105336648703</v>
      </c>
      <c r="C6485">
        <f t="shared" ca="1" si="303"/>
        <v>0</v>
      </c>
      <c r="D6485">
        <f t="shared" ca="1" si="304"/>
        <v>12151.105336648703</v>
      </c>
    </row>
    <row r="6486" spans="2:4" x14ac:dyDescent="0.25">
      <c r="B6486">
        <f t="shared" ca="1" si="305"/>
        <v>44130.931819030127</v>
      </c>
      <c r="C6486">
        <f t="shared" ca="1" si="303"/>
        <v>0</v>
      </c>
      <c r="D6486">
        <f t="shared" ca="1" si="304"/>
        <v>4130.9318190301274</v>
      </c>
    </row>
    <row r="6487" spans="2:4" x14ac:dyDescent="0.25">
      <c r="B6487">
        <f t="shared" ca="1" si="305"/>
        <v>38587.297825535301</v>
      </c>
      <c r="C6487">
        <f t="shared" ca="1" si="303"/>
        <v>1412.7021744646991</v>
      </c>
      <c r="D6487">
        <f t="shared" ca="1" si="304"/>
        <v>0</v>
      </c>
    </row>
    <row r="6488" spans="2:4" x14ac:dyDescent="0.25">
      <c r="B6488">
        <f t="shared" ca="1" si="305"/>
        <v>40434.474226309831</v>
      </c>
      <c r="C6488">
        <f t="shared" ca="1" si="303"/>
        <v>0</v>
      </c>
      <c r="D6488">
        <f t="shared" ca="1" si="304"/>
        <v>434.47422630983056</v>
      </c>
    </row>
    <row r="6489" spans="2:4" x14ac:dyDescent="0.25">
      <c r="B6489">
        <f t="shared" ca="1" si="305"/>
        <v>40271.779729071481</v>
      </c>
      <c r="C6489">
        <f t="shared" ca="1" si="303"/>
        <v>0</v>
      </c>
      <c r="D6489">
        <f t="shared" ca="1" si="304"/>
        <v>271.77972907148069</v>
      </c>
    </row>
    <row r="6490" spans="2:4" x14ac:dyDescent="0.25">
      <c r="B6490">
        <f t="shared" ca="1" si="305"/>
        <v>41972.576732388945</v>
      </c>
      <c r="C6490">
        <f t="shared" ca="1" si="303"/>
        <v>0</v>
      </c>
      <c r="D6490">
        <f t="shared" ca="1" si="304"/>
        <v>1972.5767323889449</v>
      </c>
    </row>
    <row r="6491" spans="2:4" x14ac:dyDescent="0.25">
      <c r="B6491">
        <f t="shared" ca="1" si="305"/>
        <v>51773.653506200339</v>
      </c>
      <c r="C6491">
        <f t="shared" ca="1" si="303"/>
        <v>0</v>
      </c>
      <c r="D6491">
        <f t="shared" ca="1" si="304"/>
        <v>11773.653506200339</v>
      </c>
    </row>
    <row r="6492" spans="2:4" x14ac:dyDescent="0.25">
      <c r="B6492">
        <f t="shared" ca="1" si="305"/>
        <v>45587.182373808806</v>
      </c>
      <c r="C6492">
        <f t="shared" ca="1" si="303"/>
        <v>0</v>
      </c>
      <c r="D6492">
        <f t="shared" ca="1" si="304"/>
        <v>5587.182373808806</v>
      </c>
    </row>
    <row r="6493" spans="2:4" x14ac:dyDescent="0.25">
      <c r="B6493">
        <f t="shared" ca="1" si="305"/>
        <v>41542.940626464224</v>
      </c>
      <c r="C6493">
        <f t="shared" ca="1" si="303"/>
        <v>0</v>
      </c>
      <c r="D6493">
        <f t="shared" ca="1" si="304"/>
        <v>1542.9406264642239</v>
      </c>
    </row>
    <row r="6494" spans="2:4" x14ac:dyDescent="0.25">
      <c r="B6494">
        <f t="shared" ca="1" si="305"/>
        <v>44590.942982006942</v>
      </c>
      <c r="C6494">
        <f t="shared" ca="1" si="303"/>
        <v>0</v>
      </c>
      <c r="D6494">
        <f t="shared" ca="1" si="304"/>
        <v>4590.9429820069417</v>
      </c>
    </row>
    <row r="6495" spans="2:4" x14ac:dyDescent="0.25">
      <c r="B6495">
        <f t="shared" ca="1" si="305"/>
        <v>40129.961819267017</v>
      </c>
      <c r="C6495">
        <f t="shared" ca="1" si="303"/>
        <v>0</v>
      </c>
      <c r="D6495">
        <f t="shared" ca="1" si="304"/>
        <v>129.96181926701684</v>
      </c>
    </row>
    <row r="6496" spans="2:4" x14ac:dyDescent="0.25">
      <c r="B6496">
        <f t="shared" ca="1" si="305"/>
        <v>36141.741088882198</v>
      </c>
      <c r="C6496">
        <f t="shared" ca="1" si="303"/>
        <v>3858.2589111178022</v>
      </c>
      <c r="D6496">
        <f t="shared" ca="1" si="304"/>
        <v>0</v>
      </c>
    </row>
    <row r="6497" spans="2:4" x14ac:dyDescent="0.25">
      <c r="B6497">
        <f t="shared" ca="1" si="305"/>
        <v>45650.574729083855</v>
      </c>
      <c r="C6497">
        <f t="shared" ca="1" si="303"/>
        <v>0</v>
      </c>
      <c r="D6497">
        <f t="shared" ca="1" si="304"/>
        <v>5650.5747290838553</v>
      </c>
    </row>
    <row r="6498" spans="2:4" x14ac:dyDescent="0.25">
      <c r="B6498">
        <f t="shared" ca="1" si="305"/>
        <v>41143.631919828993</v>
      </c>
      <c r="C6498">
        <f t="shared" ca="1" si="303"/>
        <v>0</v>
      </c>
      <c r="D6498">
        <f t="shared" ca="1" si="304"/>
        <v>1143.631919828993</v>
      </c>
    </row>
    <row r="6499" spans="2:4" x14ac:dyDescent="0.25">
      <c r="B6499">
        <f t="shared" ca="1" si="305"/>
        <v>39215.872414257727</v>
      </c>
      <c r="C6499">
        <f t="shared" ca="1" si="303"/>
        <v>784.12758574227337</v>
      </c>
      <c r="D6499">
        <f t="shared" ca="1" si="304"/>
        <v>0</v>
      </c>
    </row>
    <row r="6500" spans="2:4" x14ac:dyDescent="0.25">
      <c r="B6500">
        <f t="shared" ca="1" si="305"/>
        <v>51010.651706724639</v>
      </c>
      <c r="C6500">
        <f t="shared" ca="1" si="303"/>
        <v>0</v>
      </c>
      <c r="D6500">
        <f t="shared" ca="1" si="304"/>
        <v>11010.651706724639</v>
      </c>
    </row>
    <row r="6501" spans="2:4" x14ac:dyDescent="0.25">
      <c r="B6501">
        <f t="shared" ca="1" si="305"/>
        <v>37391.452377354886</v>
      </c>
      <c r="C6501">
        <f t="shared" ca="1" si="303"/>
        <v>2608.5476226451137</v>
      </c>
      <c r="D6501">
        <f t="shared" ca="1" si="304"/>
        <v>0</v>
      </c>
    </row>
    <row r="6502" spans="2:4" x14ac:dyDescent="0.25">
      <c r="B6502">
        <f t="shared" ca="1" si="305"/>
        <v>41484.024069843326</v>
      </c>
      <c r="C6502">
        <f t="shared" ca="1" si="303"/>
        <v>0</v>
      </c>
      <c r="D6502">
        <f t="shared" ca="1" si="304"/>
        <v>1484.0240698433263</v>
      </c>
    </row>
    <row r="6503" spans="2:4" x14ac:dyDescent="0.25">
      <c r="B6503">
        <f t="shared" ca="1" si="305"/>
        <v>40252.250416985647</v>
      </c>
      <c r="C6503">
        <f t="shared" ca="1" si="303"/>
        <v>0</v>
      </c>
      <c r="D6503">
        <f t="shared" ca="1" si="304"/>
        <v>252.25041698564746</v>
      </c>
    </row>
    <row r="6504" spans="2:4" x14ac:dyDescent="0.25">
      <c r="B6504">
        <f t="shared" ca="1" si="305"/>
        <v>44562.898189965221</v>
      </c>
      <c r="C6504">
        <f t="shared" ca="1" si="303"/>
        <v>0</v>
      </c>
      <c r="D6504">
        <f t="shared" ca="1" si="304"/>
        <v>4562.8981899652208</v>
      </c>
    </row>
    <row r="6505" spans="2:4" x14ac:dyDescent="0.25">
      <c r="B6505">
        <f t="shared" ca="1" si="305"/>
        <v>42323.438000726681</v>
      </c>
      <c r="C6505">
        <f t="shared" ca="1" si="303"/>
        <v>0</v>
      </c>
      <c r="D6505">
        <f t="shared" ca="1" si="304"/>
        <v>2323.4380007266809</v>
      </c>
    </row>
    <row r="6506" spans="2:4" x14ac:dyDescent="0.25">
      <c r="B6506">
        <f t="shared" ca="1" si="305"/>
        <v>40928.87796490988</v>
      </c>
      <c r="C6506">
        <f t="shared" ca="1" si="303"/>
        <v>0</v>
      </c>
      <c r="D6506">
        <f t="shared" ca="1" si="304"/>
        <v>928.87796490987967</v>
      </c>
    </row>
    <row r="6507" spans="2:4" x14ac:dyDescent="0.25">
      <c r="B6507">
        <f t="shared" ca="1" si="305"/>
        <v>45027.062676608621</v>
      </c>
      <c r="C6507">
        <f t="shared" ca="1" si="303"/>
        <v>0</v>
      </c>
      <c r="D6507">
        <f t="shared" ca="1" si="304"/>
        <v>5027.0626766086207</v>
      </c>
    </row>
    <row r="6508" spans="2:4" x14ac:dyDescent="0.25">
      <c r="B6508">
        <f t="shared" ca="1" si="305"/>
        <v>51802.754941561412</v>
      </c>
      <c r="C6508">
        <f t="shared" ca="1" si="303"/>
        <v>0</v>
      </c>
      <c r="D6508">
        <f t="shared" ca="1" si="304"/>
        <v>11802.754941561412</v>
      </c>
    </row>
    <row r="6509" spans="2:4" x14ac:dyDescent="0.25">
      <c r="B6509">
        <f t="shared" ca="1" si="305"/>
        <v>42815.969799381266</v>
      </c>
      <c r="C6509">
        <f t="shared" ca="1" si="303"/>
        <v>0</v>
      </c>
      <c r="D6509">
        <f t="shared" ca="1" si="304"/>
        <v>2815.9697993812661</v>
      </c>
    </row>
    <row r="6510" spans="2:4" x14ac:dyDescent="0.25">
      <c r="B6510">
        <f t="shared" ca="1" si="305"/>
        <v>41146.93642007951</v>
      </c>
      <c r="C6510">
        <f t="shared" ca="1" si="303"/>
        <v>0</v>
      </c>
      <c r="D6510">
        <f t="shared" ca="1" si="304"/>
        <v>1146.9364200795098</v>
      </c>
    </row>
    <row r="6511" spans="2:4" x14ac:dyDescent="0.25">
      <c r="B6511">
        <f t="shared" ca="1" si="305"/>
        <v>40074.697870799057</v>
      </c>
      <c r="C6511">
        <f t="shared" ca="1" si="303"/>
        <v>0</v>
      </c>
      <c r="D6511">
        <f t="shared" ca="1" si="304"/>
        <v>74.697870799056545</v>
      </c>
    </row>
    <row r="6512" spans="2:4" x14ac:dyDescent="0.25">
      <c r="B6512">
        <f t="shared" ca="1" si="305"/>
        <v>45189.341562136222</v>
      </c>
      <c r="C6512">
        <f t="shared" ca="1" si="303"/>
        <v>0</v>
      </c>
      <c r="D6512">
        <f t="shared" ca="1" si="304"/>
        <v>5189.3415621362219</v>
      </c>
    </row>
    <row r="6513" spans="2:4" x14ac:dyDescent="0.25">
      <c r="B6513">
        <f t="shared" ca="1" si="305"/>
        <v>43369.344907480612</v>
      </c>
      <c r="C6513">
        <f t="shared" ca="1" si="303"/>
        <v>0</v>
      </c>
      <c r="D6513">
        <f t="shared" ca="1" si="304"/>
        <v>3369.3449074806122</v>
      </c>
    </row>
    <row r="6514" spans="2:4" x14ac:dyDescent="0.25">
      <c r="B6514">
        <f t="shared" ca="1" si="305"/>
        <v>47638.601886163306</v>
      </c>
      <c r="C6514">
        <f t="shared" ca="1" si="303"/>
        <v>0</v>
      </c>
      <c r="D6514">
        <f t="shared" ca="1" si="304"/>
        <v>7638.6018861633056</v>
      </c>
    </row>
    <row r="6515" spans="2:4" x14ac:dyDescent="0.25">
      <c r="B6515">
        <f t="shared" ca="1" si="305"/>
        <v>42237.977496373751</v>
      </c>
      <c r="C6515">
        <f t="shared" ca="1" si="303"/>
        <v>0</v>
      </c>
      <c r="D6515">
        <f t="shared" ca="1" si="304"/>
        <v>2237.9774963737509</v>
      </c>
    </row>
    <row r="6516" spans="2:4" x14ac:dyDescent="0.25">
      <c r="B6516">
        <f t="shared" ca="1" si="305"/>
        <v>41872.58439814677</v>
      </c>
      <c r="C6516">
        <f t="shared" ca="1" si="303"/>
        <v>0</v>
      </c>
      <c r="D6516">
        <f t="shared" ca="1" si="304"/>
        <v>1872.5843981467697</v>
      </c>
    </row>
    <row r="6517" spans="2:4" x14ac:dyDescent="0.25">
      <c r="B6517">
        <f t="shared" ca="1" si="305"/>
        <v>47861.592888630767</v>
      </c>
      <c r="C6517">
        <f t="shared" ca="1" si="303"/>
        <v>0</v>
      </c>
      <c r="D6517">
        <f t="shared" ca="1" si="304"/>
        <v>7861.5928886307665</v>
      </c>
    </row>
    <row r="6518" spans="2:4" x14ac:dyDescent="0.25">
      <c r="B6518">
        <f t="shared" ca="1" si="305"/>
        <v>45271.080913752856</v>
      </c>
      <c r="C6518">
        <f t="shared" ca="1" si="303"/>
        <v>0</v>
      </c>
      <c r="D6518">
        <f t="shared" ca="1" si="304"/>
        <v>5271.0809137528558</v>
      </c>
    </row>
    <row r="6519" spans="2:4" x14ac:dyDescent="0.25">
      <c r="B6519">
        <f t="shared" ca="1" si="305"/>
        <v>44646.364289578196</v>
      </c>
      <c r="C6519">
        <f t="shared" ca="1" si="303"/>
        <v>0</v>
      </c>
      <c r="D6519">
        <f t="shared" ca="1" si="304"/>
        <v>4646.3642895781959</v>
      </c>
    </row>
    <row r="6520" spans="2:4" x14ac:dyDescent="0.25">
      <c r="B6520">
        <f t="shared" ca="1" si="305"/>
        <v>41688.993170714093</v>
      </c>
      <c r="C6520">
        <f t="shared" ca="1" si="303"/>
        <v>0</v>
      </c>
      <c r="D6520">
        <f t="shared" ca="1" si="304"/>
        <v>1688.9931707140931</v>
      </c>
    </row>
    <row r="6521" spans="2:4" x14ac:dyDescent="0.25">
      <c r="B6521">
        <f t="shared" ca="1" si="305"/>
        <v>40677.444962264752</v>
      </c>
      <c r="C6521">
        <f t="shared" ca="1" si="303"/>
        <v>0</v>
      </c>
      <c r="D6521">
        <f t="shared" ca="1" si="304"/>
        <v>677.44496226475167</v>
      </c>
    </row>
    <row r="6522" spans="2:4" x14ac:dyDescent="0.25">
      <c r="B6522">
        <f t="shared" ca="1" si="305"/>
        <v>43232.046162069113</v>
      </c>
      <c r="C6522">
        <f t="shared" ca="1" si="303"/>
        <v>0</v>
      </c>
      <c r="D6522">
        <f t="shared" ca="1" si="304"/>
        <v>3232.0461620691131</v>
      </c>
    </row>
    <row r="6523" spans="2:4" x14ac:dyDescent="0.25">
      <c r="B6523">
        <f t="shared" ca="1" si="305"/>
        <v>49509.641772199218</v>
      </c>
      <c r="C6523">
        <f t="shared" ca="1" si="303"/>
        <v>0</v>
      </c>
      <c r="D6523">
        <f t="shared" ca="1" si="304"/>
        <v>9509.6417721992184</v>
      </c>
    </row>
    <row r="6524" spans="2:4" x14ac:dyDescent="0.25">
      <c r="B6524">
        <f t="shared" ca="1" si="305"/>
        <v>42761.079779871921</v>
      </c>
      <c r="C6524">
        <f t="shared" ca="1" si="303"/>
        <v>0</v>
      </c>
      <c r="D6524">
        <f t="shared" ca="1" si="304"/>
        <v>2761.0797798719213</v>
      </c>
    </row>
    <row r="6525" spans="2:4" x14ac:dyDescent="0.25">
      <c r="B6525">
        <f t="shared" ca="1" si="305"/>
        <v>44295.910108071927</v>
      </c>
      <c r="C6525">
        <f t="shared" ca="1" si="303"/>
        <v>0</v>
      </c>
      <c r="D6525">
        <f t="shared" ca="1" si="304"/>
        <v>4295.9101080719265</v>
      </c>
    </row>
    <row r="6526" spans="2:4" x14ac:dyDescent="0.25">
      <c r="B6526">
        <f t="shared" ca="1" si="305"/>
        <v>47093.624473106065</v>
      </c>
      <c r="C6526">
        <f t="shared" ca="1" si="303"/>
        <v>0</v>
      </c>
      <c r="D6526">
        <f t="shared" ca="1" si="304"/>
        <v>7093.6244731060651</v>
      </c>
    </row>
    <row r="6527" spans="2:4" x14ac:dyDescent="0.25">
      <c r="B6527">
        <f t="shared" ca="1" si="305"/>
        <v>48230.998730814412</v>
      </c>
      <c r="C6527">
        <f t="shared" ca="1" si="303"/>
        <v>0</v>
      </c>
      <c r="D6527">
        <f t="shared" ca="1" si="304"/>
        <v>8230.9987308144118</v>
      </c>
    </row>
    <row r="6528" spans="2:4" x14ac:dyDescent="0.25">
      <c r="B6528">
        <f t="shared" ca="1" si="305"/>
        <v>48761.239033417063</v>
      </c>
      <c r="C6528">
        <f t="shared" ca="1" si="303"/>
        <v>0</v>
      </c>
      <c r="D6528">
        <f t="shared" ca="1" si="304"/>
        <v>8761.2390334170632</v>
      </c>
    </row>
    <row r="6529" spans="2:4" x14ac:dyDescent="0.25">
      <c r="B6529">
        <f t="shared" ca="1" si="305"/>
        <v>46951.908239859709</v>
      </c>
      <c r="C6529">
        <f t="shared" ca="1" si="303"/>
        <v>0</v>
      </c>
      <c r="D6529">
        <f t="shared" ca="1" si="304"/>
        <v>6951.9082398597093</v>
      </c>
    </row>
    <row r="6530" spans="2:4" x14ac:dyDescent="0.25">
      <c r="B6530">
        <f t="shared" ca="1" si="305"/>
        <v>47913.302793777701</v>
      </c>
      <c r="C6530">
        <f t="shared" ca="1" si="303"/>
        <v>0</v>
      </c>
      <c r="D6530">
        <f t="shared" ca="1" si="304"/>
        <v>7913.3027937777006</v>
      </c>
    </row>
    <row r="6531" spans="2:4" x14ac:dyDescent="0.25">
      <c r="B6531">
        <f t="shared" ca="1" si="305"/>
        <v>49963.117393704342</v>
      </c>
      <c r="C6531">
        <f t="shared" ca="1" si="303"/>
        <v>0</v>
      </c>
      <c r="D6531">
        <f t="shared" ca="1" si="304"/>
        <v>9963.1173937043422</v>
      </c>
    </row>
    <row r="6532" spans="2:4" x14ac:dyDescent="0.25">
      <c r="B6532">
        <f t="shared" ca="1" si="305"/>
        <v>39662.580012865241</v>
      </c>
      <c r="C6532">
        <f t="shared" ca="1" si="303"/>
        <v>337.41998713475914</v>
      </c>
      <c r="D6532">
        <f t="shared" ca="1" si="304"/>
        <v>0</v>
      </c>
    </row>
    <row r="6533" spans="2:4" x14ac:dyDescent="0.25">
      <c r="B6533">
        <f t="shared" ca="1" si="305"/>
        <v>43156.707607531782</v>
      </c>
      <c r="C6533">
        <f t="shared" ca="1" si="303"/>
        <v>0</v>
      </c>
      <c r="D6533">
        <f t="shared" ca="1" si="304"/>
        <v>3156.7076075317818</v>
      </c>
    </row>
    <row r="6534" spans="2:4" x14ac:dyDescent="0.25">
      <c r="B6534">
        <f t="shared" ca="1" si="305"/>
        <v>43107.65784061671</v>
      </c>
      <c r="C6534">
        <f t="shared" ca="1" si="303"/>
        <v>0</v>
      </c>
      <c r="D6534">
        <f t="shared" ca="1" si="304"/>
        <v>3107.65784061671</v>
      </c>
    </row>
    <row r="6535" spans="2:4" x14ac:dyDescent="0.25">
      <c r="B6535">
        <f t="shared" ca="1" si="305"/>
        <v>38938.234857019466</v>
      </c>
      <c r="C6535">
        <f t="shared" ca="1" si="303"/>
        <v>1061.7651429805337</v>
      </c>
      <c r="D6535">
        <f t="shared" ca="1" si="304"/>
        <v>0</v>
      </c>
    </row>
    <row r="6536" spans="2:4" x14ac:dyDescent="0.25">
      <c r="B6536">
        <f t="shared" ca="1" si="305"/>
        <v>45423.973817360238</v>
      </c>
      <c r="C6536">
        <f t="shared" ca="1" si="303"/>
        <v>0</v>
      </c>
      <c r="D6536">
        <f t="shared" ca="1" si="304"/>
        <v>5423.9738173602382</v>
      </c>
    </row>
    <row r="6537" spans="2:4" x14ac:dyDescent="0.25">
      <c r="B6537">
        <f t="shared" ca="1" si="305"/>
        <v>43174.635688357499</v>
      </c>
      <c r="C6537">
        <f t="shared" ca="1" si="303"/>
        <v>0</v>
      </c>
      <c r="D6537">
        <f t="shared" ca="1" si="304"/>
        <v>3174.635688357499</v>
      </c>
    </row>
    <row r="6538" spans="2:4" x14ac:dyDescent="0.25">
      <c r="B6538">
        <f t="shared" ca="1" si="305"/>
        <v>40266.323628904669</v>
      </c>
      <c r="C6538">
        <f t="shared" ca="1" si="303"/>
        <v>0</v>
      </c>
      <c r="D6538">
        <f t="shared" ca="1" si="304"/>
        <v>266.32362890466902</v>
      </c>
    </row>
    <row r="6539" spans="2:4" x14ac:dyDescent="0.25">
      <c r="B6539">
        <f t="shared" ca="1" si="305"/>
        <v>46069.203540786926</v>
      </c>
      <c r="C6539">
        <f t="shared" ca="1" si="303"/>
        <v>0</v>
      </c>
      <c r="D6539">
        <f t="shared" ca="1" si="304"/>
        <v>6069.2035407869262</v>
      </c>
    </row>
    <row r="6540" spans="2:4" x14ac:dyDescent="0.25">
      <c r="B6540">
        <f t="shared" ca="1" si="305"/>
        <v>45086.325019283642</v>
      </c>
      <c r="C6540">
        <f t="shared" ref="C6540:C6603" ca="1" si="306">IF(MAX($B$2-B6540)&lt;0,0,$B$2-B6540)</f>
        <v>0</v>
      </c>
      <c r="D6540">
        <f t="shared" ref="D6540:D6603" ca="1" si="307">IF(MAX(B6540-$B$2)&lt;0,0,B6540-$B$2)</f>
        <v>5086.3250192836422</v>
      </c>
    </row>
    <row r="6541" spans="2:4" x14ac:dyDescent="0.25">
      <c r="B6541">
        <f t="shared" ref="B6541:B6604" ca="1" si="308">$B$1*EXP((($B$4-($B$3^2)/2)*$B$5+$B$3*SQRT($B$5)*NORMSINV(RAND())))</f>
        <v>47654.092470755582</v>
      </c>
      <c r="C6541">
        <f t="shared" ca="1" si="306"/>
        <v>0</v>
      </c>
      <c r="D6541">
        <f t="shared" ca="1" si="307"/>
        <v>7654.0924707555823</v>
      </c>
    </row>
    <row r="6542" spans="2:4" x14ac:dyDescent="0.25">
      <c r="B6542">
        <f t="shared" ca="1" si="308"/>
        <v>45709.458256751059</v>
      </c>
      <c r="C6542">
        <f t="shared" ca="1" si="306"/>
        <v>0</v>
      </c>
      <c r="D6542">
        <f t="shared" ca="1" si="307"/>
        <v>5709.4582567510588</v>
      </c>
    </row>
    <row r="6543" spans="2:4" x14ac:dyDescent="0.25">
      <c r="B6543">
        <f t="shared" ca="1" si="308"/>
        <v>50109.743588966645</v>
      </c>
      <c r="C6543">
        <f t="shared" ca="1" si="306"/>
        <v>0</v>
      </c>
      <c r="D6543">
        <f t="shared" ca="1" si="307"/>
        <v>10109.743588966645</v>
      </c>
    </row>
    <row r="6544" spans="2:4" x14ac:dyDescent="0.25">
      <c r="B6544">
        <f t="shared" ca="1" si="308"/>
        <v>45180.608092247312</v>
      </c>
      <c r="C6544">
        <f t="shared" ca="1" si="306"/>
        <v>0</v>
      </c>
      <c r="D6544">
        <f t="shared" ca="1" si="307"/>
        <v>5180.608092247312</v>
      </c>
    </row>
    <row r="6545" spans="2:4" x14ac:dyDescent="0.25">
      <c r="B6545">
        <f t="shared" ca="1" si="308"/>
        <v>42729.858251117104</v>
      </c>
      <c r="C6545">
        <f t="shared" ca="1" si="306"/>
        <v>0</v>
      </c>
      <c r="D6545">
        <f t="shared" ca="1" si="307"/>
        <v>2729.8582511171044</v>
      </c>
    </row>
    <row r="6546" spans="2:4" x14ac:dyDescent="0.25">
      <c r="B6546">
        <f t="shared" ca="1" si="308"/>
        <v>38242.914411918682</v>
      </c>
      <c r="C6546">
        <f t="shared" ca="1" si="306"/>
        <v>1757.0855880813178</v>
      </c>
      <c r="D6546">
        <f t="shared" ca="1" si="307"/>
        <v>0</v>
      </c>
    </row>
    <row r="6547" spans="2:4" x14ac:dyDescent="0.25">
      <c r="B6547">
        <f t="shared" ca="1" si="308"/>
        <v>46143.876701943234</v>
      </c>
      <c r="C6547">
        <f t="shared" ca="1" si="306"/>
        <v>0</v>
      </c>
      <c r="D6547">
        <f t="shared" ca="1" si="307"/>
        <v>6143.8767019432344</v>
      </c>
    </row>
    <row r="6548" spans="2:4" x14ac:dyDescent="0.25">
      <c r="B6548">
        <f t="shared" ca="1" si="308"/>
        <v>39481.72637006906</v>
      </c>
      <c r="C6548">
        <f t="shared" ca="1" si="306"/>
        <v>518.27362993093993</v>
      </c>
      <c r="D6548">
        <f t="shared" ca="1" si="307"/>
        <v>0</v>
      </c>
    </row>
    <row r="6549" spans="2:4" x14ac:dyDescent="0.25">
      <c r="B6549">
        <f t="shared" ca="1" si="308"/>
        <v>44282.629762027202</v>
      </c>
      <c r="C6549">
        <f t="shared" ca="1" si="306"/>
        <v>0</v>
      </c>
      <c r="D6549">
        <f t="shared" ca="1" si="307"/>
        <v>4282.6297620272017</v>
      </c>
    </row>
    <row r="6550" spans="2:4" x14ac:dyDescent="0.25">
      <c r="B6550">
        <f t="shared" ca="1" si="308"/>
        <v>43185.268390701873</v>
      </c>
      <c r="C6550">
        <f t="shared" ca="1" si="306"/>
        <v>0</v>
      </c>
      <c r="D6550">
        <f t="shared" ca="1" si="307"/>
        <v>3185.2683907018727</v>
      </c>
    </row>
    <row r="6551" spans="2:4" x14ac:dyDescent="0.25">
      <c r="B6551">
        <f t="shared" ca="1" si="308"/>
        <v>34817.427454574499</v>
      </c>
      <c r="C6551">
        <f t="shared" ca="1" si="306"/>
        <v>5182.5725454255007</v>
      </c>
      <c r="D6551">
        <f t="shared" ca="1" si="307"/>
        <v>0</v>
      </c>
    </row>
    <row r="6552" spans="2:4" x14ac:dyDescent="0.25">
      <c r="B6552">
        <f t="shared" ca="1" si="308"/>
        <v>47302.170248628776</v>
      </c>
      <c r="C6552">
        <f t="shared" ca="1" si="306"/>
        <v>0</v>
      </c>
      <c r="D6552">
        <f t="shared" ca="1" si="307"/>
        <v>7302.1702486287759</v>
      </c>
    </row>
    <row r="6553" spans="2:4" x14ac:dyDescent="0.25">
      <c r="B6553">
        <f t="shared" ca="1" si="308"/>
        <v>45321.984551815956</v>
      </c>
      <c r="C6553">
        <f t="shared" ca="1" si="306"/>
        <v>0</v>
      </c>
      <c r="D6553">
        <f t="shared" ca="1" si="307"/>
        <v>5321.9845518159564</v>
      </c>
    </row>
    <row r="6554" spans="2:4" x14ac:dyDescent="0.25">
      <c r="B6554">
        <f t="shared" ca="1" si="308"/>
        <v>40255.506888216136</v>
      </c>
      <c r="C6554">
        <f t="shared" ca="1" si="306"/>
        <v>0</v>
      </c>
      <c r="D6554">
        <f t="shared" ca="1" si="307"/>
        <v>255.50688821613585</v>
      </c>
    </row>
    <row r="6555" spans="2:4" x14ac:dyDescent="0.25">
      <c r="B6555">
        <f t="shared" ca="1" si="308"/>
        <v>40386.80138926291</v>
      </c>
      <c r="C6555">
        <f t="shared" ca="1" si="306"/>
        <v>0</v>
      </c>
      <c r="D6555">
        <f t="shared" ca="1" si="307"/>
        <v>386.80138926290965</v>
      </c>
    </row>
    <row r="6556" spans="2:4" x14ac:dyDescent="0.25">
      <c r="B6556">
        <f t="shared" ca="1" si="308"/>
        <v>45698.396835974621</v>
      </c>
      <c r="C6556">
        <f t="shared" ca="1" si="306"/>
        <v>0</v>
      </c>
      <c r="D6556">
        <f t="shared" ca="1" si="307"/>
        <v>5698.3968359746214</v>
      </c>
    </row>
    <row r="6557" spans="2:4" x14ac:dyDescent="0.25">
      <c r="B6557">
        <f t="shared" ca="1" si="308"/>
        <v>42261.445618369275</v>
      </c>
      <c r="C6557">
        <f t="shared" ca="1" si="306"/>
        <v>0</v>
      </c>
      <c r="D6557">
        <f t="shared" ca="1" si="307"/>
        <v>2261.4456183692746</v>
      </c>
    </row>
    <row r="6558" spans="2:4" x14ac:dyDescent="0.25">
      <c r="B6558">
        <f t="shared" ca="1" si="308"/>
        <v>38441.022132311933</v>
      </c>
      <c r="C6558">
        <f t="shared" ca="1" si="306"/>
        <v>1558.9778676880669</v>
      </c>
      <c r="D6558">
        <f t="shared" ca="1" si="307"/>
        <v>0</v>
      </c>
    </row>
    <row r="6559" spans="2:4" x14ac:dyDescent="0.25">
      <c r="B6559">
        <f t="shared" ca="1" si="308"/>
        <v>43477.68058897333</v>
      </c>
      <c r="C6559">
        <f t="shared" ca="1" si="306"/>
        <v>0</v>
      </c>
      <c r="D6559">
        <f t="shared" ca="1" si="307"/>
        <v>3477.6805889733296</v>
      </c>
    </row>
    <row r="6560" spans="2:4" x14ac:dyDescent="0.25">
      <c r="B6560">
        <f t="shared" ca="1" si="308"/>
        <v>47413.784716287606</v>
      </c>
      <c r="C6560">
        <f t="shared" ca="1" si="306"/>
        <v>0</v>
      </c>
      <c r="D6560">
        <f t="shared" ca="1" si="307"/>
        <v>7413.784716287606</v>
      </c>
    </row>
    <row r="6561" spans="2:4" x14ac:dyDescent="0.25">
      <c r="B6561">
        <f t="shared" ca="1" si="308"/>
        <v>44592.145498004451</v>
      </c>
      <c r="C6561">
        <f t="shared" ca="1" si="306"/>
        <v>0</v>
      </c>
      <c r="D6561">
        <f t="shared" ca="1" si="307"/>
        <v>4592.1454980044509</v>
      </c>
    </row>
    <row r="6562" spans="2:4" x14ac:dyDescent="0.25">
      <c r="B6562">
        <f t="shared" ca="1" si="308"/>
        <v>44952.761505159135</v>
      </c>
      <c r="C6562">
        <f t="shared" ca="1" si="306"/>
        <v>0</v>
      </c>
      <c r="D6562">
        <f t="shared" ca="1" si="307"/>
        <v>4952.7615051591347</v>
      </c>
    </row>
    <row r="6563" spans="2:4" x14ac:dyDescent="0.25">
      <c r="B6563">
        <f t="shared" ca="1" si="308"/>
        <v>56071.660922454619</v>
      </c>
      <c r="C6563">
        <f t="shared" ca="1" si="306"/>
        <v>0</v>
      </c>
      <c r="D6563">
        <f t="shared" ca="1" si="307"/>
        <v>16071.660922454619</v>
      </c>
    </row>
    <row r="6564" spans="2:4" x14ac:dyDescent="0.25">
      <c r="B6564">
        <f t="shared" ca="1" si="308"/>
        <v>41029.583372887872</v>
      </c>
      <c r="C6564">
        <f t="shared" ca="1" si="306"/>
        <v>0</v>
      </c>
      <c r="D6564">
        <f t="shared" ca="1" si="307"/>
        <v>1029.5833728878715</v>
      </c>
    </row>
    <row r="6565" spans="2:4" x14ac:dyDescent="0.25">
      <c r="B6565">
        <f t="shared" ca="1" si="308"/>
        <v>50023.189809322292</v>
      </c>
      <c r="C6565">
        <f t="shared" ca="1" si="306"/>
        <v>0</v>
      </c>
      <c r="D6565">
        <f t="shared" ca="1" si="307"/>
        <v>10023.189809322292</v>
      </c>
    </row>
    <row r="6566" spans="2:4" x14ac:dyDescent="0.25">
      <c r="B6566">
        <f t="shared" ca="1" si="308"/>
        <v>43451.617136546134</v>
      </c>
      <c r="C6566">
        <f t="shared" ca="1" si="306"/>
        <v>0</v>
      </c>
      <c r="D6566">
        <f t="shared" ca="1" si="307"/>
        <v>3451.6171365461341</v>
      </c>
    </row>
    <row r="6567" spans="2:4" x14ac:dyDescent="0.25">
      <c r="B6567">
        <f t="shared" ca="1" si="308"/>
        <v>41221.399039628297</v>
      </c>
      <c r="C6567">
        <f t="shared" ca="1" si="306"/>
        <v>0</v>
      </c>
      <c r="D6567">
        <f t="shared" ca="1" si="307"/>
        <v>1221.399039628297</v>
      </c>
    </row>
    <row r="6568" spans="2:4" x14ac:dyDescent="0.25">
      <c r="B6568">
        <f t="shared" ca="1" si="308"/>
        <v>45801.980687106639</v>
      </c>
      <c r="C6568">
        <f t="shared" ca="1" si="306"/>
        <v>0</v>
      </c>
      <c r="D6568">
        <f t="shared" ca="1" si="307"/>
        <v>5801.9806871066394</v>
      </c>
    </row>
    <row r="6569" spans="2:4" x14ac:dyDescent="0.25">
      <c r="B6569">
        <f t="shared" ca="1" si="308"/>
        <v>42761.697729134954</v>
      </c>
      <c r="C6569">
        <f t="shared" ca="1" si="306"/>
        <v>0</v>
      </c>
      <c r="D6569">
        <f t="shared" ca="1" si="307"/>
        <v>2761.697729134954</v>
      </c>
    </row>
    <row r="6570" spans="2:4" x14ac:dyDescent="0.25">
      <c r="B6570">
        <f t="shared" ca="1" si="308"/>
        <v>44937.72434783254</v>
      </c>
      <c r="C6570">
        <f t="shared" ca="1" si="306"/>
        <v>0</v>
      </c>
      <c r="D6570">
        <f t="shared" ca="1" si="307"/>
        <v>4937.7243478325399</v>
      </c>
    </row>
    <row r="6571" spans="2:4" x14ac:dyDescent="0.25">
      <c r="B6571">
        <f t="shared" ca="1" si="308"/>
        <v>40415.308113013918</v>
      </c>
      <c r="C6571">
        <f t="shared" ca="1" si="306"/>
        <v>0</v>
      </c>
      <c r="D6571">
        <f t="shared" ca="1" si="307"/>
        <v>415.30811301391805</v>
      </c>
    </row>
    <row r="6572" spans="2:4" x14ac:dyDescent="0.25">
      <c r="B6572">
        <f t="shared" ca="1" si="308"/>
        <v>50081.966777302317</v>
      </c>
      <c r="C6572">
        <f t="shared" ca="1" si="306"/>
        <v>0</v>
      </c>
      <c r="D6572">
        <f t="shared" ca="1" si="307"/>
        <v>10081.966777302317</v>
      </c>
    </row>
    <row r="6573" spans="2:4" x14ac:dyDescent="0.25">
      <c r="B6573">
        <f t="shared" ca="1" si="308"/>
        <v>43515.504946590845</v>
      </c>
      <c r="C6573">
        <f t="shared" ca="1" si="306"/>
        <v>0</v>
      </c>
      <c r="D6573">
        <f t="shared" ca="1" si="307"/>
        <v>3515.5049465908451</v>
      </c>
    </row>
    <row r="6574" spans="2:4" x14ac:dyDescent="0.25">
      <c r="B6574">
        <f t="shared" ca="1" si="308"/>
        <v>43523.122795668365</v>
      </c>
      <c r="C6574">
        <f t="shared" ca="1" si="306"/>
        <v>0</v>
      </c>
      <c r="D6574">
        <f t="shared" ca="1" si="307"/>
        <v>3523.1227956683651</v>
      </c>
    </row>
    <row r="6575" spans="2:4" x14ac:dyDescent="0.25">
      <c r="B6575">
        <f t="shared" ca="1" si="308"/>
        <v>45591.226339588575</v>
      </c>
      <c r="C6575">
        <f t="shared" ca="1" si="306"/>
        <v>0</v>
      </c>
      <c r="D6575">
        <f t="shared" ca="1" si="307"/>
        <v>5591.2263395885748</v>
      </c>
    </row>
    <row r="6576" spans="2:4" x14ac:dyDescent="0.25">
      <c r="B6576">
        <f t="shared" ca="1" si="308"/>
        <v>45658.111393176659</v>
      </c>
      <c r="C6576">
        <f t="shared" ca="1" si="306"/>
        <v>0</v>
      </c>
      <c r="D6576">
        <f t="shared" ca="1" si="307"/>
        <v>5658.1113931766595</v>
      </c>
    </row>
    <row r="6577" spans="2:4" x14ac:dyDescent="0.25">
      <c r="B6577">
        <f t="shared" ca="1" si="308"/>
        <v>46434.818546547089</v>
      </c>
      <c r="C6577">
        <f t="shared" ca="1" si="306"/>
        <v>0</v>
      </c>
      <c r="D6577">
        <f t="shared" ca="1" si="307"/>
        <v>6434.8185465470888</v>
      </c>
    </row>
    <row r="6578" spans="2:4" x14ac:dyDescent="0.25">
      <c r="B6578">
        <f t="shared" ca="1" si="308"/>
        <v>49493.715812550188</v>
      </c>
      <c r="C6578">
        <f t="shared" ca="1" si="306"/>
        <v>0</v>
      </c>
      <c r="D6578">
        <f t="shared" ca="1" si="307"/>
        <v>9493.7158125501883</v>
      </c>
    </row>
    <row r="6579" spans="2:4" x14ac:dyDescent="0.25">
      <c r="B6579">
        <f t="shared" ca="1" si="308"/>
        <v>46044.358353559473</v>
      </c>
      <c r="C6579">
        <f t="shared" ca="1" si="306"/>
        <v>0</v>
      </c>
      <c r="D6579">
        <f t="shared" ca="1" si="307"/>
        <v>6044.3583535594735</v>
      </c>
    </row>
    <row r="6580" spans="2:4" x14ac:dyDescent="0.25">
      <c r="B6580">
        <f t="shared" ca="1" si="308"/>
        <v>41190.76167999582</v>
      </c>
      <c r="C6580">
        <f t="shared" ca="1" si="306"/>
        <v>0</v>
      </c>
      <c r="D6580">
        <f t="shared" ca="1" si="307"/>
        <v>1190.7616799958196</v>
      </c>
    </row>
    <row r="6581" spans="2:4" x14ac:dyDescent="0.25">
      <c r="B6581">
        <f t="shared" ca="1" si="308"/>
        <v>42679.972404084598</v>
      </c>
      <c r="C6581">
        <f t="shared" ca="1" si="306"/>
        <v>0</v>
      </c>
      <c r="D6581">
        <f t="shared" ca="1" si="307"/>
        <v>2679.9724040845977</v>
      </c>
    </row>
    <row r="6582" spans="2:4" x14ac:dyDescent="0.25">
      <c r="B6582">
        <f t="shared" ca="1" si="308"/>
        <v>42538.534716504131</v>
      </c>
      <c r="C6582">
        <f t="shared" ca="1" si="306"/>
        <v>0</v>
      </c>
      <c r="D6582">
        <f t="shared" ca="1" si="307"/>
        <v>2538.5347165041312</v>
      </c>
    </row>
    <row r="6583" spans="2:4" x14ac:dyDescent="0.25">
      <c r="B6583">
        <f t="shared" ca="1" si="308"/>
        <v>48693.766227436856</v>
      </c>
      <c r="C6583">
        <f t="shared" ca="1" si="306"/>
        <v>0</v>
      </c>
      <c r="D6583">
        <f t="shared" ca="1" si="307"/>
        <v>8693.7662274368558</v>
      </c>
    </row>
    <row r="6584" spans="2:4" x14ac:dyDescent="0.25">
      <c r="B6584">
        <f t="shared" ca="1" si="308"/>
        <v>46321.477650013985</v>
      </c>
      <c r="C6584">
        <f t="shared" ca="1" si="306"/>
        <v>0</v>
      </c>
      <c r="D6584">
        <f t="shared" ca="1" si="307"/>
        <v>6321.4776500139851</v>
      </c>
    </row>
    <row r="6585" spans="2:4" x14ac:dyDescent="0.25">
      <c r="B6585">
        <f t="shared" ca="1" si="308"/>
        <v>50241.794245454264</v>
      </c>
      <c r="C6585">
        <f t="shared" ca="1" si="306"/>
        <v>0</v>
      </c>
      <c r="D6585">
        <f t="shared" ca="1" si="307"/>
        <v>10241.794245454264</v>
      </c>
    </row>
    <row r="6586" spans="2:4" x14ac:dyDescent="0.25">
      <c r="B6586">
        <f t="shared" ca="1" si="308"/>
        <v>49628.646908702212</v>
      </c>
      <c r="C6586">
        <f t="shared" ca="1" si="306"/>
        <v>0</v>
      </c>
      <c r="D6586">
        <f t="shared" ca="1" si="307"/>
        <v>9628.6469087022124</v>
      </c>
    </row>
    <row r="6587" spans="2:4" x14ac:dyDescent="0.25">
      <c r="B6587">
        <f t="shared" ca="1" si="308"/>
        <v>38942.024149058227</v>
      </c>
      <c r="C6587">
        <f t="shared" ca="1" si="306"/>
        <v>1057.9758509417734</v>
      </c>
      <c r="D6587">
        <f t="shared" ca="1" si="307"/>
        <v>0</v>
      </c>
    </row>
    <row r="6588" spans="2:4" x14ac:dyDescent="0.25">
      <c r="B6588">
        <f t="shared" ca="1" si="308"/>
        <v>36514.239773973975</v>
      </c>
      <c r="C6588">
        <f t="shared" ca="1" si="306"/>
        <v>3485.7602260260246</v>
      </c>
      <c r="D6588">
        <f t="shared" ca="1" si="307"/>
        <v>0</v>
      </c>
    </row>
    <row r="6589" spans="2:4" x14ac:dyDescent="0.25">
      <c r="B6589">
        <f t="shared" ca="1" si="308"/>
        <v>45120.609975439649</v>
      </c>
      <c r="C6589">
        <f t="shared" ca="1" si="306"/>
        <v>0</v>
      </c>
      <c r="D6589">
        <f t="shared" ca="1" si="307"/>
        <v>5120.6099754396491</v>
      </c>
    </row>
    <row r="6590" spans="2:4" x14ac:dyDescent="0.25">
      <c r="B6590">
        <f t="shared" ca="1" si="308"/>
        <v>39324.895939987437</v>
      </c>
      <c r="C6590">
        <f t="shared" ca="1" si="306"/>
        <v>675.10406001256342</v>
      </c>
      <c r="D6590">
        <f t="shared" ca="1" si="307"/>
        <v>0</v>
      </c>
    </row>
    <row r="6591" spans="2:4" x14ac:dyDescent="0.25">
      <c r="B6591">
        <f t="shared" ca="1" si="308"/>
        <v>48705.847552827829</v>
      </c>
      <c r="C6591">
        <f t="shared" ca="1" si="306"/>
        <v>0</v>
      </c>
      <c r="D6591">
        <f t="shared" ca="1" si="307"/>
        <v>8705.8475528278286</v>
      </c>
    </row>
    <row r="6592" spans="2:4" x14ac:dyDescent="0.25">
      <c r="B6592">
        <f t="shared" ca="1" si="308"/>
        <v>49893.973980250776</v>
      </c>
      <c r="C6592">
        <f t="shared" ca="1" si="306"/>
        <v>0</v>
      </c>
      <c r="D6592">
        <f t="shared" ca="1" si="307"/>
        <v>9893.9739802507756</v>
      </c>
    </row>
    <row r="6593" spans="2:4" x14ac:dyDescent="0.25">
      <c r="B6593">
        <f t="shared" ca="1" si="308"/>
        <v>51267.969307207102</v>
      </c>
      <c r="C6593">
        <f t="shared" ca="1" si="306"/>
        <v>0</v>
      </c>
      <c r="D6593">
        <f t="shared" ca="1" si="307"/>
        <v>11267.969307207102</v>
      </c>
    </row>
    <row r="6594" spans="2:4" x14ac:dyDescent="0.25">
      <c r="B6594">
        <f t="shared" ca="1" si="308"/>
        <v>47939.380830373775</v>
      </c>
      <c r="C6594">
        <f t="shared" ca="1" si="306"/>
        <v>0</v>
      </c>
      <c r="D6594">
        <f t="shared" ca="1" si="307"/>
        <v>7939.3808303737751</v>
      </c>
    </row>
    <row r="6595" spans="2:4" x14ac:dyDescent="0.25">
      <c r="B6595">
        <f t="shared" ca="1" si="308"/>
        <v>38527.683954466702</v>
      </c>
      <c r="C6595">
        <f t="shared" ca="1" si="306"/>
        <v>1472.3160455332982</v>
      </c>
      <c r="D6595">
        <f t="shared" ca="1" si="307"/>
        <v>0</v>
      </c>
    </row>
    <row r="6596" spans="2:4" x14ac:dyDescent="0.25">
      <c r="B6596">
        <f t="shared" ca="1" si="308"/>
        <v>46068.973548683134</v>
      </c>
      <c r="C6596">
        <f t="shared" ca="1" si="306"/>
        <v>0</v>
      </c>
      <c r="D6596">
        <f t="shared" ca="1" si="307"/>
        <v>6068.9735486831341</v>
      </c>
    </row>
    <row r="6597" spans="2:4" x14ac:dyDescent="0.25">
      <c r="B6597">
        <f t="shared" ca="1" si="308"/>
        <v>43098.448127895485</v>
      </c>
      <c r="C6597">
        <f t="shared" ca="1" si="306"/>
        <v>0</v>
      </c>
      <c r="D6597">
        <f t="shared" ca="1" si="307"/>
        <v>3098.4481278954845</v>
      </c>
    </row>
    <row r="6598" spans="2:4" x14ac:dyDescent="0.25">
      <c r="B6598">
        <f t="shared" ca="1" si="308"/>
        <v>42970.225873961121</v>
      </c>
      <c r="C6598">
        <f t="shared" ca="1" si="306"/>
        <v>0</v>
      </c>
      <c r="D6598">
        <f t="shared" ca="1" si="307"/>
        <v>2970.2258739611207</v>
      </c>
    </row>
    <row r="6599" spans="2:4" x14ac:dyDescent="0.25">
      <c r="B6599">
        <f t="shared" ca="1" si="308"/>
        <v>47301.98466749509</v>
      </c>
      <c r="C6599">
        <f t="shared" ca="1" si="306"/>
        <v>0</v>
      </c>
      <c r="D6599">
        <f t="shared" ca="1" si="307"/>
        <v>7301.9846674950895</v>
      </c>
    </row>
    <row r="6600" spans="2:4" x14ac:dyDescent="0.25">
      <c r="B6600">
        <f t="shared" ca="1" si="308"/>
        <v>48421.499189707487</v>
      </c>
      <c r="C6600">
        <f t="shared" ca="1" si="306"/>
        <v>0</v>
      </c>
      <c r="D6600">
        <f t="shared" ca="1" si="307"/>
        <v>8421.4991897074869</v>
      </c>
    </row>
    <row r="6601" spans="2:4" x14ac:dyDescent="0.25">
      <c r="B6601">
        <f t="shared" ca="1" si="308"/>
        <v>55475.069535771909</v>
      </c>
      <c r="C6601">
        <f t="shared" ca="1" si="306"/>
        <v>0</v>
      </c>
      <c r="D6601">
        <f t="shared" ca="1" si="307"/>
        <v>15475.069535771909</v>
      </c>
    </row>
    <row r="6602" spans="2:4" x14ac:dyDescent="0.25">
      <c r="B6602">
        <f t="shared" ca="1" si="308"/>
        <v>43835.756807651065</v>
      </c>
      <c r="C6602">
        <f t="shared" ca="1" si="306"/>
        <v>0</v>
      </c>
      <c r="D6602">
        <f t="shared" ca="1" si="307"/>
        <v>3835.7568076510652</v>
      </c>
    </row>
    <row r="6603" spans="2:4" x14ac:dyDescent="0.25">
      <c r="B6603">
        <f t="shared" ca="1" si="308"/>
        <v>43380.642069708629</v>
      </c>
      <c r="C6603">
        <f t="shared" ca="1" si="306"/>
        <v>0</v>
      </c>
      <c r="D6603">
        <f t="shared" ca="1" si="307"/>
        <v>3380.6420697086287</v>
      </c>
    </row>
    <row r="6604" spans="2:4" x14ac:dyDescent="0.25">
      <c r="B6604">
        <f t="shared" ca="1" si="308"/>
        <v>46038.856893253585</v>
      </c>
      <c r="C6604">
        <f t="shared" ref="C6604:C6667" ca="1" si="309">IF(MAX($B$2-B6604)&lt;0,0,$B$2-B6604)</f>
        <v>0</v>
      </c>
      <c r="D6604">
        <f t="shared" ref="D6604:D6667" ca="1" si="310">IF(MAX(B6604-$B$2)&lt;0,0,B6604-$B$2)</f>
        <v>6038.8568932535854</v>
      </c>
    </row>
    <row r="6605" spans="2:4" x14ac:dyDescent="0.25">
      <c r="B6605">
        <f t="shared" ref="B6605:B6668" ca="1" si="311">$B$1*EXP((($B$4-($B$3^2)/2)*$B$5+$B$3*SQRT($B$5)*NORMSINV(RAND())))</f>
        <v>52508.522796571306</v>
      </c>
      <c r="C6605">
        <f t="shared" ca="1" si="309"/>
        <v>0</v>
      </c>
      <c r="D6605">
        <f t="shared" ca="1" si="310"/>
        <v>12508.522796571306</v>
      </c>
    </row>
    <row r="6606" spans="2:4" x14ac:dyDescent="0.25">
      <c r="B6606">
        <f t="shared" ca="1" si="311"/>
        <v>49432.593963877349</v>
      </c>
      <c r="C6606">
        <f t="shared" ca="1" si="309"/>
        <v>0</v>
      </c>
      <c r="D6606">
        <f t="shared" ca="1" si="310"/>
        <v>9432.5939638773489</v>
      </c>
    </row>
    <row r="6607" spans="2:4" x14ac:dyDescent="0.25">
      <c r="B6607">
        <f t="shared" ca="1" si="311"/>
        <v>43998.252130038476</v>
      </c>
      <c r="C6607">
        <f t="shared" ca="1" si="309"/>
        <v>0</v>
      </c>
      <c r="D6607">
        <f t="shared" ca="1" si="310"/>
        <v>3998.252130038476</v>
      </c>
    </row>
    <row r="6608" spans="2:4" x14ac:dyDescent="0.25">
      <c r="B6608">
        <f t="shared" ca="1" si="311"/>
        <v>37252.774565533997</v>
      </c>
      <c r="C6608">
        <f t="shared" ca="1" si="309"/>
        <v>2747.2254344660032</v>
      </c>
      <c r="D6608">
        <f t="shared" ca="1" si="310"/>
        <v>0</v>
      </c>
    </row>
    <row r="6609" spans="2:4" x14ac:dyDescent="0.25">
      <c r="B6609">
        <f t="shared" ca="1" si="311"/>
        <v>45494.043184791721</v>
      </c>
      <c r="C6609">
        <f t="shared" ca="1" si="309"/>
        <v>0</v>
      </c>
      <c r="D6609">
        <f t="shared" ca="1" si="310"/>
        <v>5494.0431847917207</v>
      </c>
    </row>
    <row r="6610" spans="2:4" x14ac:dyDescent="0.25">
      <c r="B6610">
        <f t="shared" ca="1" si="311"/>
        <v>45367.673921985945</v>
      </c>
      <c r="C6610">
        <f t="shared" ca="1" si="309"/>
        <v>0</v>
      </c>
      <c r="D6610">
        <f t="shared" ca="1" si="310"/>
        <v>5367.6739219859446</v>
      </c>
    </row>
    <row r="6611" spans="2:4" x14ac:dyDescent="0.25">
      <c r="B6611">
        <f t="shared" ca="1" si="311"/>
        <v>43485.908988736024</v>
      </c>
      <c r="C6611">
        <f t="shared" ca="1" si="309"/>
        <v>0</v>
      </c>
      <c r="D6611">
        <f t="shared" ca="1" si="310"/>
        <v>3485.9089887360242</v>
      </c>
    </row>
    <row r="6612" spans="2:4" x14ac:dyDescent="0.25">
      <c r="B6612">
        <f t="shared" ca="1" si="311"/>
        <v>47641.350276226141</v>
      </c>
      <c r="C6612">
        <f t="shared" ca="1" si="309"/>
        <v>0</v>
      </c>
      <c r="D6612">
        <f t="shared" ca="1" si="310"/>
        <v>7641.3502762261414</v>
      </c>
    </row>
    <row r="6613" spans="2:4" x14ac:dyDescent="0.25">
      <c r="B6613">
        <f t="shared" ca="1" si="311"/>
        <v>47874.398115400116</v>
      </c>
      <c r="C6613">
        <f t="shared" ca="1" si="309"/>
        <v>0</v>
      </c>
      <c r="D6613">
        <f t="shared" ca="1" si="310"/>
        <v>7874.3981154001158</v>
      </c>
    </row>
    <row r="6614" spans="2:4" x14ac:dyDescent="0.25">
      <c r="B6614">
        <f t="shared" ca="1" si="311"/>
        <v>45444.351343809692</v>
      </c>
      <c r="C6614">
        <f t="shared" ca="1" si="309"/>
        <v>0</v>
      </c>
      <c r="D6614">
        <f t="shared" ca="1" si="310"/>
        <v>5444.3513438096925</v>
      </c>
    </row>
    <row r="6615" spans="2:4" x14ac:dyDescent="0.25">
      <c r="B6615">
        <f t="shared" ca="1" si="311"/>
        <v>49125.547572746887</v>
      </c>
      <c r="C6615">
        <f t="shared" ca="1" si="309"/>
        <v>0</v>
      </c>
      <c r="D6615">
        <f t="shared" ca="1" si="310"/>
        <v>9125.5475727468875</v>
      </c>
    </row>
    <row r="6616" spans="2:4" x14ac:dyDescent="0.25">
      <c r="B6616">
        <f t="shared" ca="1" si="311"/>
        <v>43391.269204148171</v>
      </c>
      <c r="C6616">
        <f t="shared" ca="1" si="309"/>
        <v>0</v>
      </c>
      <c r="D6616">
        <f t="shared" ca="1" si="310"/>
        <v>3391.2692041481714</v>
      </c>
    </row>
    <row r="6617" spans="2:4" x14ac:dyDescent="0.25">
      <c r="B6617">
        <f t="shared" ca="1" si="311"/>
        <v>43388.34101100119</v>
      </c>
      <c r="C6617">
        <f t="shared" ca="1" si="309"/>
        <v>0</v>
      </c>
      <c r="D6617">
        <f t="shared" ca="1" si="310"/>
        <v>3388.3410110011901</v>
      </c>
    </row>
    <row r="6618" spans="2:4" x14ac:dyDescent="0.25">
      <c r="B6618">
        <f t="shared" ca="1" si="311"/>
        <v>46399.316706907186</v>
      </c>
      <c r="C6618">
        <f t="shared" ca="1" si="309"/>
        <v>0</v>
      </c>
      <c r="D6618">
        <f t="shared" ca="1" si="310"/>
        <v>6399.316706907186</v>
      </c>
    </row>
    <row r="6619" spans="2:4" x14ac:dyDescent="0.25">
      <c r="B6619">
        <f t="shared" ca="1" si="311"/>
        <v>34310.230636841683</v>
      </c>
      <c r="C6619">
        <f t="shared" ca="1" si="309"/>
        <v>5689.769363158317</v>
      </c>
      <c r="D6619">
        <f t="shared" ca="1" si="310"/>
        <v>0</v>
      </c>
    </row>
    <row r="6620" spans="2:4" x14ac:dyDescent="0.25">
      <c r="B6620">
        <f t="shared" ca="1" si="311"/>
        <v>43734.838795112577</v>
      </c>
      <c r="C6620">
        <f t="shared" ca="1" si="309"/>
        <v>0</v>
      </c>
      <c r="D6620">
        <f t="shared" ca="1" si="310"/>
        <v>3734.8387951125769</v>
      </c>
    </row>
    <row r="6621" spans="2:4" x14ac:dyDescent="0.25">
      <c r="B6621">
        <f t="shared" ca="1" si="311"/>
        <v>39005.210354250266</v>
      </c>
      <c r="C6621">
        <f t="shared" ca="1" si="309"/>
        <v>994.78964574973361</v>
      </c>
      <c r="D6621">
        <f t="shared" ca="1" si="310"/>
        <v>0</v>
      </c>
    </row>
    <row r="6622" spans="2:4" x14ac:dyDescent="0.25">
      <c r="B6622">
        <f t="shared" ca="1" si="311"/>
        <v>39564.423975118429</v>
      </c>
      <c r="C6622">
        <f t="shared" ca="1" si="309"/>
        <v>435.57602488157136</v>
      </c>
      <c r="D6622">
        <f t="shared" ca="1" si="310"/>
        <v>0</v>
      </c>
    </row>
    <row r="6623" spans="2:4" x14ac:dyDescent="0.25">
      <c r="B6623">
        <f t="shared" ca="1" si="311"/>
        <v>42334.955735253156</v>
      </c>
      <c r="C6623">
        <f t="shared" ca="1" si="309"/>
        <v>0</v>
      </c>
      <c r="D6623">
        <f t="shared" ca="1" si="310"/>
        <v>2334.9557352531556</v>
      </c>
    </row>
    <row r="6624" spans="2:4" x14ac:dyDescent="0.25">
      <c r="B6624">
        <f t="shared" ca="1" si="311"/>
        <v>48931.551537658292</v>
      </c>
      <c r="C6624">
        <f t="shared" ca="1" si="309"/>
        <v>0</v>
      </c>
      <c r="D6624">
        <f t="shared" ca="1" si="310"/>
        <v>8931.5515376582916</v>
      </c>
    </row>
    <row r="6625" spans="2:4" x14ac:dyDescent="0.25">
      <c r="B6625">
        <f t="shared" ca="1" si="311"/>
        <v>54864.777893449027</v>
      </c>
      <c r="C6625">
        <f t="shared" ca="1" si="309"/>
        <v>0</v>
      </c>
      <c r="D6625">
        <f t="shared" ca="1" si="310"/>
        <v>14864.777893449027</v>
      </c>
    </row>
    <row r="6626" spans="2:4" x14ac:dyDescent="0.25">
      <c r="B6626">
        <f t="shared" ca="1" si="311"/>
        <v>45899.571782994535</v>
      </c>
      <c r="C6626">
        <f t="shared" ca="1" si="309"/>
        <v>0</v>
      </c>
      <c r="D6626">
        <f t="shared" ca="1" si="310"/>
        <v>5899.5717829945352</v>
      </c>
    </row>
    <row r="6627" spans="2:4" x14ac:dyDescent="0.25">
      <c r="B6627">
        <f t="shared" ca="1" si="311"/>
        <v>47427.152971236457</v>
      </c>
      <c r="C6627">
        <f t="shared" ca="1" si="309"/>
        <v>0</v>
      </c>
      <c r="D6627">
        <f t="shared" ca="1" si="310"/>
        <v>7427.1529712364572</v>
      </c>
    </row>
    <row r="6628" spans="2:4" x14ac:dyDescent="0.25">
      <c r="B6628">
        <f t="shared" ca="1" si="311"/>
        <v>43081.007257822035</v>
      </c>
      <c r="C6628">
        <f t="shared" ca="1" si="309"/>
        <v>0</v>
      </c>
      <c r="D6628">
        <f t="shared" ca="1" si="310"/>
        <v>3081.0072578220352</v>
      </c>
    </row>
    <row r="6629" spans="2:4" x14ac:dyDescent="0.25">
      <c r="B6629">
        <f t="shared" ca="1" si="311"/>
        <v>45385.215894016532</v>
      </c>
      <c r="C6629">
        <f t="shared" ca="1" si="309"/>
        <v>0</v>
      </c>
      <c r="D6629">
        <f t="shared" ca="1" si="310"/>
        <v>5385.2158940165318</v>
      </c>
    </row>
    <row r="6630" spans="2:4" x14ac:dyDescent="0.25">
      <c r="B6630">
        <f t="shared" ca="1" si="311"/>
        <v>44373.132904709251</v>
      </c>
      <c r="C6630">
        <f t="shared" ca="1" si="309"/>
        <v>0</v>
      </c>
      <c r="D6630">
        <f t="shared" ca="1" si="310"/>
        <v>4373.1329047092513</v>
      </c>
    </row>
    <row r="6631" spans="2:4" x14ac:dyDescent="0.25">
      <c r="B6631">
        <f t="shared" ca="1" si="311"/>
        <v>45315.711842979188</v>
      </c>
      <c r="C6631">
        <f t="shared" ca="1" si="309"/>
        <v>0</v>
      </c>
      <c r="D6631">
        <f t="shared" ca="1" si="310"/>
        <v>5315.7118429791881</v>
      </c>
    </row>
    <row r="6632" spans="2:4" x14ac:dyDescent="0.25">
      <c r="B6632">
        <f t="shared" ca="1" si="311"/>
        <v>44668.045661749464</v>
      </c>
      <c r="C6632">
        <f t="shared" ca="1" si="309"/>
        <v>0</v>
      </c>
      <c r="D6632">
        <f t="shared" ca="1" si="310"/>
        <v>4668.0456617494638</v>
      </c>
    </row>
    <row r="6633" spans="2:4" x14ac:dyDescent="0.25">
      <c r="B6633">
        <f t="shared" ca="1" si="311"/>
        <v>44648.487139313067</v>
      </c>
      <c r="C6633">
        <f t="shared" ca="1" si="309"/>
        <v>0</v>
      </c>
      <c r="D6633">
        <f t="shared" ca="1" si="310"/>
        <v>4648.487139313067</v>
      </c>
    </row>
    <row r="6634" spans="2:4" x14ac:dyDescent="0.25">
      <c r="B6634">
        <f t="shared" ca="1" si="311"/>
        <v>41580.132349315165</v>
      </c>
      <c r="C6634">
        <f t="shared" ca="1" si="309"/>
        <v>0</v>
      </c>
      <c r="D6634">
        <f t="shared" ca="1" si="310"/>
        <v>1580.1323493151649</v>
      </c>
    </row>
    <row r="6635" spans="2:4" x14ac:dyDescent="0.25">
      <c r="B6635">
        <f t="shared" ca="1" si="311"/>
        <v>50296.45222857927</v>
      </c>
      <c r="C6635">
        <f t="shared" ca="1" si="309"/>
        <v>0</v>
      </c>
      <c r="D6635">
        <f t="shared" ca="1" si="310"/>
        <v>10296.45222857927</v>
      </c>
    </row>
    <row r="6636" spans="2:4" x14ac:dyDescent="0.25">
      <c r="B6636">
        <f t="shared" ca="1" si="311"/>
        <v>54386.798976313083</v>
      </c>
      <c r="C6636">
        <f t="shared" ca="1" si="309"/>
        <v>0</v>
      </c>
      <c r="D6636">
        <f t="shared" ca="1" si="310"/>
        <v>14386.798976313083</v>
      </c>
    </row>
    <row r="6637" spans="2:4" x14ac:dyDescent="0.25">
      <c r="B6637">
        <f t="shared" ca="1" si="311"/>
        <v>45010.637689618401</v>
      </c>
      <c r="C6637">
        <f t="shared" ca="1" si="309"/>
        <v>0</v>
      </c>
      <c r="D6637">
        <f t="shared" ca="1" si="310"/>
        <v>5010.6376896184011</v>
      </c>
    </row>
    <row r="6638" spans="2:4" x14ac:dyDescent="0.25">
      <c r="B6638">
        <f t="shared" ca="1" si="311"/>
        <v>45574.947325828536</v>
      </c>
      <c r="C6638">
        <f t="shared" ca="1" si="309"/>
        <v>0</v>
      </c>
      <c r="D6638">
        <f t="shared" ca="1" si="310"/>
        <v>5574.9473258285361</v>
      </c>
    </row>
    <row r="6639" spans="2:4" x14ac:dyDescent="0.25">
      <c r="B6639">
        <f t="shared" ca="1" si="311"/>
        <v>53864.431396500819</v>
      </c>
      <c r="C6639">
        <f t="shared" ca="1" si="309"/>
        <v>0</v>
      </c>
      <c r="D6639">
        <f t="shared" ca="1" si="310"/>
        <v>13864.431396500819</v>
      </c>
    </row>
    <row r="6640" spans="2:4" x14ac:dyDescent="0.25">
      <c r="B6640">
        <f t="shared" ca="1" si="311"/>
        <v>45534.661671834539</v>
      </c>
      <c r="C6640">
        <f t="shared" ca="1" si="309"/>
        <v>0</v>
      </c>
      <c r="D6640">
        <f t="shared" ca="1" si="310"/>
        <v>5534.6616718345394</v>
      </c>
    </row>
    <row r="6641" spans="2:4" x14ac:dyDescent="0.25">
      <c r="B6641">
        <f t="shared" ca="1" si="311"/>
        <v>46939.978274984715</v>
      </c>
      <c r="C6641">
        <f t="shared" ca="1" si="309"/>
        <v>0</v>
      </c>
      <c r="D6641">
        <f t="shared" ca="1" si="310"/>
        <v>6939.9782749847145</v>
      </c>
    </row>
    <row r="6642" spans="2:4" x14ac:dyDescent="0.25">
      <c r="B6642">
        <f t="shared" ca="1" si="311"/>
        <v>52724.941911983544</v>
      </c>
      <c r="C6642">
        <f t="shared" ca="1" si="309"/>
        <v>0</v>
      </c>
      <c r="D6642">
        <f t="shared" ca="1" si="310"/>
        <v>12724.941911983544</v>
      </c>
    </row>
    <row r="6643" spans="2:4" x14ac:dyDescent="0.25">
      <c r="B6643">
        <f t="shared" ca="1" si="311"/>
        <v>39938.341959328791</v>
      </c>
      <c r="C6643">
        <f t="shared" ca="1" si="309"/>
        <v>61.658040671209164</v>
      </c>
      <c r="D6643">
        <f t="shared" ca="1" si="310"/>
        <v>0</v>
      </c>
    </row>
    <row r="6644" spans="2:4" x14ac:dyDescent="0.25">
      <c r="B6644">
        <f t="shared" ca="1" si="311"/>
        <v>45495.500496662724</v>
      </c>
      <c r="C6644">
        <f t="shared" ca="1" si="309"/>
        <v>0</v>
      </c>
      <c r="D6644">
        <f t="shared" ca="1" si="310"/>
        <v>5495.5004966627239</v>
      </c>
    </row>
    <row r="6645" spans="2:4" x14ac:dyDescent="0.25">
      <c r="B6645">
        <f t="shared" ca="1" si="311"/>
        <v>40652.001704813076</v>
      </c>
      <c r="C6645">
        <f t="shared" ca="1" si="309"/>
        <v>0</v>
      </c>
      <c r="D6645">
        <f t="shared" ca="1" si="310"/>
        <v>652.00170481307578</v>
      </c>
    </row>
    <row r="6646" spans="2:4" x14ac:dyDescent="0.25">
      <c r="B6646">
        <f t="shared" ca="1" si="311"/>
        <v>38470.57351623712</v>
      </c>
      <c r="C6646">
        <f t="shared" ca="1" si="309"/>
        <v>1529.4264837628798</v>
      </c>
      <c r="D6646">
        <f t="shared" ca="1" si="310"/>
        <v>0</v>
      </c>
    </row>
    <row r="6647" spans="2:4" x14ac:dyDescent="0.25">
      <c r="B6647">
        <f t="shared" ca="1" si="311"/>
        <v>44698.70248749543</v>
      </c>
      <c r="C6647">
        <f t="shared" ca="1" si="309"/>
        <v>0</v>
      </c>
      <c r="D6647">
        <f t="shared" ca="1" si="310"/>
        <v>4698.7024874954295</v>
      </c>
    </row>
    <row r="6648" spans="2:4" x14ac:dyDescent="0.25">
      <c r="B6648">
        <f t="shared" ca="1" si="311"/>
        <v>45208.371999120427</v>
      </c>
      <c r="C6648">
        <f t="shared" ca="1" si="309"/>
        <v>0</v>
      </c>
      <c r="D6648">
        <f t="shared" ca="1" si="310"/>
        <v>5208.3719991204271</v>
      </c>
    </row>
    <row r="6649" spans="2:4" x14ac:dyDescent="0.25">
      <c r="B6649">
        <f t="shared" ca="1" si="311"/>
        <v>43789.336733127253</v>
      </c>
      <c r="C6649">
        <f t="shared" ca="1" si="309"/>
        <v>0</v>
      </c>
      <c r="D6649">
        <f t="shared" ca="1" si="310"/>
        <v>3789.336733127253</v>
      </c>
    </row>
    <row r="6650" spans="2:4" x14ac:dyDescent="0.25">
      <c r="B6650">
        <f t="shared" ca="1" si="311"/>
        <v>45484.047144318807</v>
      </c>
      <c r="C6650">
        <f t="shared" ca="1" si="309"/>
        <v>0</v>
      </c>
      <c r="D6650">
        <f t="shared" ca="1" si="310"/>
        <v>5484.0471443188071</v>
      </c>
    </row>
    <row r="6651" spans="2:4" x14ac:dyDescent="0.25">
      <c r="B6651">
        <f t="shared" ca="1" si="311"/>
        <v>49532.355337726411</v>
      </c>
      <c r="C6651">
        <f t="shared" ca="1" si="309"/>
        <v>0</v>
      </c>
      <c r="D6651">
        <f t="shared" ca="1" si="310"/>
        <v>9532.3553377264107</v>
      </c>
    </row>
    <row r="6652" spans="2:4" x14ac:dyDescent="0.25">
      <c r="B6652">
        <f t="shared" ca="1" si="311"/>
        <v>40817.581775944476</v>
      </c>
      <c r="C6652">
        <f t="shared" ca="1" si="309"/>
        <v>0</v>
      </c>
      <c r="D6652">
        <f t="shared" ca="1" si="310"/>
        <v>817.58177594447625</v>
      </c>
    </row>
    <row r="6653" spans="2:4" x14ac:dyDescent="0.25">
      <c r="B6653">
        <f t="shared" ca="1" si="311"/>
        <v>44279.178810694968</v>
      </c>
      <c r="C6653">
        <f t="shared" ca="1" si="309"/>
        <v>0</v>
      </c>
      <c r="D6653">
        <f t="shared" ca="1" si="310"/>
        <v>4279.178810694968</v>
      </c>
    </row>
    <row r="6654" spans="2:4" x14ac:dyDescent="0.25">
      <c r="B6654">
        <f t="shared" ca="1" si="311"/>
        <v>39964.442819364856</v>
      </c>
      <c r="C6654">
        <f t="shared" ca="1" si="309"/>
        <v>35.557180635143595</v>
      </c>
      <c r="D6654">
        <f t="shared" ca="1" si="310"/>
        <v>0</v>
      </c>
    </row>
    <row r="6655" spans="2:4" x14ac:dyDescent="0.25">
      <c r="B6655">
        <f t="shared" ca="1" si="311"/>
        <v>52548.185510909338</v>
      </c>
      <c r="C6655">
        <f t="shared" ca="1" si="309"/>
        <v>0</v>
      </c>
      <c r="D6655">
        <f t="shared" ca="1" si="310"/>
        <v>12548.185510909338</v>
      </c>
    </row>
    <row r="6656" spans="2:4" x14ac:dyDescent="0.25">
      <c r="B6656">
        <f t="shared" ca="1" si="311"/>
        <v>43801.814316912911</v>
      </c>
      <c r="C6656">
        <f t="shared" ca="1" si="309"/>
        <v>0</v>
      </c>
      <c r="D6656">
        <f t="shared" ca="1" si="310"/>
        <v>3801.8143169129107</v>
      </c>
    </row>
    <row r="6657" spans="2:4" x14ac:dyDescent="0.25">
      <c r="B6657">
        <f t="shared" ca="1" si="311"/>
        <v>41612.785498456084</v>
      </c>
      <c r="C6657">
        <f t="shared" ca="1" si="309"/>
        <v>0</v>
      </c>
      <c r="D6657">
        <f t="shared" ca="1" si="310"/>
        <v>1612.7854984560836</v>
      </c>
    </row>
    <row r="6658" spans="2:4" x14ac:dyDescent="0.25">
      <c r="B6658">
        <f t="shared" ca="1" si="311"/>
        <v>44023.815921286929</v>
      </c>
      <c r="C6658">
        <f t="shared" ca="1" si="309"/>
        <v>0</v>
      </c>
      <c r="D6658">
        <f t="shared" ca="1" si="310"/>
        <v>4023.8159212869286</v>
      </c>
    </row>
    <row r="6659" spans="2:4" x14ac:dyDescent="0.25">
      <c r="B6659">
        <f t="shared" ca="1" si="311"/>
        <v>40419.116451125585</v>
      </c>
      <c r="C6659">
        <f t="shared" ca="1" si="309"/>
        <v>0</v>
      </c>
      <c r="D6659">
        <f t="shared" ca="1" si="310"/>
        <v>419.11645112558472</v>
      </c>
    </row>
    <row r="6660" spans="2:4" x14ac:dyDescent="0.25">
      <c r="B6660">
        <f t="shared" ca="1" si="311"/>
        <v>43647.461097253901</v>
      </c>
      <c r="C6660">
        <f t="shared" ca="1" si="309"/>
        <v>0</v>
      </c>
      <c r="D6660">
        <f t="shared" ca="1" si="310"/>
        <v>3647.4610972539012</v>
      </c>
    </row>
    <row r="6661" spans="2:4" x14ac:dyDescent="0.25">
      <c r="B6661">
        <f t="shared" ca="1" si="311"/>
        <v>52365.251436804974</v>
      </c>
      <c r="C6661">
        <f t="shared" ca="1" si="309"/>
        <v>0</v>
      </c>
      <c r="D6661">
        <f t="shared" ca="1" si="310"/>
        <v>12365.251436804974</v>
      </c>
    </row>
    <row r="6662" spans="2:4" x14ac:dyDescent="0.25">
      <c r="B6662">
        <f t="shared" ca="1" si="311"/>
        <v>45767.358651510272</v>
      </c>
      <c r="C6662">
        <f t="shared" ca="1" si="309"/>
        <v>0</v>
      </c>
      <c r="D6662">
        <f t="shared" ca="1" si="310"/>
        <v>5767.3586515102725</v>
      </c>
    </row>
    <row r="6663" spans="2:4" x14ac:dyDescent="0.25">
      <c r="B6663">
        <f t="shared" ca="1" si="311"/>
        <v>38808.058529597976</v>
      </c>
      <c r="C6663">
        <f t="shared" ca="1" si="309"/>
        <v>1191.9414704020237</v>
      </c>
      <c r="D6663">
        <f t="shared" ca="1" si="310"/>
        <v>0</v>
      </c>
    </row>
    <row r="6664" spans="2:4" x14ac:dyDescent="0.25">
      <c r="B6664">
        <f t="shared" ca="1" si="311"/>
        <v>52881.105948169294</v>
      </c>
      <c r="C6664">
        <f t="shared" ca="1" si="309"/>
        <v>0</v>
      </c>
      <c r="D6664">
        <f t="shared" ca="1" si="310"/>
        <v>12881.105948169294</v>
      </c>
    </row>
    <row r="6665" spans="2:4" x14ac:dyDescent="0.25">
      <c r="B6665">
        <f t="shared" ca="1" si="311"/>
        <v>44929.084012142273</v>
      </c>
      <c r="C6665">
        <f t="shared" ca="1" si="309"/>
        <v>0</v>
      </c>
      <c r="D6665">
        <f t="shared" ca="1" si="310"/>
        <v>4929.0840121422734</v>
      </c>
    </row>
    <row r="6666" spans="2:4" x14ac:dyDescent="0.25">
      <c r="B6666">
        <f t="shared" ca="1" si="311"/>
        <v>43585.863261842474</v>
      </c>
      <c r="C6666">
        <f t="shared" ca="1" si="309"/>
        <v>0</v>
      </c>
      <c r="D6666">
        <f t="shared" ca="1" si="310"/>
        <v>3585.8632618424745</v>
      </c>
    </row>
    <row r="6667" spans="2:4" x14ac:dyDescent="0.25">
      <c r="B6667">
        <f t="shared" ca="1" si="311"/>
        <v>50337.940309337144</v>
      </c>
      <c r="C6667">
        <f t="shared" ca="1" si="309"/>
        <v>0</v>
      </c>
      <c r="D6667">
        <f t="shared" ca="1" si="310"/>
        <v>10337.940309337144</v>
      </c>
    </row>
    <row r="6668" spans="2:4" x14ac:dyDescent="0.25">
      <c r="B6668">
        <f t="shared" ca="1" si="311"/>
        <v>42490.956082342193</v>
      </c>
      <c r="C6668">
        <f t="shared" ref="C6668:C6731" ca="1" si="312">IF(MAX($B$2-B6668)&lt;0,0,$B$2-B6668)</f>
        <v>0</v>
      </c>
      <c r="D6668">
        <f t="shared" ref="D6668:D6731" ca="1" si="313">IF(MAX(B6668-$B$2)&lt;0,0,B6668-$B$2)</f>
        <v>2490.9560823421925</v>
      </c>
    </row>
    <row r="6669" spans="2:4" x14ac:dyDescent="0.25">
      <c r="B6669">
        <f t="shared" ref="B6669:B6732" ca="1" si="314">$B$1*EXP((($B$4-($B$3^2)/2)*$B$5+$B$3*SQRT($B$5)*NORMSINV(RAND())))</f>
        <v>45018.202555784061</v>
      </c>
      <c r="C6669">
        <f t="shared" ca="1" si="312"/>
        <v>0</v>
      </c>
      <c r="D6669">
        <f t="shared" ca="1" si="313"/>
        <v>5018.2025557840607</v>
      </c>
    </row>
    <row r="6670" spans="2:4" x14ac:dyDescent="0.25">
      <c r="B6670">
        <f t="shared" ca="1" si="314"/>
        <v>46254.652328074611</v>
      </c>
      <c r="C6670">
        <f t="shared" ca="1" si="312"/>
        <v>0</v>
      </c>
      <c r="D6670">
        <f t="shared" ca="1" si="313"/>
        <v>6254.6523280746114</v>
      </c>
    </row>
    <row r="6671" spans="2:4" x14ac:dyDescent="0.25">
      <c r="B6671">
        <f t="shared" ca="1" si="314"/>
        <v>40834.734776388628</v>
      </c>
      <c r="C6671">
        <f t="shared" ca="1" si="312"/>
        <v>0</v>
      </c>
      <c r="D6671">
        <f t="shared" ca="1" si="313"/>
        <v>834.73477638862823</v>
      </c>
    </row>
    <row r="6672" spans="2:4" x14ac:dyDescent="0.25">
      <c r="B6672">
        <f t="shared" ca="1" si="314"/>
        <v>42939.863990629769</v>
      </c>
      <c r="C6672">
        <f t="shared" ca="1" si="312"/>
        <v>0</v>
      </c>
      <c r="D6672">
        <f t="shared" ca="1" si="313"/>
        <v>2939.8639906297685</v>
      </c>
    </row>
    <row r="6673" spans="2:4" x14ac:dyDescent="0.25">
      <c r="B6673">
        <f t="shared" ca="1" si="314"/>
        <v>47144.817677758467</v>
      </c>
      <c r="C6673">
        <f t="shared" ca="1" si="312"/>
        <v>0</v>
      </c>
      <c r="D6673">
        <f t="shared" ca="1" si="313"/>
        <v>7144.8176777584667</v>
      </c>
    </row>
    <row r="6674" spans="2:4" x14ac:dyDescent="0.25">
      <c r="B6674">
        <f t="shared" ca="1" si="314"/>
        <v>50389.536164677462</v>
      </c>
      <c r="C6674">
        <f t="shared" ca="1" si="312"/>
        <v>0</v>
      </c>
      <c r="D6674">
        <f t="shared" ca="1" si="313"/>
        <v>10389.536164677462</v>
      </c>
    </row>
    <row r="6675" spans="2:4" x14ac:dyDescent="0.25">
      <c r="B6675">
        <f t="shared" ca="1" si="314"/>
        <v>43509.229549740456</v>
      </c>
      <c r="C6675">
        <f t="shared" ca="1" si="312"/>
        <v>0</v>
      </c>
      <c r="D6675">
        <f t="shared" ca="1" si="313"/>
        <v>3509.2295497404557</v>
      </c>
    </row>
    <row r="6676" spans="2:4" x14ac:dyDescent="0.25">
      <c r="B6676">
        <f t="shared" ca="1" si="314"/>
        <v>46930.966494404078</v>
      </c>
      <c r="C6676">
        <f t="shared" ca="1" si="312"/>
        <v>0</v>
      </c>
      <c r="D6676">
        <f t="shared" ca="1" si="313"/>
        <v>6930.9664944040778</v>
      </c>
    </row>
    <row r="6677" spans="2:4" x14ac:dyDescent="0.25">
      <c r="B6677">
        <f t="shared" ca="1" si="314"/>
        <v>39250.543373082939</v>
      </c>
      <c r="C6677">
        <f t="shared" ca="1" si="312"/>
        <v>749.45662691706093</v>
      </c>
      <c r="D6677">
        <f t="shared" ca="1" si="313"/>
        <v>0</v>
      </c>
    </row>
    <row r="6678" spans="2:4" x14ac:dyDescent="0.25">
      <c r="B6678">
        <f t="shared" ca="1" si="314"/>
        <v>49419.203505118865</v>
      </c>
      <c r="C6678">
        <f t="shared" ca="1" si="312"/>
        <v>0</v>
      </c>
      <c r="D6678">
        <f t="shared" ca="1" si="313"/>
        <v>9419.203505118865</v>
      </c>
    </row>
    <row r="6679" spans="2:4" x14ac:dyDescent="0.25">
      <c r="B6679">
        <f t="shared" ca="1" si="314"/>
        <v>46973.770418285028</v>
      </c>
      <c r="C6679">
        <f t="shared" ca="1" si="312"/>
        <v>0</v>
      </c>
      <c r="D6679">
        <f t="shared" ca="1" si="313"/>
        <v>6973.7704182850284</v>
      </c>
    </row>
    <row r="6680" spans="2:4" x14ac:dyDescent="0.25">
      <c r="B6680">
        <f t="shared" ca="1" si="314"/>
        <v>46703.888902227976</v>
      </c>
      <c r="C6680">
        <f t="shared" ca="1" si="312"/>
        <v>0</v>
      </c>
      <c r="D6680">
        <f t="shared" ca="1" si="313"/>
        <v>6703.8889022279764</v>
      </c>
    </row>
    <row r="6681" spans="2:4" x14ac:dyDescent="0.25">
      <c r="B6681">
        <f t="shared" ca="1" si="314"/>
        <v>44125.697535919135</v>
      </c>
      <c r="C6681">
        <f t="shared" ca="1" si="312"/>
        <v>0</v>
      </c>
      <c r="D6681">
        <f t="shared" ca="1" si="313"/>
        <v>4125.6975359191347</v>
      </c>
    </row>
    <row r="6682" spans="2:4" x14ac:dyDescent="0.25">
      <c r="B6682">
        <f t="shared" ca="1" si="314"/>
        <v>49661.564552837131</v>
      </c>
      <c r="C6682">
        <f t="shared" ca="1" si="312"/>
        <v>0</v>
      </c>
      <c r="D6682">
        <f t="shared" ca="1" si="313"/>
        <v>9661.5645528371315</v>
      </c>
    </row>
    <row r="6683" spans="2:4" x14ac:dyDescent="0.25">
      <c r="B6683">
        <f t="shared" ca="1" si="314"/>
        <v>42860.108249851713</v>
      </c>
      <c r="C6683">
        <f t="shared" ca="1" si="312"/>
        <v>0</v>
      </c>
      <c r="D6683">
        <f t="shared" ca="1" si="313"/>
        <v>2860.1082498517135</v>
      </c>
    </row>
    <row r="6684" spans="2:4" x14ac:dyDescent="0.25">
      <c r="B6684">
        <f t="shared" ca="1" si="314"/>
        <v>42292.594388761958</v>
      </c>
      <c r="C6684">
        <f t="shared" ca="1" si="312"/>
        <v>0</v>
      </c>
      <c r="D6684">
        <f t="shared" ca="1" si="313"/>
        <v>2292.5943887619578</v>
      </c>
    </row>
    <row r="6685" spans="2:4" x14ac:dyDescent="0.25">
      <c r="B6685">
        <f t="shared" ca="1" si="314"/>
        <v>39686.29578570553</v>
      </c>
      <c r="C6685">
        <f t="shared" ca="1" si="312"/>
        <v>313.70421429447015</v>
      </c>
      <c r="D6685">
        <f t="shared" ca="1" si="313"/>
        <v>0</v>
      </c>
    </row>
    <row r="6686" spans="2:4" x14ac:dyDescent="0.25">
      <c r="B6686">
        <f t="shared" ca="1" si="314"/>
        <v>51454.108872323573</v>
      </c>
      <c r="C6686">
        <f t="shared" ca="1" si="312"/>
        <v>0</v>
      </c>
      <c r="D6686">
        <f t="shared" ca="1" si="313"/>
        <v>11454.108872323573</v>
      </c>
    </row>
    <row r="6687" spans="2:4" x14ac:dyDescent="0.25">
      <c r="B6687">
        <f t="shared" ca="1" si="314"/>
        <v>45488.58062984237</v>
      </c>
      <c r="C6687">
        <f t="shared" ca="1" si="312"/>
        <v>0</v>
      </c>
      <c r="D6687">
        <f t="shared" ca="1" si="313"/>
        <v>5488.5806298423704</v>
      </c>
    </row>
    <row r="6688" spans="2:4" x14ac:dyDescent="0.25">
      <c r="B6688">
        <f t="shared" ca="1" si="314"/>
        <v>39611.179228966241</v>
      </c>
      <c r="C6688">
        <f t="shared" ca="1" si="312"/>
        <v>388.82077103375923</v>
      </c>
      <c r="D6688">
        <f t="shared" ca="1" si="313"/>
        <v>0</v>
      </c>
    </row>
    <row r="6689" spans="2:4" x14ac:dyDescent="0.25">
      <c r="B6689">
        <f t="shared" ca="1" si="314"/>
        <v>41466.991909638651</v>
      </c>
      <c r="C6689">
        <f t="shared" ca="1" si="312"/>
        <v>0</v>
      </c>
      <c r="D6689">
        <f t="shared" ca="1" si="313"/>
        <v>1466.9919096386511</v>
      </c>
    </row>
    <row r="6690" spans="2:4" x14ac:dyDescent="0.25">
      <c r="B6690">
        <f t="shared" ca="1" si="314"/>
        <v>43105.633382799089</v>
      </c>
      <c r="C6690">
        <f t="shared" ca="1" si="312"/>
        <v>0</v>
      </c>
      <c r="D6690">
        <f t="shared" ca="1" si="313"/>
        <v>3105.6333827990893</v>
      </c>
    </row>
    <row r="6691" spans="2:4" x14ac:dyDescent="0.25">
      <c r="B6691">
        <f t="shared" ca="1" si="314"/>
        <v>43144.971564304426</v>
      </c>
      <c r="C6691">
        <f t="shared" ca="1" si="312"/>
        <v>0</v>
      </c>
      <c r="D6691">
        <f t="shared" ca="1" si="313"/>
        <v>3144.9715643044256</v>
      </c>
    </row>
    <row r="6692" spans="2:4" x14ac:dyDescent="0.25">
      <c r="B6692">
        <f t="shared" ca="1" si="314"/>
        <v>43685.394561140383</v>
      </c>
      <c r="C6692">
        <f t="shared" ca="1" si="312"/>
        <v>0</v>
      </c>
      <c r="D6692">
        <f t="shared" ca="1" si="313"/>
        <v>3685.3945611403833</v>
      </c>
    </row>
    <row r="6693" spans="2:4" x14ac:dyDescent="0.25">
      <c r="B6693">
        <f t="shared" ca="1" si="314"/>
        <v>48610.654331121077</v>
      </c>
      <c r="C6693">
        <f t="shared" ca="1" si="312"/>
        <v>0</v>
      </c>
      <c r="D6693">
        <f t="shared" ca="1" si="313"/>
        <v>8610.6543311210771</v>
      </c>
    </row>
    <row r="6694" spans="2:4" x14ac:dyDescent="0.25">
      <c r="B6694">
        <f t="shared" ca="1" si="314"/>
        <v>41829.446229495181</v>
      </c>
      <c r="C6694">
        <f t="shared" ca="1" si="312"/>
        <v>0</v>
      </c>
      <c r="D6694">
        <f t="shared" ca="1" si="313"/>
        <v>1829.4462294951809</v>
      </c>
    </row>
    <row r="6695" spans="2:4" x14ac:dyDescent="0.25">
      <c r="B6695">
        <f t="shared" ca="1" si="314"/>
        <v>44415.13978703889</v>
      </c>
      <c r="C6695">
        <f t="shared" ca="1" si="312"/>
        <v>0</v>
      </c>
      <c r="D6695">
        <f t="shared" ca="1" si="313"/>
        <v>4415.1397870388901</v>
      </c>
    </row>
    <row r="6696" spans="2:4" x14ac:dyDescent="0.25">
      <c r="B6696">
        <f t="shared" ca="1" si="314"/>
        <v>51791.559301574853</v>
      </c>
      <c r="C6696">
        <f t="shared" ca="1" si="312"/>
        <v>0</v>
      </c>
      <c r="D6696">
        <f t="shared" ca="1" si="313"/>
        <v>11791.559301574853</v>
      </c>
    </row>
    <row r="6697" spans="2:4" x14ac:dyDescent="0.25">
      <c r="B6697">
        <f t="shared" ca="1" si="314"/>
        <v>53638.442173818366</v>
      </c>
      <c r="C6697">
        <f t="shared" ca="1" si="312"/>
        <v>0</v>
      </c>
      <c r="D6697">
        <f t="shared" ca="1" si="313"/>
        <v>13638.442173818366</v>
      </c>
    </row>
    <row r="6698" spans="2:4" x14ac:dyDescent="0.25">
      <c r="B6698">
        <f t="shared" ca="1" si="314"/>
        <v>48159.428895834062</v>
      </c>
      <c r="C6698">
        <f t="shared" ca="1" si="312"/>
        <v>0</v>
      </c>
      <c r="D6698">
        <f t="shared" ca="1" si="313"/>
        <v>8159.4288958340621</v>
      </c>
    </row>
    <row r="6699" spans="2:4" x14ac:dyDescent="0.25">
      <c r="B6699">
        <f t="shared" ca="1" si="314"/>
        <v>43608.1682807334</v>
      </c>
      <c r="C6699">
        <f t="shared" ca="1" si="312"/>
        <v>0</v>
      </c>
      <c r="D6699">
        <f t="shared" ca="1" si="313"/>
        <v>3608.1682807334</v>
      </c>
    </row>
    <row r="6700" spans="2:4" x14ac:dyDescent="0.25">
      <c r="B6700">
        <f t="shared" ca="1" si="314"/>
        <v>44046.423700347899</v>
      </c>
      <c r="C6700">
        <f t="shared" ca="1" si="312"/>
        <v>0</v>
      </c>
      <c r="D6700">
        <f t="shared" ca="1" si="313"/>
        <v>4046.4237003478993</v>
      </c>
    </row>
    <row r="6701" spans="2:4" x14ac:dyDescent="0.25">
      <c r="B6701">
        <f t="shared" ca="1" si="314"/>
        <v>45353.78020022672</v>
      </c>
      <c r="C6701">
        <f t="shared" ca="1" si="312"/>
        <v>0</v>
      </c>
      <c r="D6701">
        <f t="shared" ca="1" si="313"/>
        <v>5353.7802002267199</v>
      </c>
    </row>
    <row r="6702" spans="2:4" x14ac:dyDescent="0.25">
      <c r="B6702">
        <f t="shared" ca="1" si="314"/>
        <v>47089.533990568903</v>
      </c>
      <c r="C6702">
        <f t="shared" ca="1" si="312"/>
        <v>0</v>
      </c>
      <c r="D6702">
        <f t="shared" ca="1" si="313"/>
        <v>7089.5339905689034</v>
      </c>
    </row>
    <row r="6703" spans="2:4" x14ac:dyDescent="0.25">
      <c r="B6703">
        <f t="shared" ca="1" si="314"/>
        <v>41512.030610151138</v>
      </c>
      <c r="C6703">
        <f t="shared" ca="1" si="312"/>
        <v>0</v>
      </c>
      <c r="D6703">
        <f t="shared" ca="1" si="313"/>
        <v>1512.0306101511378</v>
      </c>
    </row>
    <row r="6704" spans="2:4" x14ac:dyDescent="0.25">
      <c r="B6704">
        <f t="shared" ca="1" si="314"/>
        <v>54611.756757288262</v>
      </c>
      <c r="C6704">
        <f t="shared" ca="1" si="312"/>
        <v>0</v>
      </c>
      <c r="D6704">
        <f t="shared" ca="1" si="313"/>
        <v>14611.756757288262</v>
      </c>
    </row>
    <row r="6705" spans="2:4" x14ac:dyDescent="0.25">
      <c r="B6705">
        <f t="shared" ca="1" si="314"/>
        <v>46758.752297439758</v>
      </c>
      <c r="C6705">
        <f t="shared" ca="1" si="312"/>
        <v>0</v>
      </c>
      <c r="D6705">
        <f t="shared" ca="1" si="313"/>
        <v>6758.752297439758</v>
      </c>
    </row>
    <row r="6706" spans="2:4" x14ac:dyDescent="0.25">
      <c r="B6706">
        <f t="shared" ca="1" si="314"/>
        <v>48990.542775604787</v>
      </c>
      <c r="C6706">
        <f t="shared" ca="1" si="312"/>
        <v>0</v>
      </c>
      <c r="D6706">
        <f t="shared" ca="1" si="313"/>
        <v>8990.5427756047866</v>
      </c>
    </row>
    <row r="6707" spans="2:4" x14ac:dyDescent="0.25">
      <c r="B6707">
        <f t="shared" ca="1" si="314"/>
        <v>41842.129069862589</v>
      </c>
      <c r="C6707">
        <f t="shared" ca="1" si="312"/>
        <v>0</v>
      </c>
      <c r="D6707">
        <f t="shared" ca="1" si="313"/>
        <v>1842.1290698625889</v>
      </c>
    </row>
    <row r="6708" spans="2:4" x14ac:dyDescent="0.25">
      <c r="B6708">
        <f t="shared" ca="1" si="314"/>
        <v>41598.496541259083</v>
      </c>
      <c r="C6708">
        <f t="shared" ca="1" si="312"/>
        <v>0</v>
      </c>
      <c r="D6708">
        <f t="shared" ca="1" si="313"/>
        <v>1598.4965412590827</v>
      </c>
    </row>
    <row r="6709" spans="2:4" x14ac:dyDescent="0.25">
      <c r="B6709">
        <f t="shared" ca="1" si="314"/>
        <v>43712.575017611467</v>
      </c>
      <c r="C6709">
        <f t="shared" ca="1" si="312"/>
        <v>0</v>
      </c>
      <c r="D6709">
        <f t="shared" ca="1" si="313"/>
        <v>3712.575017611467</v>
      </c>
    </row>
    <row r="6710" spans="2:4" x14ac:dyDescent="0.25">
      <c r="B6710">
        <f t="shared" ca="1" si="314"/>
        <v>41122.918032033944</v>
      </c>
      <c r="C6710">
        <f t="shared" ca="1" si="312"/>
        <v>0</v>
      </c>
      <c r="D6710">
        <f t="shared" ca="1" si="313"/>
        <v>1122.9180320339437</v>
      </c>
    </row>
    <row r="6711" spans="2:4" x14ac:dyDescent="0.25">
      <c r="B6711">
        <f t="shared" ca="1" si="314"/>
        <v>41905.301009992079</v>
      </c>
      <c r="C6711">
        <f t="shared" ca="1" si="312"/>
        <v>0</v>
      </c>
      <c r="D6711">
        <f t="shared" ca="1" si="313"/>
        <v>1905.3010099920793</v>
      </c>
    </row>
    <row r="6712" spans="2:4" x14ac:dyDescent="0.25">
      <c r="B6712">
        <f t="shared" ca="1" si="314"/>
        <v>61996.33448821475</v>
      </c>
      <c r="C6712">
        <f t="shared" ca="1" si="312"/>
        <v>0</v>
      </c>
      <c r="D6712">
        <f t="shared" ca="1" si="313"/>
        <v>21996.33448821475</v>
      </c>
    </row>
    <row r="6713" spans="2:4" x14ac:dyDescent="0.25">
      <c r="B6713">
        <f t="shared" ca="1" si="314"/>
        <v>41203.5707704284</v>
      </c>
      <c r="C6713">
        <f t="shared" ca="1" si="312"/>
        <v>0</v>
      </c>
      <c r="D6713">
        <f t="shared" ca="1" si="313"/>
        <v>1203.5707704283996</v>
      </c>
    </row>
    <row r="6714" spans="2:4" x14ac:dyDescent="0.25">
      <c r="B6714">
        <f t="shared" ca="1" si="314"/>
        <v>51152.518626863268</v>
      </c>
      <c r="C6714">
        <f t="shared" ca="1" si="312"/>
        <v>0</v>
      </c>
      <c r="D6714">
        <f t="shared" ca="1" si="313"/>
        <v>11152.518626863268</v>
      </c>
    </row>
    <row r="6715" spans="2:4" x14ac:dyDescent="0.25">
      <c r="B6715">
        <f t="shared" ca="1" si="314"/>
        <v>39926.253544737185</v>
      </c>
      <c r="C6715">
        <f t="shared" ca="1" si="312"/>
        <v>73.746455262815289</v>
      </c>
      <c r="D6715">
        <f t="shared" ca="1" si="313"/>
        <v>0</v>
      </c>
    </row>
    <row r="6716" spans="2:4" x14ac:dyDescent="0.25">
      <c r="B6716">
        <f t="shared" ca="1" si="314"/>
        <v>38776.4547269783</v>
      </c>
      <c r="C6716">
        <f t="shared" ca="1" si="312"/>
        <v>1223.5452730217003</v>
      </c>
      <c r="D6716">
        <f t="shared" ca="1" si="313"/>
        <v>0</v>
      </c>
    </row>
    <row r="6717" spans="2:4" x14ac:dyDescent="0.25">
      <c r="B6717">
        <f t="shared" ca="1" si="314"/>
        <v>39202.200716845713</v>
      </c>
      <c r="C6717">
        <f t="shared" ca="1" si="312"/>
        <v>797.79928315428697</v>
      </c>
      <c r="D6717">
        <f t="shared" ca="1" si="313"/>
        <v>0</v>
      </c>
    </row>
    <row r="6718" spans="2:4" x14ac:dyDescent="0.25">
      <c r="B6718">
        <f t="shared" ca="1" si="314"/>
        <v>41223.202600421588</v>
      </c>
      <c r="C6718">
        <f t="shared" ca="1" si="312"/>
        <v>0</v>
      </c>
      <c r="D6718">
        <f t="shared" ca="1" si="313"/>
        <v>1223.2026004215877</v>
      </c>
    </row>
    <row r="6719" spans="2:4" x14ac:dyDescent="0.25">
      <c r="B6719">
        <f t="shared" ca="1" si="314"/>
        <v>44155.951922677559</v>
      </c>
      <c r="C6719">
        <f t="shared" ca="1" si="312"/>
        <v>0</v>
      </c>
      <c r="D6719">
        <f t="shared" ca="1" si="313"/>
        <v>4155.9519226775592</v>
      </c>
    </row>
    <row r="6720" spans="2:4" x14ac:dyDescent="0.25">
      <c r="B6720">
        <f t="shared" ca="1" si="314"/>
        <v>43620.096763974347</v>
      </c>
      <c r="C6720">
        <f t="shared" ca="1" si="312"/>
        <v>0</v>
      </c>
      <c r="D6720">
        <f t="shared" ca="1" si="313"/>
        <v>3620.0967639743467</v>
      </c>
    </row>
    <row r="6721" spans="2:4" x14ac:dyDescent="0.25">
      <c r="B6721">
        <f t="shared" ca="1" si="314"/>
        <v>55674.304105545751</v>
      </c>
      <c r="C6721">
        <f t="shared" ca="1" si="312"/>
        <v>0</v>
      </c>
      <c r="D6721">
        <f t="shared" ca="1" si="313"/>
        <v>15674.304105545751</v>
      </c>
    </row>
    <row r="6722" spans="2:4" x14ac:dyDescent="0.25">
      <c r="B6722">
        <f t="shared" ca="1" si="314"/>
        <v>41777.671422240157</v>
      </c>
      <c r="C6722">
        <f t="shared" ca="1" si="312"/>
        <v>0</v>
      </c>
      <c r="D6722">
        <f t="shared" ca="1" si="313"/>
        <v>1777.671422240157</v>
      </c>
    </row>
    <row r="6723" spans="2:4" x14ac:dyDescent="0.25">
      <c r="B6723">
        <f t="shared" ca="1" si="314"/>
        <v>46694.85189076305</v>
      </c>
      <c r="C6723">
        <f t="shared" ca="1" si="312"/>
        <v>0</v>
      </c>
      <c r="D6723">
        <f t="shared" ca="1" si="313"/>
        <v>6694.8518907630496</v>
      </c>
    </row>
    <row r="6724" spans="2:4" x14ac:dyDescent="0.25">
      <c r="B6724">
        <f t="shared" ca="1" si="314"/>
        <v>43488.924516584972</v>
      </c>
      <c r="C6724">
        <f t="shared" ca="1" si="312"/>
        <v>0</v>
      </c>
      <c r="D6724">
        <f t="shared" ca="1" si="313"/>
        <v>3488.9245165849716</v>
      </c>
    </row>
    <row r="6725" spans="2:4" x14ac:dyDescent="0.25">
      <c r="B6725">
        <f t="shared" ca="1" si="314"/>
        <v>39636.117930867214</v>
      </c>
      <c r="C6725">
        <f t="shared" ca="1" si="312"/>
        <v>363.88206913278555</v>
      </c>
      <c r="D6725">
        <f t="shared" ca="1" si="313"/>
        <v>0</v>
      </c>
    </row>
    <row r="6726" spans="2:4" x14ac:dyDescent="0.25">
      <c r="B6726">
        <f t="shared" ca="1" si="314"/>
        <v>42600.807918712075</v>
      </c>
      <c r="C6726">
        <f t="shared" ca="1" si="312"/>
        <v>0</v>
      </c>
      <c r="D6726">
        <f t="shared" ca="1" si="313"/>
        <v>2600.8079187120748</v>
      </c>
    </row>
    <row r="6727" spans="2:4" x14ac:dyDescent="0.25">
      <c r="B6727">
        <f t="shared" ca="1" si="314"/>
        <v>49610.451535411506</v>
      </c>
      <c r="C6727">
        <f t="shared" ca="1" si="312"/>
        <v>0</v>
      </c>
      <c r="D6727">
        <f t="shared" ca="1" si="313"/>
        <v>9610.4515354115065</v>
      </c>
    </row>
    <row r="6728" spans="2:4" x14ac:dyDescent="0.25">
      <c r="B6728">
        <f t="shared" ca="1" si="314"/>
        <v>57228.980142538887</v>
      </c>
      <c r="C6728">
        <f t="shared" ca="1" si="312"/>
        <v>0</v>
      </c>
      <c r="D6728">
        <f t="shared" ca="1" si="313"/>
        <v>17228.980142538887</v>
      </c>
    </row>
    <row r="6729" spans="2:4" x14ac:dyDescent="0.25">
      <c r="B6729">
        <f t="shared" ca="1" si="314"/>
        <v>42737.119375730421</v>
      </c>
      <c r="C6729">
        <f t="shared" ca="1" si="312"/>
        <v>0</v>
      </c>
      <c r="D6729">
        <f t="shared" ca="1" si="313"/>
        <v>2737.1193757304209</v>
      </c>
    </row>
    <row r="6730" spans="2:4" x14ac:dyDescent="0.25">
      <c r="B6730">
        <f t="shared" ca="1" si="314"/>
        <v>42600.568925414838</v>
      </c>
      <c r="C6730">
        <f t="shared" ca="1" si="312"/>
        <v>0</v>
      </c>
      <c r="D6730">
        <f t="shared" ca="1" si="313"/>
        <v>2600.5689254148383</v>
      </c>
    </row>
    <row r="6731" spans="2:4" x14ac:dyDescent="0.25">
      <c r="B6731">
        <f t="shared" ca="1" si="314"/>
        <v>41475.560587551307</v>
      </c>
      <c r="C6731">
        <f t="shared" ca="1" si="312"/>
        <v>0</v>
      </c>
      <c r="D6731">
        <f t="shared" ca="1" si="313"/>
        <v>1475.5605875513065</v>
      </c>
    </row>
    <row r="6732" spans="2:4" x14ac:dyDescent="0.25">
      <c r="B6732">
        <f t="shared" ca="1" si="314"/>
        <v>51099.147698125795</v>
      </c>
      <c r="C6732">
        <f t="shared" ref="C6732:C6795" ca="1" si="315">IF(MAX($B$2-B6732)&lt;0,0,$B$2-B6732)</f>
        <v>0</v>
      </c>
      <c r="D6732">
        <f t="shared" ref="D6732:D6795" ca="1" si="316">IF(MAX(B6732-$B$2)&lt;0,0,B6732-$B$2)</f>
        <v>11099.147698125795</v>
      </c>
    </row>
    <row r="6733" spans="2:4" x14ac:dyDescent="0.25">
      <c r="B6733">
        <f t="shared" ref="B6733:B6796" ca="1" si="317">$B$1*EXP((($B$4-($B$3^2)/2)*$B$5+$B$3*SQRT($B$5)*NORMSINV(RAND())))</f>
        <v>37940.844536156364</v>
      </c>
      <c r="C6733">
        <f t="shared" ca="1" si="315"/>
        <v>2059.1554638436355</v>
      </c>
      <c r="D6733">
        <f t="shared" ca="1" si="316"/>
        <v>0</v>
      </c>
    </row>
    <row r="6734" spans="2:4" x14ac:dyDescent="0.25">
      <c r="B6734">
        <f t="shared" ca="1" si="317"/>
        <v>43981.802573569876</v>
      </c>
      <c r="C6734">
        <f t="shared" ca="1" si="315"/>
        <v>0</v>
      </c>
      <c r="D6734">
        <f t="shared" ca="1" si="316"/>
        <v>3981.8025735698757</v>
      </c>
    </row>
    <row r="6735" spans="2:4" x14ac:dyDescent="0.25">
      <c r="B6735">
        <f t="shared" ca="1" si="317"/>
        <v>39925.63404629755</v>
      </c>
      <c r="C6735">
        <f t="shared" ca="1" si="315"/>
        <v>74.365953702450497</v>
      </c>
      <c r="D6735">
        <f t="shared" ca="1" si="316"/>
        <v>0</v>
      </c>
    </row>
    <row r="6736" spans="2:4" x14ac:dyDescent="0.25">
      <c r="B6736">
        <f t="shared" ca="1" si="317"/>
        <v>46588.423132481286</v>
      </c>
      <c r="C6736">
        <f t="shared" ca="1" si="315"/>
        <v>0</v>
      </c>
      <c r="D6736">
        <f t="shared" ca="1" si="316"/>
        <v>6588.4231324812863</v>
      </c>
    </row>
    <row r="6737" spans="2:4" x14ac:dyDescent="0.25">
      <c r="B6737">
        <f t="shared" ca="1" si="317"/>
        <v>46147.699992626884</v>
      </c>
      <c r="C6737">
        <f t="shared" ca="1" si="315"/>
        <v>0</v>
      </c>
      <c r="D6737">
        <f t="shared" ca="1" si="316"/>
        <v>6147.6999926268836</v>
      </c>
    </row>
    <row r="6738" spans="2:4" x14ac:dyDescent="0.25">
      <c r="B6738">
        <f t="shared" ca="1" si="317"/>
        <v>47980.641729448274</v>
      </c>
      <c r="C6738">
        <f t="shared" ca="1" si="315"/>
        <v>0</v>
      </c>
      <c r="D6738">
        <f t="shared" ca="1" si="316"/>
        <v>7980.6417294482744</v>
      </c>
    </row>
    <row r="6739" spans="2:4" x14ac:dyDescent="0.25">
      <c r="B6739">
        <f t="shared" ca="1" si="317"/>
        <v>41964.471304467741</v>
      </c>
      <c r="C6739">
        <f t="shared" ca="1" si="315"/>
        <v>0</v>
      </c>
      <c r="D6739">
        <f t="shared" ca="1" si="316"/>
        <v>1964.471304467741</v>
      </c>
    </row>
    <row r="6740" spans="2:4" x14ac:dyDescent="0.25">
      <c r="B6740">
        <f t="shared" ca="1" si="317"/>
        <v>43695.781974781552</v>
      </c>
      <c r="C6740">
        <f t="shared" ca="1" si="315"/>
        <v>0</v>
      </c>
      <c r="D6740">
        <f t="shared" ca="1" si="316"/>
        <v>3695.781974781552</v>
      </c>
    </row>
    <row r="6741" spans="2:4" x14ac:dyDescent="0.25">
      <c r="B6741">
        <f t="shared" ca="1" si="317"/>
        <v>36380.33888871652</v>
      </c>
      <c r="C6741">
        <f t="shared" ca="1" si="315"/>
        <v>3619.6611112834798</v>
      </c>
      <c r="D6741">
        <f t="shared" ca="1" si="316"/>
        <v>0</v>
      </c>
    </row>
    <row r="6742" spans="2:4" x14ac:dyDescent="0.25">
      <c r="B6742">
        <f t="shared" ca="1" si="317"/>
        <v>40432.025198055286</v>
      </c>
      <c r="C6742">
        <f t="shared" ca="1" si="315"/>
        <v>0</v>
      </c>
      <c r="D6742">
        <f t="shared" ca="1" si="316"/>
        <v>432.02519805528573</v>
      </c>
    </row>
    <row r="6743" spans="2:4" x14ac:dyDescent="0.25">
      <c r="B6743">
        <f t="shared" ca="1" si="317"/>
        <v>42794.704230315692</v>
      </c>
      <c r="C6743">
        <f t="shared" ca="1" si="315"/>
        <v>0</v>
      </c>
      <c r="D6743">
        <f t="shared" ca="1" si="316"/>
        <v>2794.7042303156923</v>
      </c>
    </row>
    <row r="6744" spans="2:4" x14ac:dyDescent="0.25">
      <c r="B6744">
        <f t="shared" ca="1" si="317"/>
        <v>39106.635869950936</v>
      </c>
      <c r="C6744">
        <f t="shared" ca="1" si="315"/>
        <v>893.36413004906353</v>
      </c>
      <c r="D6744">
        <f t="shared" ca="1" si="316"/>
        <v>0</v>
      </c>
    </row>
    <row r="6745" spans="2:4" x14ac:dyDescent="0.25">
      <c r="B6745">
        <f t="shared" ca="1" si="317"/>
        <v>40645.807521851348</v>
      </c>
      <c r="C6745">
        <f t="shared" ca="1" si="315"/>
        <v>0</v>
      </c>
      <c r="D6745">
        <f t="shared" ca="1" si="316"/>
        <v>645.8075218513477</v>
      </c>
    </row>
    <row r="6746" spans="2:4" x14ac:dyDescent="0.25">
      <c r="B6746">
        <f t="shared" ca="1" si="317"/>
        <v>42711.112675906908</v>
      </c>
      <c r="C6746">
        <f t="shared" ca="1" si="315"/>
        <v>0</v>
      </c>
      <c r="D6746">
        <f t="shared" ca="1" si="316"/>
        <v>2711.1126759069084</v>
      </c>
    </row>
    <row r="6747" spans="2:4" x14ac:dyDescent="0.25">
      <c r="B6747">
        <f t="shared" ca="1" si="317"/>
        <v>44441.436537931309</v>
      </c>
      <c r="C6747">
        <f t="shared" ca="1" si="315"/>
        <v>0</v>
      </c>
      <c r="D6747">
        <f t="shared" ca="1" si="316"/>
        <v>4441.4365379313094</v>
      </c>
    </row>
    <row r="6748" spans="2:4" x14ac:dyDescent="0.25">
      <c r="B6748">
        <f t="shared" ca="1" si="317"/>
        <v>47884.054833895709</v>
      </c>
      <c r="C6748">
        <f t="shared" ca="1" si="315"/>
        <v>0</v>
      </c>
      <c r="D6748">
        <f t="shared" ca="1" si="316"/>
        <v>7884.0548338957087</v>
      </c>
    </row>
    <row r="6749" spans="2:4" x14ac:dyDescent="0.25">
      <c r="B6749">
        <f t="shared" ca="1" si="317"/>
        <v>44288.322056839854</v>
      </c>
      <c r="C6749">
        <f t="shared" ca="1" si="315"/>
        <v>0</v>
      </c>
      <c r="D6749">
        <f t="shared" ca="1" si="316"/>
        <v>4288.3220568398538</v>
      </c>
    </row>
    <row r="6750" spans="2:4" x14ac:dyDescent="0.25">
      <c r="B6750">
        <f t="shared" ca="1" si="317"/>
        <v>39965.059274435895</v>
      </c>
      <c r="C6750">
        <f t="shared" ca="1" si="315"/>
        <v>34.940725564105378</v>
      </c>
      <c r="D6750">
        <f t="shared" ca="1" si="316"/>
        <v>0</v>
      </c>
    </row>
    <row r="6751" spans="2:4" x14ac:dyDescent="0.25">
      <c r="B6751">
        <f t="shared" ca="1" si="317"/>
        <v>39063.654933447731</v>
      </c>
      <c r="C6751">
        <f t="shared" ca="1" si="315"/>
        <v>936.34506655226869</v>
      </c>
      <c r="D6751">
        <f t="shared" ca="1" si="316"/>
        <v>0</v>
      </c>
    </row>
    <row r="6752" spans="2:4" x14ac:dyDescent="0.25">
      <c r="B6752">
        <f t="shared" ca="1" si="317"/>
        <v>38922.122164363369</v>
      </c>
      <c r="C6752">
        <f t="shared" ca="1" si="315"/>
        <v>1077.8778356366311</v>
      </c>
      <c r="D6752">
        <f t="shared" ca="1" si="316"/>
        <v>0</v>
      </c>
    </row>
    <row r="6753" spans="2:4" x14ac:dyDescent="0.25">
      <c r="B6753">
        <f t="shared" ca="1" si="317"/>
        <v>45688.319396414743</v>
      </c>
      <c r="C6753">
        <f t="shared" ca="1" si="315"/>
        <v>0</v>
      </c>
      <c r="D6753">
        <f t="shared" ca="1" si="316"/>
        <v>5688.3193964147431</v>
      </c>
    </row>
    <row r="6754" spans="2:4" x14ac:dyDescent="0.25">
      <c r="B6754">
        <f t="shared" ca="1" si="317"/>
        <v>44810.515891514166</v>
      </c>
      <c r="C6754">
        <f t="shared" ca="1" si="315"/>
        <v>0</v>
      </c>
      <c r="D6754">
        <f t="shared" ca="1" si="316"/>
        <v>4810.5158915141656</v>
      </c>
    </row>
    <row r="6755" spans="2:4" x14ac:dyDescent="0.25">
      <c r="B6755">
        <f t="shared" ca="1" si="317"/>
        <v>43465.78634396397</v>
      </c>
      <c r="C6755">
        <f t="shared" ca="1" si="315"/>
        <v>0</v>
      </c>
      <c r="D6755">
        <f t="shared" ca="1" si="316"/>
        <v>3465.7863439639696</v>
      </c>
    </row>
    <row r="6756" spans="2:4" x14ac:dyDescent="0.25">
      <c r="B6756">
        <f t="shared" ca="1" si="317"/>
        <v>43900.254032952384</v>
      </c>
      <c r="C6756">
        <f t="shared" ca="1" si="315"/>
        <v>0</v>
      </c>
      <c r="D6756">
        <f t="shared" ca="1" si="316"/>
        <v>3900.2540329523836</v>
      </c>
    </row>
    <row r="6757" spans="2:4" x14ac:dyDescent="0.25">
      <c r="B6757">
        <f t="shared" ca="1" si="317"/>
        <v>48472.827928322404</v>
      </c>
      <c r="C6757">
        <f t="shared" ca="1" si="315"/>
        <v>0</v>
      </c>
      <c r="D6757">
        <f t="shared" ca="1" si="316"/>
        <v>8472.8279283224037</v>
      </c>
    </row>
    <row r="6758" spans="2:4" x14ac:dyDescent="0.25">
      <c r="B6758">
        <f t="shared" ca="1" si="317"/>
        <v>46952.558118288063</v>
      </c>
      <c r="C6758">
        <f t="shared" ca="1" si="315"/>
        <v>0</v>
      </c>
      <c r="D6758">
        <f t="shared" ca="1" si="316"/>
        <v>6952.5581182880633</v>
      </c>
    </row>
    <row r="6759" spans="2:4" x14ac:dyDescent="0.25">
      <c r="B6759">
        <f t="shared" ca="1" si="317"/>
        <v>44011.073512615927</v>
      </c>
      <c r="C6759">
        <f t="shared" ca="1" si="315"/>
        <v>0</v>
      </c>
      <c r="D6759">
        <f t="shared" ca="1" si="316"/>
        <v>4011.073512615927</v>
      </c>
    </row>
    <row r="6760" spans="2:4" x14ac:dyDescent="0.25">
      <c r="B6760">
        <f t="shared" ca="1" si="317"/>
        <v>49932.743654200553</v>
      </c>
      <c r="C6760">
        <f t="shared" ca="1" si="315"/>
        <v>0</v>
      </c>
      <c r="D6760">
        <f t="shared" ca="1" si="316"/>
        <v>9932.7436542005526</v>
      </c>
    </row>
    <row r="6761" spans="2:4" x14ac:dyDescent="0.25">
      <c r="B6761">
        <f t="shared" ca="1" si="317"/>
        <v>47890.584687206763</v>
      </c>
      <c r="C6761">
        <f t="shared" ca="1" si="315"/>
        <v>0</v>
      </c>
      <c r="D6761">
        <f t="shared" ca="1" si="316"/>
        <v>7890.5846872067632</v>
      </c>
    </row>
    <row r="6762" spans="2:4" x14ac:dyDescent="0.25">
      <c r="B6762">
        <f t="shared" ca="1" si="317"/>
        <v>51408.894418442782</v>
      </c>
      <c r="C6762">
        <f t="shared" ca="1" si="315"/>
        <v>0</v>
      </c>
      <c r="D6762">
        <f t="shared" ca="1" si="316"/>
        <v>11408.894418442782</v>
      </c>
    </row>
    <row r="6763" spans="2:4" x14ac:dyDescent="0.25">
      <c r="B6763">
        <f t="shared" ca="1" si="317"/>
        <v>45619.524855395255</v>
      </c>
      <c r="C6763">
        <f t="shared" ca="1" si="315"/>
        <v>0</v>
      </c>
      <c r="D6763">
        <f t="shared" ca="1" si="316"/>
        <v>5619.5248553952551</v>
      </c>
    </row>
    <row r="6764" spans="2:4" x14ac:dyDescent="0.25">
      <c r="B6764">
        <f t="shared" ca="1" si="317"/>
        <v>43809.54427282518</v>
      </c>
      <c r="C6764">
        <f t="shared" ca="1" si="315"/>
        <v>0</v>
      </c>
      <c r="D6764">
        <f t="shared" ca="1" si="316"/>
        <v>3809.5442728251801</v>
      </c>
    </row>
    <row r="6765" spans="2:4" x14ac:dyDescent="0.25">
      <c r="B6765">
        <f t="shared" ca="1" si="317"/>
        <v>48815.026240117215</v>
      </c>
      <c r="C6765">
        <f t="shared" ca="1" si="315"/>
        <v>0</v>
      </c>
      <c r="D6765">
        <f t="shared" ca="1" si="316"/>
        <v>8815.0262401172149</v>
      </c>
    </row>
    <row r="6766" spans="2:4" x14ac:dyDescent="0.25">
      <c r="B6766">
        <f t="shared" ca="1" si="317"/>
        <v>37965.160954789731</v>
      </c>
      <c r="C6766">
        <f t="shared" ca="1" si="315"/>
        <v>2034.8390452102685</v>
      </c>
      <c r="D6766">
        <f t="shared" ca="1" si="316"/>
        <v>0</v>
      </c>
    </row>
    <row r="6767" spans="2:4" x14ac:dyDescent="0.25">
      <c r="B6767">
        <f t="shared" ca="1" si="317"/>
        <v>49409.87314463147</v>
      </c>
      <c r="C6767">
        <f t="shared" ca="1" si="315"/>
        <v>0</v>
      </c>
      <c r="D6767">
        <f t="shared" ca="1" si="316"/>
        <v>9409.8731446314705</v>
      </c>
    </row>
    <row r="6768" spans="2:4" x14ac:dyDescent="0.25">
      <c r="B6768">
        <f t="shared" ca="1" si="317"/>
        <v>45625.837874972334</v>
      </c>
      <c r="C6768">
        <f t="shared" ca="1" si="315"/>
        <v>0</v>
      </c>
      <c r="D6768">
        <f t="shared" ca="1" si="316"/>
        <v>5625.8378749723342</v>
      </c>
    </row>
    <row r="6769" spans="2:4" x14ac:dyDescent="0.25">
      <c r="B6769">
        <f t="shared" ca="1" si="317"/>
        <v>46178.134088754283</v>
      </c>
      <c r="C6769">
        <f t="shared" ca="1" si="315"/>
        <v>0</v>
      </c>
      <c r="D6769">
        <f t="shared" ca="1" si="316"/>
        <v>6178.1340887542829</v>
      </c>
    </row>
    <row r="6770" spans="2:4" x14ac:dyDescent="0.25">
      <c r="B6770">
        <f t="shared" ca="1" si="317"/>
        <v>44650.934640291081</v>
      </c>
      <c r="C6770">
        <f t="shared" ca="1" si="315"/>
        <v>0</v>
      </c>
      <c r="D6770">
        <f t="shared" ca="1" si="316"/>
        <v>4650.9346402910815</v>
      </c>
    </row>
    <row r="6771" spans="2:4" x14ac:dyDescent="0.25">
      <c r="B6771">
        <f t="shared" ca="1" si="317"/>
        <v>45130.255875523937</v>
      </c>
      <c r="C6771">
        <f t="shared" ca="1" si="315"/>
        <v>0</v>
      </c>
      <c r="D6771">
        <f t="shared" ca="1" si="316"/>
        <v>5130.255875523937</v>
      </c>
    </row>
    <row r="6772" spans="2:4" x14ac:dyDescent="0.25">
      <c r="B6772">
        <f t="shared" ca="1" si="317"/>
        <v>45960.516259764008</v>
      </c>
      <c r="C6772">
        <f t="shared" ca="1" si="315"/>
        <v>0</v>
      </c>
      <c r="D6772">
        <f t="shared" ca="1" si="316"/>
        <v>5960.5162597640083</v>
      </c>
    </row>
    <row r="6773" spans="2:4" x14ac:dyDescent="0.25">
      <c r="B6773">
        <f t="shared" ca="1" si="317"/>
        <v>44737.819751773153</v>
      </c>
      <c r="C6773">
        <f t="shared" ca="1" si="315"/>
        <v>0</v>
      </c>
      <c r="D6773">
        <f t="shared" ca="1" si="316"/>
        <v>4737.8197517731533</v>
      </c>
    </row>
    <row r="6774" spans="2:4" x14ac:dyDescent="0.25">
      <c r="B6774">
        <f t="shared" ca="1" si="317"/>
        <v>46594.061592673905</v>
      </c>
      <c r="C6774">
        <f t="shared" ca="1" si="315"/>
        <v>0</v>
      </c>
      <c r="D6774">
        <f t="shared" ca="1" si="316"/>
        <v>6594.0615926739047</v>
      </c>
    </row>
    <row r="6775" spans="2:4" x14ac:dyDescent="0.25">
      <c r="B6775">
        <f t="shared" ca="1" si="317"/>
        <v>50005.161313942437</v>
      </c>
      <c r="C6775">
        <f t="shared" ca="1" si="315"/>
        <v>0</v>
      </c>
      <c r="D6775">
        <f t="shared" ca="1" si="316"/>
        <v>10005.161313942437</v>
      </c>
    </row>
    <row r="6776" spans="2:4" x14ac:dyDescent="0.25">
      <c r="B6776">
        <f t="shared" ca="1" si="317"/>
        <v>40815.040013492384</v>
      </c>
      <c r="C6776">
        <f t="shared" ca="1" si="315"/>
        <v>0</v>
      </c>
      <c r="D6776">
        <f t="shared" ca="1" si="316"/>
        <v>815.04001349238388</v>
      </c>
    </row>
    <row r="6777" spans="2:4" x14ac:dyDescent="0.25">
      <c r="B6777">
        <f t="shared" ca="1" si="317"/>
        <v>46185.046068522883</v>
      </c>
      <c r="C6777">
        <f t="shared" ca="1" si="315"/>
        <v>0</v>
      </c>
      <c r="D6777">
        <f t="shared" ca="1" si="316"/>
        <v>6185.0460685228827</v>
      </c>
    </row>
    <row r="6778" spans="2:4" x14ac:dyDescent="0.25">
      <c r="B6778">
        <f t="shared" ca="1" si="317"/>
        <v>44443.097084369343</v>
      </c>
      <c r="C6778">
        <f t="shared" ca="1" si="315"/>
        <v>0</v>
      </c>
      <c r="D6778">
        <f t="shared" ca="1" si="316"/>
        <v>4443.0970843693431</v>
      </c>
    </row>
    <row r="6779" spans="2:4" x14ac:dyDescent="0.25">
      <c r="B6779">
        <f t="shared" ca="1" si="317"/>
        <v>39014.447062438398</v>
      </c>
      <c r="C6779">
        <f t="shared" ca="1" si="315"/>
        <v>985.55293756160245</v>
      </c>
      <c r="D6779">
        <f t="shared" ca="1" si="316"/>
        <v>0</v>
      </c>
    </row>
    <row r="6780" spans="2:4" x14ac:dyDescent="0.25">
      <c r="B6780">
        <f t="shared" ca="1" si="317"/>
        <v>48020.11236257822</v>
      </c>
      <c r="C6780">
        <f t="shared" ca="1" si="315"/>
        <v>0</v>
      </c>
      <c r="D6780">
        <f t="shared" ca="1" si="316"/>
        <v>8020.1123625782202</v>
      </c>
    </row>
    <row r="6781" spans="2:4" x14ac:dyDescent="0.25">
      <c r="B6781">
        <f t="shared" ca="1" si="317"/>
        <v>42254.418650932115</v>
      </c>
      <c r="C6781">
        <f t="shared" ca="1" si="315"/>
        <v>0</v>
      </c>
      <c r="D6781">
        <f t="shared" ca="1" si="316"/>
        <v>2254.4186509321153</v>
      </c>
    </row>
    <row r="6782" spans="2:4" x14ac:dyDescent="0.25">
      <c r="B6782">
        <f t="shared" ca="1" si="317"/>
        <v>51058.680722742931</v>
      </c>
      <c r="C6782">
        <f t="shared" ca="1" si="315"/>
        <v>0</v>
      </c>
      <c r="D6782">
        <f t="shared" ca="1" si="316"/>
        <v>11058.680722742931</v>
      </c>
    </row>
    <row r="6783" spans="2:4" x14ac:dyDescent="0.25">
      <c r="B6783">
        <f t="shared" ca="1" si="317"/>
        <v>45070.539758617531</v>
      </c>
      <c r="C6783">
        <f t="shared" ca="1" si="315"/>
        <v>0</v>
      </c>
      <c r="D6783">
        <f t="shared" ca="1" si="316"/>
        <v>5070.5397586175313</v>
      </c>
    </row>
    <row r="6784" spans="2:4" x14ac:dyDescent="0.25">
      <c r="B6784">
        <f t="shared" ca="1" si="317"/>
        <v>46959.581797648636</v>
      </c>
      <c r="C6784">
        <f t="shared" ca="1" si="315"/>
        <v>0</v>
      </c>
      <c r="D6784">
        <f t="shared" ca="1" si="316"/>
        <v>6959.581797648636</v>
      </c>
    </row>
    <row r="6785" spans="2:4" x14ac:dyDescent="0.25">
      <c r="B6785">
        <f t="shared" ca="1" si="317"/>
        <v>49415.540034593105</v>
      </c>
      <c r="C6785">
        <f t="shared" ca="1" si="315"/>
        <v>0</v>
      </c>
      <c r="D6785">
        <f t="shared" ca="1" si="316"/>
        <v>9415.5400345931048</v>
      </c>
    </row>
    <row r="6786" spans="2:4" x14ac:dyDescent="0.25">
      <c r="B6786">
        <f t="shared" ca="1" si="317"/>
        <v>41274.15618591597</v>
      </c>
      <c r="C6786">
        <f t="shared" ca="1" si="315"/>
        <v>0</v>
      </c>
      <c r="D6786">
        <f t="shared" ca="1" si="316"/>
        <v>1274.1561859159701</v>
      </c>
    </row>
    <row r="6787" spans="2:4" x14ac:dyDescent="0.25">
      <c r="B6787">
        <f t="shared" ca="1" si="317"/>
        <v>39195.972803384298</v>
      </c>
      <c r="C6787">
        <f t="shared" ca="1" si="315"/>
        <v>804.02719661570154</v>
      </c>
      <c r="D6787">
        <f t="shared" ca="1" si="316"/>
        <v>0</v>
      </c>
    </row>
    <row r="6788" spans="2:4" x14ac:dyDescent="0.25">
      <c r="B6788">
        <f t="shared" ca="1" si="317"/>
        <v>52530.620640554152</v>
      </c>
      <c r="C6788">
        <f t="shared" ca="1" si="315"/>
        <v>0</v>
      </c>
      <c r="D6788">
        <f t="shared" ca="1" si="316"/>
        <v>12530.620640554152</v>
      </c>
    </row>
    <row r="6789" spans="2:4" x14ac:dyDescent="0.25">
      <c r="B6789">
        <f t="shared" ca="1" si="317"/>
        <v>38684.993465127329</v>
      </c>
      <c r="C6789">
        <f t="shared" ca="1" si="315"/>
        <v>1315.0065348726712</v>
      </c>
      <c r="D6789">
        <f t="shared" ca="1" si="316"/>
        <v>0</v>
      </c>
    </row>
    <row r="6790" spans="2:4" x14ac:dyDescent="0.25">
      <c r="B6790">
        <f t="shared" ca="1" si="317"/>
        <v>41500.639161252082</v>
      </c>
      <c r="C6790">
        <f t="shared" ca="1" si="315"/>
        <v>0</v>
      </c>
      <c r="D6790">
        <f t="shared" ca="1" si="316"/>
        <v>1500.639161252082</v>
      </c>
    </row>
    <row r="6791" spans="2:4" x14ac:dyDescent="0.25">
      <c r="B6791">
        <f t="shared" ca="1" si="317"/>
        <v>43100.608007602212</v>
      </c>
      <c r="C6791">
        <f t="shared" ca="1" si="315"/>
        <v>0</v>
      </c>
      <c r="D6791">
        <f t="shared" ca="1" si="316"/>
        <v>3100.6080076022117</v>
      </c>
    </row>
    <row r="6792" spans="2:4" x14ac:dyDescent="0.25">
      <c r="B6792">
        <f t="shared" ca="1" si="317"/>
        <v>42265.924146764555</v>
      </c>
      <c r="C6792">
        <f t="shared" ca="1" si="315"/>
        <v>0</v>
      </c>
      <c r="D6792">
        <f t="shared" ca="1" si="316"/>
        <v>2265.9241467645552</v>
      </c>
    </row>
    <row r="6793" spans="2:4" x14ac:dyDescent="0.25">
      <c r="B6793">
        <f t="shared" ca="1" si="317"/>
        <v>54330.335489044104</v>
      </c>
      <c r="C6793">
        <f t="shared" ca="1" si="315"/>
        <v>0</v>
      </c>
      <c r="D6793">
        <f t="shared" ca="1" si="316"/>
        <v>14330.335489044104</v>
      </c>
    </row>
    <row r="6794" spans="2:4" x14ac:dyDescent="0.25">
      <c r="B6794">
        <f t="shared" ca="1" si="317"/>
        <v>44914.255734142673</v>
      </c>
      <c r="C6794">
        <f t="shared" ca="1" si="315"/>
        <v>0</v>
      </c>
      <c r="D6794">
        <f t="shared" ca="1" si="316"/>
        <v>4914.2557341426727</v>
      </c>
    </row>
    <row r="6795" spans="2:4" x14ac:dyDescent="0.25">
      <c r="B6795">
        <f t="shared" ca="1" si="317"/>
        <v>44958.89649060346</v>
      </c>
      <c r="C6795">
        <f t="shared" ca="1" si="315"/>
        <v>0</v>
      </c>
      <c r="D6795">
        <f t="shared" ca="1" si="316"/>
        <v>4958.8964906034598</v>
      </c>
    </row>
    <row r="6796" spans="2:4" x14ac:dyDescent="0.25">
      <c r="B6796">
        <f t="shared" ca="1" si="317"/>
        <v>45561.683667536963</v>
      </c>
      <c r="C6796">
        <f t="shared" ref="C6796:C6859" ca="1" si="318">IF(MAX($B$2-B6796)&lt;0,0,$B$2-B6796)</f>
        <v>0</v>
      </c>
      <c r="D6796">
        <f t="shared" ref="D6796:D6859" ca="1" si="319">IF(MAX(B6796-$B$2)&lt;0,0,B6796-$B$2)</f>
        <v>5561.6836675369632</v>
      </c>
    </row>
    <row r="6797" spans="2:4" x14ac:dyDescent="0.25">
      <c r="B6797">
        <f t="shared" ref="B6797:B6860" ca="1" si="320">$B$1*EXP((($B$4-($B$3^2)/2)*$B$5+$B$3*SQRT($B$5)*NORMSINV(RAND())))</f>
        <v>44262.981008800416</v>
      </c>
      <c r="C6797">
        <f t="shared" ca="1" si="318"/>
        <v>0</v>
      </c>
      <c r="D6797">
        <f t="shared" ca="1" si="319"/>
        <v>4262.981008800416</v>
      </c>
    </row>
    <row r="6798" spans="2:4" x14ac:dyDescent="0.25">
      <c r="B6798">
        <f t="shared" ca="1" si="320"/>
        <v>43294.764021802082</v>
      </c>
      <c r="C6798">
        <f t="shared" ca="1" si="318"/>
        <v>0</v>
      </c>
      <c r="D6798">
        <f t="shared" ca="1" si="319"/>
        <v>3294.7640218020824</v>
      </c>
    </row>
    <row r="6799" spans="2:4" x14ac:dyDescent="0.25">
      <c r="B6799">
        <f t="shared" ca="1" si="320"/>
        <v>48035.09873048868</v>
      </c>
      <c r="C6799">
        <f t="shared" ca="1" si="318"/>
        <v>0</v>
      </c>
      <c r="D6799">
        <f t="shared" ca="1" si="319"/>
        <v>8035.0987304886803</v>
      </c>
    </row>
    <row r="6800" spans="2:4" x14ac:dyDescent="0.25">
      <c r="B6800">
        <f t="shared" ca="1" si="320"/>
        <v>44503.098245903391</v>
      </c>
      <c r="C6800">
        <f t="shared" ca="1" si="318"/>
        <v>0</v>
      </c>
      <c r="D6800">
        <f t="shared" ca="1" si="319"/>
        <v>4503.0982459033912</v>
      </c>
    </row>
    <row r="6801" spans="2:4" x14ac:dyDescent="0.25">
      <c r="B6801">
        <f t="shared" ca="1" si="320"/>
        <v>44627.239095428216</v>
      </c>
      <c r="C6801">
        <f t="shared" ca="1" si="318"/>
        <v>0</v>
      </c>
      <c r="D6801">
        <f t="shared" ca="1" si="319"/>
        <v>4627.2390954282164</v>
      </c>
    </row>
    <row r="6802" spans="2:4" x14ac:dyDescent="0.25">
      <c r="B6802">
        <f t="shared" ca="1" si="320"/>
        <v>50342.443223829097</v>
      </c>
      <c r="C6802">
        <f t="shared" ca="1" si="318"/>
        <v>0</v>
      </c>
      <c r="D6802">
        <f t="shared" ca="1" si="319"/>
        <v>10342.443223829097</v>
      </c>
    </row>
    <row r="6803" spans="2:4" x14ac:dyDescent="0.25">
      <c r="B6803">
        <f t="shared" ca="1" si="320"/>
        <v>43113.458500653425</v>
      </c>
      <c r="C6803">
        <f t="shared" ca="1" si="318"/>
        <v>0</v>
      </c>
      <c r="D6803">
        <f t="shared" ca="1" si="319"/>
        <v>3113.4585006534253</v>
      </c>
    </row>
    <row r="6804" spans="2:4" x14ac:dyDescent="0.25">
      <c r="B6804">
        <f t="shared" ca="1" si="320"/>
        <v>47405.45101535751</v>
      </c>
      <c r="C6804">
        <f t="shared" ca="1" si="318"/>
        <v>0</v>
      </c>
      <c r="D6804">
        <f t="shared" ca="1" si="319"/>
        <v>7405.4510153575102</v>
      </c>
    </row>
    <row r="6805" spans="2:4" x14ac:dyDescent="0.25">
      <c r="B6805">
        <f t="shared" ca="1" si="320"/>
        <v>39901.809117453246</v>
      </c>
      <c r="C6805">
        <f t="shared" ca="1" si="318"/>
        <v>98.190882546754437</v>
      </c>
      <c r="D6805">
        <f t="shared" ca="1" si="319"/>
        <v>0</v>
      </c>
    </row>
    <row r="6806" spans="2:4" x14ac:dyDescent="0.25">
      <c r="B6806">
        <f t="shared" ca="1" si="320"/>
        <v>42739.193687781873</v>
      </c>
      <c r="C6806">
        <f t="shared" ca="1" si="318"/>
        <v>0</v>
      </c>
      <c r="D6806">
        <f t="shared" ca="1" si="319"/>
        <v>2739.1936877818735</v>
      </c>
    </row>
    <row r="6807" spans="2:4" x14ac:dyDescent="0.25">
      <c r="B6807">
        <f t="shared" ca="1" si="320"/>
        <v>41198.267530048659</v>
      </c>
      <c r="C6807">
        <f t="shared" ca="1" si="318"/>
        <v>0</v>
      </c>
      <c r="D6807">
        <f t="shared" ca="1" si="319"/>
        <v>1198.267530048659</v>
      </c>
    </row>
    <row r="6808" spans="2:4" x14ac:dyDescent="0.25">
      <c r="B6808">
        <f t="shared" ca="1" si="320"/>
        <v>48814.238235237404</v>
      </c>
      <c r="C6808">
        <f t="shared" ca="1" si="318"/>
        <v>0</v>
      </c>
      <c r="D6808">
        <f t="shared" ca="1" si="319"/>
        <v>8814.2382352374043</v>
      </c>
    </row>
    <row r="6809" spans="2:4" x14ac:dyDescent="0.25">
      <c r="B6809">
        <f t="shared" ca="1" si="320"/>
        <v>44772.028388113889</v>
      </c>
      <c r="C6809">
        <f t="shared" ca="1" si="318"/>
        <v>0</v>
      </c>
      <c r="D6809">
        <f t="shared" ca="1" si="319"/>
        <v>4772.0283881138894</v>
      </c>
    </row>
    <row r="6810" spans="2:4" x14ac:dyDescent="0.25">
      <c r="B6810">
        <f t="shared" ca="1" si="320"/>
        <v>35281.5752762091</v>
      </c>
      <c r="C6810">
        <f t="shared" ca="1" si="318"/>
        <v>4718.4247237909003</v>
      </c>
      <c r="D6810">
        <f t="shared" ca="1" si="319"/>
        <v>0</v>
      </c>
    </row>
    <row r="6811" spans="2:4" x14ac:dyDescent="0.25">
      <c r="B6811">
        <f t="shared" ca="1" si="320"/>
        <v>50170.316412955312</v>
      </c>
      <c r="C6811">
        <f t="shared" ca="1" si="318"/>
        <v>0</v>
      </c>
      <c r="D6811">
        <f t="shared" ca="1" si="319"/>
        <v>10170.316412955312</v>
      </c>
    </row>
    <row r="6812" spans="2:4" x14ac:dyDescent="0.25">
      <c r="B6812">
        <f t="shared" ca="1" si="320"/>
        <v>47362.831425576129</v>
      </c>
      <c r="C6812">
        <f t="shared" ca="1" si="318"/>
        <v>0</v>
      </c>
      <c r="D6812">
        <f t="shared" ca="1" si="319"/>
        <v>7362.8314255761288</v>
      </c>
    </row>
    <row r="6813" spans="2:4" x14ac:dyDescent="0.25">
      <c r="B6813">
        <f t="shared" ca="1" si="320"/>
        <v>49241.415805658915</v>
      </c>
      <c r="C6813">
        <f t="shared" ca="1" si="318"/>
        <v>0</v>
      </c>
      <c r="D6813">
        <f t="shared" ca="1" si="319"/>
        <v>9241.4158056589149</v>
      </c>
    </row>
    <row r="6814" spans="2:4" x14ac:dyDescent="0.25">
      <c r="B6814">
        <f t="shared" ca="1" si="320"/>
        <v>51593.095149489556</v>
      </c>
      <c r="C6814">
        <f t="shared" ca="1" si="318"/>
        <v>0</v>
      </c>
      <c r="D6814">
        <f t="shared" ca="1" si="319"/>
        <v>11593.095149489556</v>
      </c>
    </row>
    <row r="6815" spans="2:4" x14ac:dyDescent="0.25">
      <c r="B6815">
        <f t="shared" ca="1" si="320"/>
        <v>42666.62586999638</v>
      </c>
      <c r="C6815">
        <f t="shared" ca="1" si="318"/>
        <v>0</v>
      </c>
      <c r="D6815">
        <f t="shared" ca="1" si="319"/>
        <v>2666.6258699963801</v>
      </c>
    </row>
    <row r="6816" spans="2:4" x14ac:dyDescent="0.25">
      <c r="B6816">
        <f t="shared" ca="1" si="320"/>
        <v>44695.687378977105</v>
      </c>
      <c r="C6816">
        <f t="shared" ca="1" si="318"/>
        <v>0</v>
      </c>
      <c r="D6816">
        <f t="shared" ca="1" si="319"/>
        <v>4695.6873789771053</v>
      </c>
    </row>
    <row r="6817" spans="2:4" x14ac:dyDescent="0.25">
      <c r="B6817">
        <f t="shared" ca="1" si="320"/>
        <v>56562.085779802044</v>
      </c>
      <c r="C6817">
        <f t="shared" ca="1" si="318"/>
        <v>0</v>
      </c>
      <c r="D6817">
        <f t="shared" ca="1" si="319"/>
        <v>16562.085779802044</v>
      </c>
    </row>
    <row r="6818" spans="2:4" x14ac:dyDescent="0.25">
      <c r="B6818">
        <f t="shared" ca="1" si="320"/>
        <v>48271.247488345063</v>
      </c>
      <c r="C6818">
        <f t="shared" ca="1" si="318"/>
        <v>0</v>
      </c>
      <c r="D6818">
        <f t="shared" ca="1" si="319"/>
        <v>8271.2474883450632</v>
      </c>
    </row>
    <row r="6819" spans="2:4" x14ac:dyDescent="0.25">
      <c r="B6819">
        <f t="shared" ca="1" si="320"/>
        <v>46045.467998828164</v>
      </c>
      <c r="C6819">
        <f t="shared" ca="1" si="318"/>
        <v>0</v>
      </c>
      <c r="D6819">
        <f t="shared" ca="1" si="319"/>
        <v>6045.4679988281641</v>
      </c>
    </row>
    <row r="6820" spans="2:4" x14ac:dyDescent="0.25">
      <c r="B6820">
        <f t="shared" ca="1" si="320"/>
        <v>37271.558278430894</v>
      </c>
      <c r="C6820">
        <f t="shared" ca="1" si="318"/>
        <v>2728.4417215691064</v>
      </c>
      <c r="D6820">
        <f t="shared" ca="1" si="319"/>
        <v>0</v>
      </c>
    </row>
    <row r="6821" spans="2:4" x14ac:dyDescent="0.25">
      <c r="B6821">
        <f t="shared" ca="1" si="320"/>
        <v>42578.487001119393</v>
      </c>
      <c r="C6821">
        <f t="shared" ca="1" si="318"/>
        <v>0</v>
      </c>
      <c r="D6821">
        <f t="shared" ca="1" si="319"/>
        <v>2578.4870011193925</v>
      </c>
    </row>
    <row r="6822" spans="2:4" x14ac:dyDescent="0.25">
      <c r="B6822">
        <f t="shared" ca="1" si="320"/>
        <v>35320.373632685754</v>
      </c>
      <c r="C6822">
        <f t="shared" ca="1" si="318"/>
        <v>4679.6263673142457</v>
      </c>
      <c r="D6822">
        <f t="shared" ca="1" si="319"/>
        <v>0</v>
      </c>
    </row>
    <row r="6823" spans="2:4" x14ac:dyDescent="0.25">
      <c r="B6823">
        <f t="shared" ca="1" si="320"/>
        <v>45713.370270284227</v>
      </c>
      <c r="C6823">
        <f t="shared" ca="1" si="318"/>
        <v>0</v>
      </c>
      <c r="D6823">
        <f t="shared" ca="1" si="319"/>
        <v>5713.3702702842274</v>
      </c>
    </row>
    <row r="6824" spans="2:4" x14ac:dyDescent="0.25">
      <c r="B6824">
        <f t="shared" ca="1" si="320"/>
        <v>49017.604223961018</v>
      </c>
      <c r="C6824">
        <f t="shared" ca="1" si="318"/>
        <v>0</v>
      </c>
      <c r="D6824">
        <f t="shared" ca="1" si="319"/>
        <v>9017.6042239610179</v>
      </c>
    </row>
    <row r="6825" spans="2:4" x14ac:dyDescent="0.25">
      <c r="B6825">
        <f t="shared" ca="1" si="320"/>
        <v>49437.547463380302</v>
      </c>
      <c r="C6825">
        <f t="shared" ca="1" si="318"/>
        <v>0</v>
      </c>
      <c r="D6825">
        <f t="shared" ca="1" si="319"/>
        <v>9437.5474633803024</v>
      </c>
    </row>
    <row r="6826" spans="2:4" x14ac:dyDescent="0.25">
      <c r="B6826">
        <f t="shared" ca="1" si="320"/>
        <v>45943.958374159178</v>
      </c>
      <c r="C6826">
        <f t="shared" ca="1" si="318"/>
        <v>0</v>
      </c>
      <c r="D6826">
        <f t="shared" ca="1" si="319"/>
        <v>5943.9583741591778</v>
      </c>
    </row>
    <row r="6827" spans="2:4" x14ac:dyDescent="0.25">
      <c r="B6827">
        <f t="shared" ca="1" si="320"/>
        <v>37877.166927753082</v>
      </c>
      <c r="C6827">
        <f t="shared" ca="1" si="318"/>
        <v>2122.8330722469182</v>
      </c>
      <c r="D6827">
        <f t="shared" ca="1" si="319"/>
        <v>0</v>
      </c>
    </row>
    <row r="6828" spans="2:4" x14ac:dyDescent="0.25">
      <c r="B6828">
        <f t="shared" ca="1" si="320"/>
        <v>43700.108592387769</v>
      </c>
      <c r="C6828">
        <f t="shared" ca="1" si="318"/>
        <v>0</v>
      </c>
      <c r="D6828">
        <f t="shared" ca="1" si="319"/>
        <v>3700.108592387769</v>
      </c>
    </row>
    <row r="6829" spans="2:4" x14ac:dyDescent="0.25">
      <c r="B6829">
        <f t="shared" ca="1" si="320"/>
        <v>45617.172882048217</v>
      </c>
      <c r="C6829">
        <f t="shared" ca="1" si="318"/>
        <v>0</v>
      </c>
      <c r="D6829">
        <f t="shared" ca="1" si="319"/>
        <v>5617.1728820482167</v>
      </c>
    </row>
    <row r="6830" spans="2:4" x14ac:dyDescent="0.25">
      <c r="B6830">
        <f t="shared" ca="1" si="320"/>
        <v>50517.425476540993</v>
      </c>
      <c r="C6830">
        <f t="shared" ca="1" si="318"/>
        <v>0</v>
      </c>
      <c r="D6830">
        <f t="shared" ca="1" si="319"/>
        <v>10517.425476540993</v>
      </c>
    </row>
    <row r="6831" spans="2:4" x14ac:dyDescent="0.25">
      <c r="B6831">
        <f t="shared" ca="1" si="320"/>
        <v>46249.149633916284</v>
      </c>
      <c r="C6831">
        <f t="shared" ca="1" si="318"/>
        <v>0</v>
      </c>
      <c r="D6831">
        <f t="shared" ca="1" si="319"/>
        <v>6249.1496339162841</v>
      </c>
    </row>
    <row r="6832" spans="2:4" x14ac:dyDescent="0.25">
      <c r="B6832">
        <f t="shared" ca="1" si="320"/>
        <v>38410.080832725442</v>
      </c>
      <c r="C6832">
        <f t="shared" ca="1" si="318"/>
        <v>1589.9191672745583</v>
      </c>
      <c r="D6832">
        <f t="shared" ca="1" si="319"/>
        <v>0</v>
      </c>
    </row>
    <row r="6833" spans="2:4" x14ac:dyDescent="0.25">
      <c r="B6833">
        <f t="shared" ca="1" si="320"/>
        <v>47608.473643108802</v>
      </c>
      <c r="C6833">
        <f t="shared" ca="1" si="318"/>
        <v>0</v>
      </c>
      <c r="D6833">
        <f t="shared" ca="1" si="319"/>
        <v>7608.4736431088022</v>
      </c>
    </row>
    <row r="6834" spans="2:4" x14ac:dyDescent="0.25">
      <c r="B6834">
        <f t="shared" ca="1" si="320"/>
        <v>52135.464397109594</v>
      </c>
      <c r="C6834">
        <f t="shared" ca="1" si="318"/>
        <v>0</v>
      </c>
      <c r="D6834">
        <f t="shared" ca="1" si="319"/>
        <v>12135.464397109594</v>
      </c>
    </row>
    <row r="6835" spans="2:4" x14ac:dyDescent="0.25">
      <c r="B6835">
        <f t="shared" ca="1" si="320"/>
        <v>42705.266537622032</v>
      </c>
      <c r="C6835">
        <f t="shared" ca="1" si="318"/>
        <v>0</v>
      </c>
      <c r="D6835">
        <f t="shared" ca="1" si="319"/>
        <v>2705.266537622032</v>
      </c>
    </row>
    <row r="6836" spans="2:4" x14ac:dyDescent="0.25">
      <c r="B6836">
        <f t="shared" ca="1" si="320"/>
        <v>52209.883645917434</v>
      </c>
      <c r="C6836">
        <f t="shared" ca="1" si="318"/>
        <v>0</v>
      </c>
      <c r="D6836">
        <f t="shared" ca="1" si="319"/>
        <v>12209.883645917434</v>
      </c>
    </row>
    <row r="6837" spans="2:4" x14ac:dyDescent="0.25">
      <c r="B6837">
        <f t="shared" ca="1" si="320"/>
        <v>42701.085398288356</v>
      </c>
      <c r="C6837">
        <f t="shared" ca="1" si="318"/>
        <v>0</v>
      </c>
      <c r="D6837">
        <f t="shared" ca="1" si="319"/>
        <v>2701.0853982883564</v>
      </c>
    </row>
    <row r="6838" spans="2:4" x14ac:dyDescent="0.25">
      <c r="B6838">
        <f t="shared" ca="1" si="320"/>
        <v>39760.180261815927</v>
      </c>
      <c r="C6838">
        <f t="shared" ca="1" si="318"/>
        <v>239.81973818407278</v>
      </c>
      <c r="D6838">
        <f t="shared" ca="1" si="319"/>
        <v>0</v>
      </c>
    </row>
    <row r="6839" spans="2:4" x14ac:dyDescent="0.25">
      <c r="B6839">
        <f t="shared" ca="1" si="320"/>
        <v>43721.795738991401</v>
      </c>
      <c r="C6839">
        <f t="shared" ca="1" si="318"/>
        <v>0</v>
      </c>
      <c r="D6839">
        <f t="shared" ca="1" si="319"/>
        <v>3721.7957389914009</v>
      </c>
    </row>
    <row r="6840" spans="2:4" x14ac:dyDescent="0.25">
      <c r="B6840">
        <f t="shared" ca="1" si="320"/>
        <v>47379.712513996063</v>
      </c>
      <c r="C6840">
        <f t="shared" ca="1" si="318"/>
        <v>0</v>
      </c>
      <c r="D6840">
        <f t="shared" ca="1" si="319"/>
        <v>7379.7125139960626</v>
      </c>
    </row>
    <row r="6841" spans="2:4" x14ac:dyDescent="0.25">
      <c r="B6841">
        <f t="shared" ca="1" si="320"/>
        <v>43594.4019031465</v>
      </c>
      <c r="C6841">
        <f t="shared" ca="1" si="318"/>
        <v>0</v>
      </c>
      <c r="D6841">
        <f t="shared" ca="1" si="319"/>
        <v>3594.4019031464995</v>
      </c>
    </row>
    <row r="6842" spans="2:4" x14ac:dyDescent="0.25">
      <c r="B6842">
        <f t="shared" ca="1" si="320"/>
        <v>42487.640900653969</v>
      </c>
      <c r="C6842">
        <f t="shared" ca="1" si="318"/>
        <v>0</v>
      </c>
      <c r="D6842">
        <f t="shared" ca="1" si="319"/>
        <v>2487.6409006539689</v>
      </c>
    </row>
    <row r="6843" spans="2:4" x14ac:dyDescent="0.25">
      <c r="B6843">
        <f t="shared" ca="1" si="320"/>
        <v>43598.15051739716</v>
      </c>
      <c r="C6843">
        <f t="shared" ca="1" si="318"/>
        <v>0</v>
      </c>
      <c r="D6843">
        <f t="shared" ca="1" si="319"/>
        <v>3598.15051739716</v>
      </c>
    </row>
    <row r="6844" spans="2:4" x14ac:dyDescent="0.25">
      <c r="B6844">
        <f t="shared" ca="1" si="320"/>
        <v>43142.328782741024</v>
      </c>
      <c r="C6844">
        <f t="shared" ca="1" si="318"/>
        <v>0</v>
      </c>
      <c r="D6844">
        <f t="shared" ca="1" si="319"/>
        <v>3142.328782741024</v>
      </c>
    </row>
    <row r="6845" spans="2:4" x14ac:dyDescent="0.25">
      <c r="B6845">
        <f t="shared" ca="1" si="320"/>
        <v>43238.405802704954</v>
      </c>
      <c r="C6845">
        <f t="shared" ca="1" si="318"/>
        <v>0</v>
      </c>
      <c r="D6845">
        <f t="shared" ca="1" si="319"/>
        <v>3238.4058027049541</v>
      </c>
    </row>
    <row r="6846" spans="2:4" x14ac:dyDescent="0.25">
      <c r="B6846">
        <f t="shared" ca="1" si="320"/>
        <v>37161.877045026624</v>
      </c>
      <c r="C6846">
        <f t="shared" ca="1" si="318"/>
        <v>2838.1229549733762</v>
      </c>
      <c r="D6846">
        <f t="shared" ca="1" si="319"/>
        <v>0</v>
      </c>
    </row>
    <row r="6847" spans="2:4" x14ac:dyDescent="0.25">
      <c r="B6847">
        <f t="shared" ca="1" si="320"/>
        <v>36392.373669608452</v>
      </c>
      <c r="C6847">
        <f t="shared" ca="1" si="318"/>
        <v>3607.6263303915475</v>
      </c>
      <c r="D6847">
        <f t="shared" ca="1" si="319"/>
        <v>0</v>
      </c>
    </row>
    <row r="6848" spans="2:4" x14ac:dyDescent="0.25">
      <c r="B6848">
        <f t="shared" ca="1" si="320"/>
        <v>39701.614774219743</v>
      </c>
      <c r="C6848">
        <f t="shared" ca="1" si="318"/>
        <v>298.38522578025731</v>
      </c>
      <c r="D6848">
        <f t="shared" ca="1" si="319"/>
        <v>0</v>
      </c>
    </row>
    <row r="6849" spans="2:4" x14ac:dyDescent="0.25">
      <c r="B6849">
        <f t="shared" ca="1" si="320"/>
        <v>47797.365655844937</v>
      </c>
      <c r="C6849">
        <f t="shared" ca="1" si="318"/>
        <v>0</v>
      </c>
      <c r="D6849">
        <f t="shared" ca="1" si="319"/>
        <v>7797.3656558449366</v>
      </c>
    </row>
    <row r="6850" spans="2:4" x14ac:dyDescent="0.25">
      <c r="B6850">
        <f t="shared" ca="1" si="320"/>
        <v>46076.013684180951</v>
      </c>
      <c r="C6850">
        <f t="shared" ca="1" si="318"/>
        <v>0</v>
      </c>
      <c r="D6850">
        <f t="shared" ca="1" si="319"/>
        <v>6076.0136841809508</v>
      </c>
    </row>
    <row r="6851" spans="2:4" x14ac:dyDescent="0.25">
      <c r="B6851">
        <f t="shared" ca="1" si="320"/>
        <v>44062.714382166057</v>
      </c>
      <c r="C6851">
        <f t="shared" ca="1" si="318"/>
        <v>0</v>
      </c>
      <c r="D6851">
        <f t="shared" ca="1" si="319"/>
        <v>4062.7143821660575</v>
      </c>
    </row>
    <row r="6852" spans="2:4" x14ac:dyDescent="0.25">
      <c r="B6852">
        <f t="shared" ca="1" si="320"/>
        <v>48620.267476760964</v>
      </c>
      <c r="C6852">
        <f t="shared" ca="1" si="318"/>
        <v>0</v>
      </c>
      <c r="D6852">
        <f t="shared" ca="1" si="319"/>
        <v>8620.2674767609642</v>
      </c>
    </row>
    <row r="6853" spans="2:4" x14ac:dyDescent="0.25">
      <c r="B6853">
        <f t="shared" ca="1" si="320"/>
        <v>45035.242331551352</v>
      </c>
      <c r="C6853">
        <f t="shared" ca="1" si="318"/>
        <v>0</v>
      </c>
      <c r="D6853">
        <f t="shared" ca="1" si="319"/>
        <v>5035.2423315513515</v>
      </c>
    </row>
    <row r="6854" spans="2:4" x14ac:dyDescent="0.25">
      <c r="B6854">
        <f t="shared" ca="1" si="320"/>
        <v>44926.032255560232</v>
      </c>
      <c r="C6854">
        <f t="shared" ca="1" si="318"/>
        <v>0</v>
      </c>
      <c r="D6854">
        <f t="shared" ca="1" si="319"/>
        <v>4926.0322555602324</v>
      </c>
    </row>
    <row r="6855" spans="2:4" x14ac:dyDescent="0.25">
      <c r="B6855">
        <f t="shared" ca="1" si="320"/>
        <v>52546.449036950711</v>
      </c>
      <c r="C6855">
        <f t="shared" ca="1" si="318"/>
        <v>0</v>
      </c>
      <c r="D6855">
        <f t="shared" ca="1" si="319"/>
        <v>12546.449036950711</v>
      </c>
    </row>
    <row r="6856" spans="2:4" x14ac:dyDescent="0.25">
      <c r="B6856">
        <f t="shared" ca="1" si="320"/>
        <v>53494.780277714846</v>
      </c>
      <c r="C6856">
        <f t="shared" ca="1" si="318"/>
        <v>0</v>
      </c>
      <c r="D6856">
        <f t="shared" ca="1" si="319"/>
        <v>13494.780277714846</v>
      </c>
    </row>
    <row r="6857" spans="2:4" x14ac:dyDescent="0.25">
      <c r="B6857">
        <f t="shared" ca="1" si="320"/>
        <v>42169.214696018556</v>
      </c>
      <c r="C6857">
        <f t="shared" ca="1" si="318"/>
        <v>0</v>
      </c>
      <c r="D6857">
        <f t="shared" ca="1" si="319"/>
        <v>2169.2146960185564</v>
      </c>
    </row>
    <row r="6858" spans="2:4" x14ac:dyDescent="0.25">
      <c r="B6858">
        <f t="shared" ca="1" si="320"/>
        <v>57858.846116248955</v>
      </c>
      <c r="C6858">
        <f t="shared" ca="1" si="318"/>
        <v>0</v>
      </c>
      <c r="D6858">
        <f t="shared" ca="1" si="319"/>
        <v>17858.846116248955</v>
      </c>
    </row>
    <row r="6859" spans="2:4" x14ac:dyDescent="0.25">
      <c r="B6859">
        <f t="shared" ca="1" si="320"/>
        <v>47033.086210021822</v>
      </c>
      <c r="C6859">
        <f t="shared" ca="1" si="318"/>
        <v>0</v>
      </c>
      <c r="D6859">
        <f t="shared" ca="1" si="319"/>
        <v>7033.0862100218219</v>
      </c>
    </row>
    <row r="6860" spans="2:4" x14ac:dyDescent="0.25">
      <c r="B6860">
        <f t="shared" ca="1" si="320"/>
        <v>45800.595693382013</v>
      </c>
      <c r="C6860">
        <f t="shared" ref="C6860:C6923" ca="1" si="321">IF(MAX($B$2-B6860)&lt;0,0,$B$2-B6860)</f>
        <v>0</v>
      </c>
      <c r="D6860">
        <f t="shared" ref="D6860:D6923" ca="1" si="322">IF(MAX(B6860-$B$2)&lt;0,0,B6860-$B$2)</f>
        <v>5800.5956933820125</v>
      </c>
    </row>
    <row r="6861" spans="2:4" x14ac:dyDescent="0.25">
      <c r="B6861">
        <f t="shared" ref="B6861:B6924" ca="1" si="323">$B$1*EXP((($B$4-($B$3^2)/2)*$B$5+$B$3*SQRT($B$5)*NORMSINV(RAND())))</f>
        <v>43468.073211779178</v>
      </c>
      <c r="C6861">
        <f t="shared" ca="1" si="321"/>
        <v>0</v>
      </c>
      <c r="D6861">
        <f t="shared" ca="1" si="322"/>
        <v>3468.0732117791777</v>
      </c>
    </row>
    <row r="6862" spans="2:4" x14ac:dyDescent="0.25">
      <c r="B6862">
        <f t="shared" ca="1" si="323"/>
        <v>41334.690200505342</v>
      </c>
      <c r="C6862">
        <f t="shared" ca="1" si="321"/>
        <v>0</v>
      </c>
      <c r="D6862">
        <f t="shared" ca="1" si="322"/>
        <v>1334.6902005053416</v>
      </c>
    </row>
    <row r="6863" spans="2:4" x14ac:dyDescent="0.25">
      <c r="B6863">
        <f t="shared" ca="1" si="323"/>
        <v>46558.232910792598</v>
      </c>
      <c r="C6863">
        <f t="shared" ca="1" si="321"/>
        <v>0</v>
      </c>
      <c r="D6863">
        <f t="shared" ca="1" si="322"/>
        <v>6558.232910792598</v>
      </c>
    </row>
    <row r="6864" spans="2:4" x14ac:dyDescent="0.25">
      <c r="B6864">
        <f t="shared" ca="1" si="323"/>
        <v>52125.818016328012</v>
      </c>
      <c r="C6864">
        <f t="shared" ca="1" si="321"/>
        <v>0</v>
      </c>
      <c r="D6864">
        <f t="shared" ca="1" si="322"/>
        <v>12125.818016328012</v>
      </c>
    </row>
    <row r="6865" spans="2:4" x14ac:dyDescent="0.25">
      <c r="B6865">
        <f t="shared" ca="1" si="323"/>
        <v>46003.953155885334</v>
      </c>
      <c r="C6865">
        <f t="shared" ca="1" si="321"/>
        <v>0</v>
      </c>
      <c r="D6865">
        <f t="shared" ca="1" si="322"/>
        <v>6003.9531558853341</v>
      </c>
    </row>
    <row r="6866" spans="2:4" x14ac:dyDescent="0.25">
      <c r="B6866">
        <f t="shared" ca="1" si="323"/>
        <v>41595.253633733242</v>
      </c>
      <c r="C6866">
        <f t="shared" ca="1" si="321"/>
        <v>0</v>
      </c>
      <c r="D6866">
        <f t="shared" ca="1" si="322"/>
        <v>1595.2536337332422</v>
      </c>
    </row>
    <row r="6867" spans="2:4" x14ac:dyDescent="0.25">
      <c r="B6867">
        <f t="shared" ca="1" si="323"/>
        <v>47992.103424519133</v>
      </c>
      <c r="C6867">
        <f t="shared" ca="1" si="321"/>
        <v>0</v>
      </c>
      <c r="D6867">
        <f t="shared" ca="1" si="322"/>
        <v>7992.1034245191331</v>
      </c>
    </row>
    <row r="6868" spans="2:4" x14ac:dyDescent="0.25">
      <c r="B6868">
        <f t="shared" ca="1" si="323"/>
        <v>41676.680604110101</v>
      </c>
      <c r="C6868">
        <f t="shared" ca="1" si="321"/>
        <v>0</v>
      </c>
      <c r="D6868">
        <f t="shared" ca="1" si="322"/>
        <v>1676.6806041101008</v>
      </c>
    </row>
    <row r="6869" spans="2:4" x14ac:dyDescent="0.25">
      <c r="B6869">
        <f t="shared" ca="1" si="323"/>
        <v>54906.368623884911</v>
      </c>
      <c r="C6869">
        <f t="shared" ca="1" si="321"/>
        <v>0</v>
      </c>
      <c r="D6869">
        <f t="shared" ca="1" si="322"/>
        <v>14906.368623884911</v>
      </c>
    </row>
    <row r="6870" spans="2:4" x14ac:dyDescent="0.25">
      <c r="B6870">
        <f t="shared" ca="1" si="323"/>
        <v>36620.139867862614</v>
      </c>
      <c r="C6870">
        <f t="shared" ca="1" si="321"/>
        <v>3379.8601321373862</v>
      </c>
      <c r="D6870">
        <f t="shared" ca="1" si="322"/>
        <v>0</v>
      </c>
    </row>
    <row r="6871" spans="2:4" x14ac:dyDescent="0.25">
      <c r="B6871">
        <f t="shared" ca="1" si="323"/>
        <v>42986.822690302368</v>
      </c>
      <c r="C6871">
        <f t="shared" ca="1" si="321"/>
        <v>0</v>
      </c>
      <c r="D6871">
        <f t="shared" ca="1" si="322"/>
        <v>2986.8226903023678</v>
      </c>
    </row>
    <row r="6872" spans="2:4" x14ac:dyDescent="0.25">
      <c r="B6872">
        <f t="shared" ca="1" si="323"/>
        <v>47499.620756517732</v>
      </c>
      <c r="C6872">
        <f t="shared" ca="1" si="321"/>
        <v>0</v>
      </c>
      <c r="D6872">
        <f t="shared" ca="1" si="322"/>
        <v>7499.6207565177319</v>
      </c>
    </row>
    <row r="6873" spans="2:4" x14ac:dyDescent="0.25">
      <c r="B6873">
        <f t="shared" ca="1" si="323"/>
        <v>40240.808737929226</v>
      </c>
      <c r="C6873">
        <f t="shared" ca="1" si="321"/>
        <v>0</v>
      </c>
      <c r="D6873">
        <f t="shared" ca="1" si="322"/>
        <v>240.80873792922648</v>
      </c>
    </row>
    <row r="6874" spans="2:4" x14ac:dyDescent="0.25">
      <c r="B6874">
        <f t="shared" ca="1" si="323"/>
        <v>55658.140554506492</v>
      </c>
      <c r="C6874">
        <f t="shared" ca="1" si="321"/>
        <v>0</v>
      </c>
      <c r="D6874">
        <f t="shared" ca="1" si="322"/>
        <v>15658.140554506492</v>
      </c>
    </row>
    <row r="6875" spans="2:4" x14ac:dyDescent="0.25">
      <c r="B6875">
        <f t="shared" ca="1" si="323"/>
        <v>49046.676521949463</v>
      </c>
      <c r="C6875">
        <f t="shared" ca="1" si="321"/>
        <v>0</v>
      </c>
      <c r="D6875">
        <f t="shared" ca="1" si="322"/>
        <v>9046.6765219494628</v>
      </c>
    </row>
    <row r="6876" spans="2:4" x14ac:dyDescent="0.25">
      <c r="B6876">
        <f t="shared" ca="1" si="323"/>
        <v>46955.230740310624</v>
      </c>
      <c r="C6876">
        <f t="shared" ca="1" si="321"/>
        <v>0</v>
      </c>
      <c r="D6876">
        <f t="shared" ca="1" si="322"/>
        <v>6955.2307403106242</v>
      </c>
    </row>
    <row r="6877" spans="2:4" x14ac:dyDescent="0.25">
      <c r="B6877">
        <f t="shared" ca="1" si="323"/>
        <v>45828.414146236653</v>
      </c>
      <c r="C6877">
        <f t="shared" ca="1" si="321"/>
        <v>0</v>
      </c>
      <c r="D6877">
        <f t="shared" ca="1" si="322"/>
        <v>5828.4141462366533</v>
      </c>
    </row>
    <row r="6878" spans="2:4" x14ac:dyDescent="0.25">
      <c r="B6878">
        <f t="shared" ca="1" si="323"/>
        <v>43353.55256693744</v>
      </c>
      <c r="C6878">
        <f t="shared" ca="1" si="321"/>
        <v>0</v>
      </c>
      <c r="D6878">
        <f t="shared" ca="1" si="322"/>
        <v>3353.5525669374401</v>
      </c>
    </row>
    <row r="6879" spans="2:4" x14ac:dyDescent="0.25">
      <c r="B6879">
        <f t="shared" ca="1" si="323"/>
        <v>50275.376887725819</v>
      </c>
      <c r="C6879">
        <f t="shared" ca="1" si="321"/>
        <v>0</v>
      </c>
      <c r="D6879">
        <f t="shared" ca="1" si="322"/>
        <v>10275.376887725819</v>
      </c>
    </row>
    <row r="6880" spans="2:4" x14ac:dyDescent="0.25">
      <c r="B6880">
        <f t="shared" ca="1" si="323"/>
        <v>45212.974651500015</v>
      </c>
      <c r="C6880">
        <f t="shared" ca="1" si="321"/>
        <v>0</v>
      </c>
      <c r="D6880">
        <f t="shared" ca="1" si="322"/>
        <v>5212.9746515000152</v>
      </c>
    </row>
    <row r="6881" spans="2:4" x14ac:dyDescent="0.25">
      <c r="B6881">
        <f t="shared" ca="1" si="323"/>
        <v>42129.670450115926</v>
      </c>
      <c r="C6881">
        <f t="shared" ca="1" si="321"/>
        <v>0</v>
      </c>
      <c r="D6881">
        <f t="shared" ca="1" si="322"/>
        <v>2129.6704501159256</v>
      </c>
    </row>
    <row r="6882" spans="2:4" x14ac:dyDescent="0.25">
      <c r="B6882">
        <f t="shared" ca="1" si="323"/>
        <v>42068.347691825271</v>
      </c>
      <c r="C6882">
        <f t="shared" ca="1" si="321"/>
        <v>0</v>
      </c>
      <c r="D6882">
        <f t="shared" ca="1" si="322"/>
        <v>2068.3476918252709</v>
      </c>
    </row>
    <row r="6883" spans="2:4" x14ac:dyDescent="0.25">
      <c r="B6883">
        <f t="shared" ca="1" si="323"/>
        <v>44208.800480853293</v>
      </c>
      <c r="C6883">
        <f t="shared" ca="1" si="321"/>
        <v>0</v>
      </c>
      <c r="D6883">
        <f t="shared" ca="1" si="322"/>
        <v>4208.8004808532933</v>
      </c>
    </row>
    <row r="6884" spans="2:4" x14ac:dyDescent="0.25">
      <c r="B6884">
        <f t="shared" ca="1" si="323"/>
        <v>37546.294492109038</v>
      </c>
      <c r="C6884">
        <f t="shared" ca="1" si="321"/>
        <v>2453.7055078909616</v>
      </c>
      <c r="D6884">
        <f t="shared" ca="1" si="322"/>
        <v>0</v>
      </c>
    </row>
    <row r="6885" spans="2:4" x14ac:dyDescent="0.25">
      <c r="B6885">
        <f t="shared" ca="1" si="323"/>
        <v>49278.015586299574</v>
      </c>
      <c r="C6885">
        <f t="shared" ca="1" si="321"/>
        <v>0</v>
      </c>
      <c r="D6885">
        <f t="shared" ca="1" si="322"/>
        <v>9278.0155862995744</v>
      </c>
    </row>
    <row r="6886" spans="2:4" x14ac:dyDescent="0.25">
      <c r="B6886">
        <f t="shared" ca="1" si="323"/>
        <v>35755.8974288803</v>
      </c>
      <c r="C6886">
        <f t="shared" ca="1" si="321"/>
        <v>4244.1025711196999</v>
      </c>
      <c r="D6886">
        <f t="shared" ca="1" si="322"/>
        <v>0</v>
      </c>
    </row>
    <row r="6887" spans="2:4" x14ac:dyDescent="0.25">
      <c r="B6887">
        <f t="shared" ca="1" si="323"/>
        <v>43601.287889124309</v>
      </c>
      <c r="C6887">
        <f t="shared" ca="1" si="321"/>
        <v>0</v>
      </c>
      <c r="D6887">
        <f t="shared" ca="1" si="322"/>
        <v>3601.287889124309</v>
      </c>
    </row>
    <row r="6888" spans="2:4" x14ac:dyDescent="0.25">
      <c r="B6888">
        <f t="shared" ca="1" si="323"/>
        <v>44333.398350335854</v>
      </c>
      <c r="C6888">
        <f t="shared" ca="1" si="321"/>
        <v>0</v>
      </c>
      <c r="D6888">
        <f t="shared" ca="1" si="322"/>
        <v>4333.398350335854</v>
      </c>
    </row>
    <row r="6889" spans="2:4" x14ac:dyDescent="0.25">
      <c r="B6889">
        <f t="shared" ca="1" si="323"/>
        <v>42908.476035690932</v>
      </c>
      <c r="C6889">
        <f t="shared" ca="1" si="321"/>
        <v>0</v>
      </c>
      <c r="D6889">
        <f t="shared" ca="1" si="322"/>
        <v>2908.4760356909319</v>
      </c>
    </row>
    <row r="6890" spans="2:4" x14ac:dyDescent="0.25">
      <c r="B6890">
        <f t="shared" ca="1" si="323"/>
        <v>37971.621887145746</v>
      </c>
      <c r="C6890">
        <f t="shared" ca="1" si="321"/>
        <v>2028.3781128542541</v>
      </c>
      <c r="D6890">
        <f t="shared" ca="1" si="322"/>
        <v>0</v>
      </c>
    </row>
    <row r="6891" spans="2:4" x14ac:dyDescent="0.25">
      <c r="B6891">
        <f t="shared" ca="1" si="323"/>
        <v>45774.97424073601</v>
      </c>
      <c r="C6891">
        <f t="shared" ca="1" si="321"/>
        <v>0</v>
      </c>
      <c r="D6891">
        <f t="shared" ca="1" si="322"/>
        <v>5774.97424073601</v>
      </c>
    </row>
    <row r="6892" spans="2:4" x14ac:dyDescent="0.25">
      <c r="B6892">
        <f t="shared" ca="1" si="323"/>
        <v>38428.332640077097</v>
      </c>
      <c r="C6892">
        <f t="shared" ca="1" si="321"/>
        <v>1571.6673599229034</v>
      </c>
      <c r="D6892">
        <f t="shared" ca="1" si="322"/>
        <v>0</v>
      </c>
    </row>
    <row r="6893" spans="2:4" x14ac:dyDescent="0.25">
      <c r="B6893">
        <f t="shared" ca="1" si="323"/>
        <v>41065.653127892809</v>
      </c>
      <c r="C6893">
        <f t="shared" ca="1" si="321"/>
        <v>0</v>
      </c>
      <c r="D6893">
        <f t="shared" ca="1" si="322"/>
        <v>1065.6531278928087</v>
      </c>
    </row>
    <row r="6894" spans="2:4" x14ac:dyDescent="0.25">
      <c r="B6894">
        <f t="shared" ca="1" si="323"/>
        <v>48114.85195200696</v>
      </c>
      <c r="C6894">
        <f t="shared" ca="1" si="321"/>
        <v>0</v>
      </c>
      <c r="D6894">
        <f t="shared" ca="1" si="322"/>
        <v>8114.8519520069603</v>
      </c>
    </row>
    <row r="6895" spans="2:4" x14ac:dyDescent="0.25">
      <c r="B6895">
        <f t="shared" ca="1" si="323"/>
        <v>41628.087622288527</v>
      </c>
      <c r="C6895">
        <f t="shared" ca="1" si="321"/>
        <v>0</v>
      </c>
      <c r="D6895">
        <f t="shared" ca="1" si="322"/>
        <v>1628.0876222885272</v>
      </c>
    </row>
    <row r="6896" spans="2:4" x14ac:dyDescent="0.25">
      <c r="B6896">
        <f t="shared" ca="1" si="323"/>
        <v>54065.733539315632</v>
      </c>
      <c r="C6896">
        <f t="shared" ca="1" si="321"/>
        <v>0</v>
      </c>
      <c r="D6896">
        <f t="shared" ca="1" si="322"/>
        <v>14065.733539315632</v>
      </c>
    </row>
    <row r="6897" spans="2:4" x14ac:dyDescent="0.25">
      <c r="B6897">
        <f t="shared" ca="1" si="323"/>
        <v>44636.445120505181</v>
      </c>
      <c r="C6897">
        <f t="shared" ca="1" si="321"/>
        <v>0</v>
      </c>
      <c r="D6897">
        <f t="shared" ca="1" si="322"/>
        <v>4636.445120505181</v>
      </c>
    </row>
    <row r="6898" spans="2:4" x14ac:dyDescent="0.25">
      <c r="B6898">
        <f t="shared" ca="1" si="323"/>
        <v>41031.113783375535</v>
      </c>
      <c r="C6898">
        <f t="shared" ca="1" si="321"/>
        <v>0</v>
      </c>
      <c r="D6898">
        <f t="shared" ca="1" si="322"/>
        <v>1031.1137833755347</v>
      </c>
    </row>
    <row r="6899" spans="2:4" x14ac:dyDescent="0.25">
      <c r="B6899">
        <f t="shared" ca="1" si="323"/>
        <v>41987.597638623993</v>
      </c>
      <c r="C6899">
        <f t="shared" ca="1" si="321"/>
        <v>0</v>
      </c>
      <c r="D6899">
        <f t="shared" ca="1" si="322"/>
        <v>1987.5976386239927</v>
      </c>
    </row>
    <row r="6900" spans="2:4" x14ac:dyDescent="0.25">
      <c r="B6900">
        <f t="shared" ca="1" si="323"/>
        <v>48281.680991103618</v>
      </c>
      <c r="C6900">
        <f t="shared" ca="1" si="321"/>
        <v>0</v>
      </c>
      <c r="D6900">
        <f t="shared" ca="1" si="322"/>
        <v>8281.680991103618</v>
      </c>
    </row>
    <row r="6901" spans="2:4" x14ac:dyDescent="0.25">
      <c r="B6901">
        <f t="shared" ca="1" si="323"/>
        <v>43735.972507139886</v>
      </c>
      <c r="C6901">
        <f t="shared" ca="1" si="321"/>
        <v>0</v>
      </c>
      <c r="D6901">
        <f t="shared" ca="1" si="322"/>
        <v>3735.9725071398861</v>
      </c>
    </row>
    <row r="6902" spans="2:4" x14ac:dyDescent="0.25">
      <c r="B6902">
        <f t="shared" ca="1" si="323"/>
        <v>37651.551672584174</v>
      </c>
      <c r="C6902">
        <f t="shared" ca="1" si="321"/>
        <v>2348.4483274158265</v>
      </c>
      <c r="D6902">
        <f t="shared" ca="1" si="322"/>
        <v>0</v>
      </c>
    </row>
    <row r="6903" spans="2:4" x14ac:dyDescent="0.25">
      <c r="B6903">
        <f t="shared" ca="1" si="323"/>
        <v>43345.886638602293</v>
      </c>
      <c r="C6903">
        <f t="shared" ca="1" si="321"/>
        <v>0</v>
      </c>
      <c r="D6903">
        <f t="shared" ca="1" si="322"/>
        <v>3345.8866386022928</v>
      </c>
    </row>
    <row r="6904" spans="2:4" x14ac:dyDescent="0.25">
      <c r="B6904">
        <f t="shared" ca="1" si="323"/>
        <v>45432.47532239354</v>
      </c>
      <c r="C6904">
        <f t="shared" ca="1" si="321"/>
        <v>0</v>
      </c>
      <c r="D6904">
        <f t="shared" ca="1" si="322"/>
        <v>5432.4753223935404</v>
      </c>
    </row>
    <row r="6905" spans="2:4" x14ac:dyDescent="0.25">
      <c r="B6905">
        <f t="shared" ca="1" si="323"/>
        <v>47721.079422048671</v>
      </c>
      <c r="C6905">
        <f t="shared" ca="1" si="321"/>
        <v>0</v>
      </c>
      <c r="D6905">
        <f t="shared" ca="1" si="322"/>
        <v>7721.0794220486714</v>
      </c>
    </row>
    <row r="6906" spans="2:4" x14ac:dyDescent="0.25">
      <c r="B6906">
        <f t="shared" ca="1" si="323"/>
        <v>48064.139282172437</v>
      </c>
      <c r="C6906">
        <f t="shared" ca="1" si="321"/>
        <v>0</v>
      </c>
      <c r="D6906">
        <f t="shared" ca="1" si="322"/>
        <v>8064.1392821724367</v>
      </c>
    </row>
    <row r="6907" spans="2:4" x14ac:dyDescent="0.25">
      <c r="B6907">
        <f t="shared" ca="1" si="323"/>
        <v>45065.482801566744</v>
      </c>
      <c r="C6907">
        <f t="shared" ca="1" si="321"/>
        <v>0</v>
      </c>
      <c r="D6907">
        <f t="shared" ca="1" si="322"/>
        <v>5065.4828015667445</v>
      </c>
    </row>
    <row r="6908" spans="2:4" x14ac:dyDescent="0.25">
      <c r="B6908">
        <f t="shared" ca="1" si="323"/>
        <v>41523.087824696959</v>
      </c>
      <c r="C6908">
        <f t="shared" ca="1" si="321"/>
        <v>0</v>
      </c>
      <c r="D6908">
        <f t="shared" ca="1" si="322"/>
        <v>1523.0878246969587</v>
      </c>
    </row>
    <row r="6909" spans="2:4" x14ac:dyDescent="0.25">
      <c r="B6909">
        <f t="shared" ca="1" si="323"/>
        <v>49773.371233499623</v>
      </c>
      <c r="C6909">
        <f t="shared" ca="1" si="321"/>
        <v>0</v>
      </c>
      <c r="D6909">
        <f t="shared" ca="1" si="322"/>
        <v>9773.3712334996235</v>
      </c>
    </row>
    <row r="6910" spans="2:4" x14ac:dyDescent="0.25">
      <c r="B6910">
        <f t="shared" ca="1" si="323"/>
        <v>52753.885060614077</v>
      </c>
      <c r="C6910">
        <f t="shared" ca="1" si="321"/>
        <v>0</v>
      </c>
      <c r="D6910">
        <f t="shared" ca="1" si="322"/>
        <v>12753.885060614077</v>
      </c>
    </row>
    <row r="6911" spans="2:4" x14ac:dyDescent="0.25">
      <c r="B6911">
        <f t="shared" ca="1" si="323"/>
        <v>52670.015320709943</v>
      </c>
      <c r="C6911">
        <f t="shared" ca="1" si="321"/>
        <v>0</v>
      </c>
      <c r="D6911">
        <f t="shared" ca="1" si="322"/>
        <v>12670.015320709943</v>
      </c>
    </row>
    <row r="6912" spans="2:4" x14ac:dyDescent="0.25">
      <c r="B6912">
        <f t="shared" ca="1" si="323"/>
        <v>42700.083303949737</v>
      </c>
      <c r="C6912">
        <f t="shared" ca="1" si="321"/>
        <v>0</v>
      </c>
      <c r="D6912">
        <f t="shared" ca="1" si="322"/>
        <v>2700.0833039497375</v>
      </c>
    </row>
    <row r="6913" spans="2:4" x14ac:dyDescent="0.25">
      <c r="B6913">
        <f t="shared" ca="1" si="323"/>
        <v>41360.918466302246</v>
      </c>
      <c r="C6913">
        <f t="shared" ca="1" si="321"/>
        <v>0</v>
      </c>
      <c r="D6913">
        <f t="shared" ca="1" si="322"/>
        <v>1360.9184663022461</v>
      </c>
    </row>
    <row r="6914" spans="2:4" x14ac:dyDescent="0.25">
      <c r="B6914">
        <f t="shared" ca="1" si="323"/>
        <v>40188.991233256136</v>
      </c>
      <c r="C6914">
        <f t="shared" ca="1" si="321"/>
        <v>0</v>
      </c>
      <c r="D6914">
        <f t="shared" ca="1" si="322"/>
        <v>188.99123325613618</v>
      </c>
    </row>
    <row r="6915" spans="2:4" x14ac:dyDescent="0.25">
      <c r="B6915">
        <f t="shared" ca="1" si="323"/>
        <v>44548.441894123658</v>
      </c>
      <c r="C6915">
        <f t="shared" ca="1" si="321"/>
        <v>0</v>
      </c>
      <c r="D6915">
        <f t="shared" ca="1" si="322"/>
        <v>4548.4418941236581</v>
      </c>
    </row>
    <row r="6916" spans="2:4" x14ac:dyDescent="0.25">
      <c r="B6916">
        <f t="shared" ca="1" si="323"/>
        <v>43272.482578749572</v>
      </c>
      <c r="C6916">
        <f t="shared" ca="1" si="321"/>
        <v>0</v>
      </c>
      <c r="D6916">
        <f t="shared" ca="1" si="322"/>
        <v>3272.482578749572</v>
      </c>
    </row>
    <row r="6917" spans="2:4" x14ac:dyDescent="0.25">
      <c r="B6917">
        <f t="shared" ca="1" si="323"/>
        <v>51685.906833011599</v>
      </c>
      <c r="C6917">
        <f t="shared" ca="1" si="321"/>
        <v>0</v>
      </c>
      <c r="D6917">
        <f t="shared" ca="1" si="322"/>
        <v>11685.906833011599</v>
      </c>
    </row>
    <row r="6918" spans="2:4" x14ac:dyDescent="0.25">
      <c r="B6918">
        <f t="shared" ca="1" si="323"/>
        <v>41930.933351191175</v>
      </c>
      <c r="C6918">
        <f t="shared" ca="1" si="321"/>
        <v>0</v>
      </c>
      <c r="D6918">
        <f t="shared" ca="1" si="322"/>
        <v>1930.9333511911755</v>
      </c>
    </row>
    <row r="6919" spans="2:4" x14ac:dyDescent="0.25">
      <c r="B6919">
        <f t="shared" ca="1" si="323"/>
        <v>35437.970828015641</v>
      </c>
      <c r="C6919">
        <f t="shared" ca="1" si="321"/>
        <v>4562.029171984359</v>
      </c>
      <c r="D6919">
        <f t="shared" ca="1" si="322"/>
        <v>0</v>
      </c>
    </row>
    <row r="6920" spans="2:4" x14ac:dyDescent="0.25">
      <c r="B6920">
        <f t="shared" ca="1" si="323"/>
        <v>38338.377371420291</v>
      </c>
      <c r="C6920">
        <f t="shared" ca="1" si="321"/>
        <v>1661.6226285797093</v>
      </c>
      <c r="D6920">
        <f t="shared" ca="1" si="322"/>
        <v>0</v>
      </c>
    </row>
    <row r="6921" spans="2:4" x14ac:dyDescent="0.25">
      <c r="B6921">
        <f t="shared" ca="1" si="323"/>
        <v>55088.273416868098</v>
      </c>
      <c r="C6921">
        <f t="shared" ca="1" si="321"/>
        <v>0</v>
      </c>
      <c r="D6921">
        <f t="shared" ca="1" si="322"/>
        <v>15088.273416868098</v>
      </c>
    </row>
    <row r="6922" spans="2:4" x14ac:dyDescent="0.25">
      <c r="B6922">
        <f t="shared" ca="1" si="323"/>
        <v>43021.342085930264</v>
      </c>
      <c r="C6922">
        <f t="shared" ca="1" si="321"/>
        <v>0</v>
      </c>
      <c r="D6922">
        <f t="shared" ca="1" si="322"/>
        <v>3021.3420859302641</v>
      </c>
    </row>
    <row r="6923" spans="2:4" x14ac:dyDescent="0.25">
      <c r="B6923">
        <f t="shared" ca="1" si="323"/>
        <v>50438.198339215822</v>
      </c>
      <c r="C6923">
        <f t="shared" ca="1" si="321"/>
        <v>0</v>
      </c>
      <c r="D6923">
        <f t="shared" ca="1" si="322"/>
        <v>10438.198339215822</v>
      </c>
    </row>
    <row r="6924" spans="2:4" x14ac:dyDescent="0.25">
      <c r="B6924">
        <f t="shared" ca="1" si="323"/>
        <v>43207.419500796204</v>
      </c>
      <c r="C6924">
        <f t="shared" ref="C6924:C6987" ca="1" si="324">IF(MAX($B$2-B6924)&lt;0,0,$B$2-B6924)</f>
        <v>0</v>
      </c>
      <c r="D6924">
        <f t="shared" ref="D6924:D6987" ca="1" si="325">IF(MAX(B6924-$B$2)&lt;0,0,B6924-$B$2)</f>
        <v>3207.4195007962044</v>
      </c>
    </row>
    <row r="6925" spans="2:4" x14ac:dyDescent="0.25">
      <c r="B6925">
        <f t="shared" ref="B6925:B6988" ca="1" si="326">$B$1*EXP((($B$4-($B$3^2)/2)*$B$5+$B$3*SQRT($B$5)*NORMSINV(RAND())))</f>
        <v>47480.373144023622</v>
      </c>
      <c r="C6925">
        <f t="shared" ca="1" si="324"/>
        <v>0</v>
      </c>
      <c r="D6925">
        <f t="shared" ca="1" si="325"/>
        <v>7480.3731440236224</v>
      </c>
    </row>
    <row r="6926" spans="2:4" x14ac:dyDescent="0.25">
      <c r="B6926">
        <f t="shared" ca="1" si="326"/>
        <v>43853.283716173799</v>
      </c>
      <c r="C6926">
        <f t="shared" ca="1" si="324"/>
        <v>0</v>
      </c>
      <c r="D6926">
        <f t="shared" ca="1" si="325"/>
        <v>3853.2837161737989</v>
      </c>
    </row>
    <row r="6927" spans="2:4" x14ac:dyDescent="0.25">
      <c r="B6927">
        <f t="shared" ca="1" si="326"/>
        <v>48261.227682247969</v>
      </c>
      <c r="C6927">
        <f t="shared" ca="1" si="324"/>
        <v>0</v>
      </c>
      <c r="D6927">
        <f t="shared" ca="1" si="325"/>
        <v>8261.2276822479689</v>
      </c>
    </row>
    <row r="6928" spans="2:4" x14ac:dyDescent="0.25">
      <c r="B6928">
        <f t="shared" ca="1" si="326"/>
        <v>49102.069350075297</v>
      </c>
      <c r="C6928">
        <f t="shared" ca="1" si="324"/>
        <v>0</v>
      </c>
      <c r="D6928">
        <f t="shared" ca="1" si="325"/>
        <v>9102.0693500752968</v>
      </c>
    </row>
    <row r="6929" spans="2:4" x14ac:dyDescent="0.25">
      <c r="B6929">
        <f t="shared" ca="1" si="326"/>
        <v>49149.49216275815</v>
      </c>
      <c r="C6929">
        <f t="shared" ca="1" si="324"/>
        <v>0</v>
      </c>
      <c r="D6929">
        <f t="shared" ca="1" si="325"/>
        <v>9149.4921627581498</v>
      </c>
    </row>
    <row r="6930" spans="2:4" x14ac:dyDescent="0.25">
      <c r="B6930">
        <f t="shared" ca="1" si="326"/>
        <v>44090.488574390845</v>
      </c>
      <c r="C6930">
        <f t="shared" ca="1" si="324"/>
        <v>0</v>
      </c>
      <c r="D6930">
        <f t="shared" ca="1" si="325"/>
        <v>4090.4885743908453</v>
      </c>
    </row>
    <row r="6931" spans="2:4" x14ac:dyDescent="0.25">
      <c r="B6931">
        <f t="shared" ca="1" si="326"/>
        <v>42705.142407425112</v>
      </c>
      <c r="C6931">
        <f t="shared" ca="1" si="324"/>
        <v>0</v>
      </c>
      <c r="D6931">
        <f t="shared" ca="1" si="325"/>
        <v>2705.1424074251117</v>
      </c>
    </row>
    <row r="6932" spans="2:4" x14ac:dyDescent="0.25">
      <c r="B6932">
        <f t="shared" ca="1" si="326"/>
        <v>42288.014652070844</v>
      </c>
      <c r="C6932">
        <f t="shared" ca="1" si="324"/>
        <v>0</v>
      </c>
      <c r="D6932">
        <f t="shared" ca="1" si="325"/>
        <v>2288.014652070844</v>
      </c>
    </row>
    <row r="6933" spans="2:4" x14ac:dyDescent="0.25">
      <c r="B6933">
        <f t="shared" ca="1" si="326"/>
        <v>40220.964203362419</v>
      </c>
      <c r="C6933">
        <f t="shared" ca="1" si="324"/>
        <v>0</v>
      </c>
      <c r="D6933">
        <f t="shared" ca="1" si="325"/>
        <v>220.96420336241863</v>
      </c>
    </row>
    <row r="6934" spans="2:4" x14ac:dyDescent="0.25">
      <c r="B6934">
        <f t="shared" ca="1" si="326"/>
        <v>46092.862178567411</v>
      </c>
      <c r="C6934">
        <f t="shared" ca="1" si="324"/>
        <v>0</v>
      </c>
      <c r="D6934">
        <f t="shared" ca="1" si="325"/>
        <v>6092.8621785674113</v>
      </c>
    </row>
    <row r="6935" spans="2:4" x14ac:dyDescent="0.25">
      <c r="B6935">
        <f t="shared" ca="1" si="326"/>
        <v>45338.743436399418</v>
      </c>
      <c r="C6935">
        <f t="shared" ca="1" si="324"/>
        <v>0</v>
      </c>
      <c r="D6935">
        <f t="shared" ca="1" si="325"/>
        <v>5338.743436399418</v>
      </c>
    </row>
    <row r="6936" spans="2:4" x14ac:dyDescent="0.25">
      <c r="B6936">
        <f t="shared" ca="1" si="326"/>
        <v>42192.977778335458</v>
      </c>
      <c r="C6936">
        <f t="shared" ca="1" si="324"/>
        <v>0</v>
      </c>
      <c r="D6936">
        <f t="shared" ca="1" si="325"/>
        <v>2192.9777783354584</v>
      </c>
    </row>
    <row r="6937" spans="2:4" x14ac:dyDescent="0.25">
      <c r="B6937">
        <f t="shared" ca="1" si="326"/>
        <v>37390.065019662761</v>
      </c>
      <c r="C6937">
        <f t="shared" ca="1" si="324"/>
        <v>2609.9349803372388</v>
      </c>
      <c r="D6937">
        <f t="shared" ca="1" si="325"/>
        <v>0</v>
      </c>
    </row>
    <row r="6938" spans="2:4" x14ac:dyDescent="0.25">
      <c r="B6938">
        <f t="shared" ca="1" si="326"/>
        <v>47005.654696505706</v>
      </c>
      <c r="C6938">
        <f t="shared" ca="1" si="324"/>
        <v>0</v>
      </c>
      <c r="D6938">
        <f t="shared" ca="1" si="325"/>
        <v>7005.6546965057059</v>
      </c>
    </row>
    <row r="6939" spans="2:4" x14ac:dyDescent="0.25">
      <c r="B6939">
        <f t="shared" ca="1" si="326"/>
        <v>39864.383342859655</v>
      </c>
      <c r="C6939">
        <f t="shared" ca="1" si="324"/>
        <v>135.61665714034461</v>
      </c>
      <c r="D6939">
        <f t="shared" ca="1" si="325"/>
        <v>0</v>
      </c>
    </row>
    <row r="6940" spans="2:4" x14ac:dyDescent="0.25">
      <c r="B6940">
        <f t="shared" ca="1" si="326"/>
        <v>47581.609164519854</v>
      </c>
      <c r="C6940">
        <f t="shared" ca="1" si="324"/>
        <v>0</v>
      </c>
      <c r="D6940">
        <f t="shared" ca="1" si="325"/>
        <v>7581.6091645198539</v>
      </c>
    </row>
    <row r="6941" spans="2:4" x14ac:dyDescent="0.25">
      <c r="B6941">
        <f t="shared" ca="1" si="326"/>
        <v>45516.927263107551</v>
      </c>
      <c r="C6941">
        <f t="shared" ca="1" si="324"/>
        <v>0</v>
      </c>
      <c r="D6941">
        <f t="shared" ca="1" si="325"/>
        <v>5516.927263107551</v>
      </c>
    </row>
    <row r="6942" spans="2:4" x14ac:dyDescent="0.25">
      <c r="B6942">
        <f t="shared" ca="1" si="326"/>
        <v>39750.374343308693</v>
      </c>
      <c r="C6942">
        <f t="shared" ca="1" si="324"/>
        <v>249.62565669130709</v>
      </c>
      <c r="D6942">
        <f t="shared" ca="1" si="325"/>
        <v>0</v>
      </c>
    </row>
    <row r="6943" spans="2:4" x14ac:dyDescent="0.25">
      <c r="B6943">
        <f t="shared" ca="1" si="326"/>
        <v>45183.898957012039</v>
      </c>
      <c r="C6943">
        <f t="shared" ca="1" si="324"/>
        <v>0</v>
      </c>
      <c r="D6943">
        <f t="shared" ca="1" si="325"/>
        <v>5183.8989570120393</v>
      </c>
    </row>
    <row r="6944" spans="2:4" x14ac:dyDescent="0.25">
      <c r="B6944">
        <f t="shared" ca="1" si="326"/>
        <v>47264.620975666439</v>
      </c>
      <c r="C6944">
        <f t="shared" ca="1" si="324"/>
        <v>0</v>
      </c>
      <c r="D6944">
        <f t="shared" ca="1" si="325"/>
        <v>7264.6209756664393</v>
      </c>
    </row>
    <row r="6945" spans="2:4" x14ac:dyDescent="0.25">
      <c r="B6945">
        <f t="shared" ca="1" si="326"/>
        <v>49448.625857962528</v>
      </c>
      <c r="C6945">
        <f t="shared" ca="1" si="324"/>
        <v>0</v>
      </c>
      <c r="D6945">
        <f t="shared" ca="1" si="325"/>
        <v>9448.6258579625282</v>
      </c>
    </row>
    <row r="6946" spans="2:4" x14ac:dyDescent="0.25">
      <c r="B6946">
        <f t="shared" ca="1" si="326"/>
        <v>44471.061702517545</v>
      </c>
      <c r="C6946">
        <f t="shared" ca="1" si="324"/>
        <v>0</v>
      </c>
      <c r="D6946">
        <f t="shared" ca="1" si="325"/>
        <v>4471.0617025175452</v>
      </c>
    </row>
    <row r="6947" spans="2:4" x14ac:dyDescent="0.25">
      <c r="B6947">
        <f t="shared" ca="1" si="326"/>
        <v>46170.877456764596</v>
      </c>
      <c r="C6947">
        <f t="shared" ca="1" si="324"/>
        <v>0</v>
      </c>
      <c r="D6947">
        <f t="shared" ca="1" si="325"/>
        <v>6170.877456764596</v>
      </c>
    </row>
    <row r="6948" spans="2:4" x14ac:dyDescent="0.25">
      <c r="B6948">
        <f t="shared" ca="1" si="326"/>
        <v>39845.017927194502</v>
      </c>
      <c r="C6948">
        <f t="shared" ca="1" si="324"/>
        <v>154.98207280549832</v>
      </c>
      <c r="D6948">
        <f t="shared" ca="1" si="325"/>
        <v>0</v>
      </c>
    </row>
    <row r="6949" spans="2:4" x14ac:dyDescent="0.25">
      <c r="B6949">
        <f t="shared" ca="1" si="326"/>
        <v>51121.139625492775</v>
      </c>
      <c r="C6949">
        <f t="shared" ca="1" si="324"/>
        <v>0</v>
      </c>
      <c r="D6949">
        <f t="shared" ca="1" si="325"/>
        <v>11121.139625492775</v>
      </c>
    </row>
    <row r="6950" spans="2:4" x14ac:dyDescent="0.25">
      <c r="B6950">
        <f t="shared" ca="1" si="326"/>
        <v>56200.004613217003</v>
      </c>
      <c r="C6950">
        <f t="shared" ca="1" si="324"/>
        <v>0</v>
      </c>
      <c r="D6950">
        <f t="shared" ca="1" si="325"/>
        <v>16200.004613217003</v>
      </c>
    </row>
    <row r="6951" spans="2:4" x14ac:dyDescent="0.25">
      <c r="B6951">
        <f t="shared" ca="1" si="326"/>
        <v>45200.35777534364</v>
      </c>
      <c r="C6951">
        <f t="shared" ca="1" si="324"/>
        <v>0</v>
      </c>
      <c r="D6951">
        <f t="shared" ca="1" si="325"/>
        <v>5200.3577753436402</v>
      </c>
    </row>
    <row r="6952" spans="2:4" x14ac:dyDescent="0.25">
      <c r="B6952">
        <f t="shared" ca="1" si="326"/>
        <v>43631.791363067285</v>
      </c>
      <c r="C6952">
        <f t="shared" ca="1" si="324"/>
        <v>0</v>
      </c>
      <c r="D6952">
        <f t="shared" ca="1" si="325"/>
        <v>3631.7913630672847</v>
      </c>
    </row>
    <row r="6953" spans="2:4" x14ac:dyDescent="0.25">
      <c r="B6953">
        <f t="shared" ca="1" si="326"/>
        <v>39922.054897896509</v>
      </c>
      <c r="C6953">
        <f t="shared" ca="1" si="324"/>
        <v>77.945102103491081</v>
      </c>
      <c r="D6953">
        <f t="shared" ca="1" si="325"/>
        <v>0</v>
      </c>
    </row>
    <row r="6954" spans="2:4" x14ac:dyDescent="0.25">
      <c r="B6954">
        <f t="shared" ca="1" si="326"/>
        <v>45009.44146402301</v>
      </c>
      <c r="C6954">
        <f t="shared" ca="1" si="324"/>
        <v>0</v>
      </c>
      <c r="D6954">
        <f t="shared" ca="1" si="325"/>
        <v>5009.4414640230098</v>
      </c>
    </row>
    <row r="6955" spans="2:4" x14ac:dyDescent="0.25">
      <c r="B6955">
        <f t="shared" ca="1" si="326"/>
        <v>43405.552662074115</v>
      </c>
      <c r="C6955">
        <f t="shared" ca="1" si="324"/>
        <v>0</v>
      </c>
      <c r="D6955">
        <f t="shared" ca="1" si="325"/>
        <v>3405.5526620741148</v>
      </c>
    </row>
    <row r="6956" spans="2:4" x14ac:dyDescent="0.25">
      <c r="B6956">
        <f t="shared" ca="1" si="326"/>
        <v>48772.407543987938</v>
      </c>
      <c r="C6956">
        <f t="shared" ca="1" si="324"/>
        <v>0</v>
      </c>
      <c r="D6956">
        <f t="shared" ca="1" si="325"/>
        <v>8772.407543987938</v>
      </c>
    </row>
    <row r="6957" spans="2:4" x14ac:dyDescent="0.25">
      <c r="B6957">
        <f t="shared" ca="1" si="326"/>
        <v>48048.97327015971</v>
      </c>
      <c r="C6957">
        <f t="shared" ca="1" si="324"/>
        <v>0</v>
      </c>
      <c r="D6957">
        <f t="shared" ca="1" si="325"/>
        <v>8048.9732701597095</v>
      </c>
    </row>
    <row r="6958" spans="2:4" x14ac:dyDescent="0.25">
      <c r="B6958">
        <f t="shared" ca="1" si="326"/>
        <v>44793.657916792356</v>
      </c>
      <c r="C6958">
        <f t="shared" ca="1" si="324"/>
        <v>0</v>
      </c>
      <c r="D6958">
        <f t="shared" ca="1" si="325"/>
        <v>4793.6579167923555</v>
      </c>
    </row>
    <row r="6959" spans="2:4" x14ac:dyDescent="0.25">
      <c r="B6959">
        <f t="shared" ca="1" si="326"/>
        <v>52478.168176423584</v>
      </c>
      <c r="C6959">
        <f t="shared" ca="1" si="324"/>
        <v>0</v>
      </c>
      <c r="D6959">
        <f t="shared" ca="1" si="325"/>
        <v>12478.168176423584</v>
      </c>
    </row>
    <row r="6960" spans="2:4" x14ac:dyDescent="0.25">
      <c r="B6960">
        <f t="shared" ca="1" si="326"/>
        <v>47905.328428906585</v>
      </c>
      <c r="C6960">
        <f t="shared" ca="1" si="324"/>
        <v>0</v>
      </c>
      <c r="D6960">
        <f t="shared" ca="1" si="325"/>
        <v>7905.328428906585</v>
      </c>
    </row>
    <row r="6961" spans="2:4" x14ac:dyDescent="0.25">
      <c r="B6961">
        <f t="shared" ca="1" si="326"/>
        <v>43839.598295831376</v>
      </c>
      <c r="C6961">
        <f t="shared" ca="1" si="324"/>
        <v>0</v>
      </c>
      <c r="D6961">
        <f t="shared" ca="1" si="325"/>
        <v>3839.5982958313762</v>
      </c>
    </row>
    <row r="6962" spans="2:4" x14ac:dyDescent="0.25">
      <c r="B6962">
        <f t="shared" ca="1" si="326"/>
        <v>40988.636063194463</v>
      </c>
      <c r="C6962">
        <f t="shared" ca="1" si="324"/>
        <v>0</v>
      </c>
      <c r="D6962">
        <f t="shared" ca="1" si="325"/>
        <v>988.63606319446262</v>
      </c>
    </row>
    <row r="6963" spans="2:4" x14ac:dyDescent="0.25">
      <c r="B6963">
        <f t="shared" ca="1" si="326"/>
        <v>45377.742294806041</v>
      </c>
      <c r="C6963">
        <f t="shared" ca="1" si="324"/>
        <v>0</v>
      </c>
      <c r="D6963">
        <f t="shared" ca="1" si="325"/>
        <v>5377.7422948060412</v>
      </c>
    </row>
    <row r="6964" spans="2:4" x14ac:dyDescent="0.25">
      <c r="B6964">
        <f t="shared" ca="1" si="326"/>
        <v>42748.318829118107</v>
      </c>
      <c r="C6964">
        <f t="shared" ca="1" si="324"/>
        <v>0</v>
      </c>
      <c r="D6964">
        <f t="shared" ca="1" si="325"/>
        <v>2748.3188291181068</v>
      </c>
    </row>
    <row r="6965" spans="2:4" x14ac:dyDescent="0.25">
      <c r="B6965">
        <f t="shared" ca="1" si="326"/>
        <v>37667.641056807406</v>
      </c>
      <c r="C6965">
        <f t="shared" ca="1" si="324"/>
        <v>2332.3589431925939</v>
      </c>
      <c r="D6965">
        <f t="shared" ca="1" si="325"/>
        <v>0</v>
      </c>
    </row>
    <row r="6966" spans="2:4" x14ac:dyDescent="0.25">
      <c r="B6966">
        <f t="shared" ca="1" si="326"/>
        <v>47616.80671700868</v>
      </c>
      <c r="C6966">
        <f t="shared" ca="1" si="324"/>
        <v>0</v>
      </c>
      <c r="D6966">
        <f t="shared" ca="1" si="325"/>
        <v>7616.8067170086797</v>
      </c>
    </row>
    <row r="6967" spans="2:4" x14ac:dyDescent="0.25">
      <c r="B6967">
        <f t="shared" ca="1" si="326"/>
        <v>45968.227923022212</v>
      </c>
      <c r="C6967">
        <f t="shared" ca="1" si="324"/>
        <v>0</v>
      </c>
      <c r="D6967">
        <f t="shared" ca="1" si="325"/>
        <v>5968.2279230222121</v>
      </c>
    </row>
    <row r="6968" spans="2:4" x14ac:dyDescent="0.25">
      <c r="B6968">
        <f t="shared" ca="1" si="326"/>
        <v>45861.782876938865</v>
      </c>
      <c r="C6968">
        <f t="shared" ca="1" si="324"/>
        <v>0</v>
      </c>
      <c r="D6968">
        <f t="shared" ca="1" si="325"/>
        <v>5861.7828769388652</v>
      </c>
    </row>
    <row r="6969" spans="2:4" x14ac:dyDescent="0.25">
      <c r="B6969">
        <f t="shared" ca="1" si="326"/>
        <v>41233.646075997138</v>
      </c>
      <c r="C6969">
        <f t="shared" ca="1" si="324"/>
        <v>0</v>
      </c>
      <c r="D6969">
        <f t="shared" ca="1" si="325"/>
        <v>1233.6460759971378</v>
      </c>
    </row>
    <row r="6970" spans="2:4" x14ac:dyDescent="0.25">
      <c r="B6970">
        <f t="shared" ca="1" si="326"/>
        <v>45566.015548760632</v>
      </c>
      <c r="C6970">
        <f t="shared" ca="1" si="324"/>
        <v>0</v>
      </c>
      <c r="D6970">
        <f t="shared" ca="1" si="325"/>
        <v>5566.0155487606316</v>
      </c>
    </row>
    <row r="6971" spans="2:4" x14ac:dyDescent="0.25">
      <c r="B6971">
        <f t="shared" ca="1" si="326"/>
        <v>53406.194669226359</v>
      </c>
      <c r="C6971">
        <f t="shared" ca="1" si="324"/>
        <v>0</v>
      </c>
      <c r="D6971">
        <f t="shared" ca="1" si="325"/>
        <v>13406.194669226359</v>
      </c>
    </row>
    <row r="6972" spans="2:4" x14ac:dyDescent="0.25">
      <c r="B6972">
        <f t="shared" ca="1" si="326"/>
        <v>46319.06607473467</v>
      </c>
      <c r="C6972">
        <f t="shared" ca="1" si="324"/>
        <v>0</v>
      </c>
      <c r="D6972">
        <f t="shared" ca="1" si="325"/>
        <v>6319.0660747346701</v>
      </c>
    </row>
    <row r="6973" spans="2:4" x14ac:dyDescent="0.25">
      <c r="B6973">
        <f t="shared" ca="1" si="326"/>
        <v>45961.478439533807</v>
      </c>
      <c r="C6973">
        <f t="shared" ca="1" si="324"/>
        <v>0</v>
      </c>
      <c r="D6973">
        <f t="shared" ca="1" si="325"/>
        <v>5961.4784395338065</v>
      </c>
    </row>
    <row r="6974" spans="2:4" x14ac:dyDescent="0.25">
      <c r="B6974">
        <f t="shared" ca="1" si="326"/>
        <v>44441.863318961252</v>
      </c>
      <c r="C6974">
        <f t="shared" ca="1" si="324"/>
        <v>0</v>
      </c>
      <c r="D6974">
        <f t="shared" ca="1" si="325"/>
        <v>4441.8633189612519</v>
      </c>
    </row>
    <row r="6975" spans="2:4" x14ac:dyDescent="0.25">
      <c r="B6975">
        <f t="shared" ca="1" si="326"/>
        <v>40561.836774035561</v>
      </c>
      <c r="C6975">
        <f t="shared" ca="1" si="324"/>
        <v>0</v>
      </c>
      <c r="D6975">
        <f t="shared" ca="1" si="325"/>
        <v>561.83677403556067</v>
      </c>
    </row>
    <row r="6976" spans="2:4" x14ac:dyDescent="0.25">
      <c r="B6976">
        <f t="shared" ca="1" si="326"/>
        <v>47684.715252186623</v>
      </c>
      <c r="C6976">
        <f t="shared" ca="1" si="324"/>
        <v>0</v>
      </c>
      <c r="D6976">
        <f t="shared" ca="1" si="325"/>
        <v>7684.7152521866228</v>
      </c>
    </row>
    <row r="6977" spans="2:4" x14ac:dyDescent="0.25">
      <c r="B6977">
        <f t="shared" ca="1" si="326"/>
        <v>45878.274818832419</v>
      </c>
      <c r="C6977">
        <f t="shared" ca="1" si="324"/>
        <v>0</v>
      </c>
      <c r="D6977">
        <f t="shared" ca="1" si="325"/>
        <v>5878.2748188324185</v>
      </c>
    </row>
    <row r="6978" spans="2:4" x14ac:dyDescent="0.25">
      <c r="B6978">
        <f t="shared" ca="1" si="326"/>
        <v>38051.934003317416</v>
      </c>
      <c r="C6978">
        <f t="shared" ca="1" si="324"/>
        <v>1948.0659966825842</v>
      </c>
      <c r="D6978">
        <f t="shared" ca="1" si="325"/>
        <v>0</v>
      </c>
    </row>
    <row r="6979" spans="2:4" x14ac:dyDescent="0.25">
      <c r="B6979">
        <f t="shared" ca="1" si="326"/>
        <v>44846.900017973479</v>
      </c>
      <c r="C6979">
        <f t="shared" ca="1" si="324"/>
        <v>0</v>
      </c>
      <c r="D6979">
        <f t="shared" ca="1" si="325"/>
        <v>4846.9000179734794</v>
      </c>
    </row>
    <row r="6980" spans="2:4" x14ac:dyDescent="0.25">
      <c r="B6980">
        <f t="shared" ca="1" si="326"/>
        <v>47167.574771988344</v>
      </c>
      <c r="C6980">
        <f t="shared" ca="1" si="324"/>
        <v>0</v>
      </c>
      <c r="D6980">
        <f t="shared" ca="1" si="325"/>
        <v>7167.5747719883439</v>
      </c>
    </row>
    <row r="6981" spans="2:4" x14ac:dyDescent="0.25">
      <c r="B6981">
        <f t="shared" ca="1" si="326"/>
        <v>48040.659097092983</v>
      </c>
      <c r="C6981">
        <f t="shared" ca="1" si="324"/>
        <v>0</v>
      </c>
      <c r="D6981">
        <f t="shared" ca="1" si="325"/>
        <v>8040.6590970929828</v>
      </c>
    </row>
    <row r="6982" spans="2:4" x14ac:dyDescent="0.25">
      <c r="B6982">
        <f t="shared" ca="1" si="326"/>
        <v>52895.488062297591</v>
      </c>
      <c r="C6982">
        <f t="shared" ca="1" si="324"/>
        <v>0</v>
      </c>
      <c r="D6982">
        <f t="shared" ca="1" si="325"/>
        <v>12895.488062297591</v>
      </c>
    </row>
    <row r="6983" spans="2:4" x14ac:dyDescent="0.25">
      <c r="B6983">
        <f t="shared" ca="1" si="326"/>
        <v>40893.273367062851</v>
      </c>
      <c r="C6983">
        <f t="shared" ca="1" si="324"/>
        <v>0</v>
      </c>
      <c r="D6983">
        <f t="shared" ca="1" si="325"/>
        <v>893.27336706285132</v>
      </c>
    </row>
    <row r="6984" spans="2:4" x14ac:dyDescent="0.25">
      <c r="B6984">
        <f t="shared" ca="1" si="326"/>
        <v>41893.892253353035</v>
      </c>
      <c r="C6984">
        <f t="shared" ca="1" si="324"/>
        <v>0</v>
      </c>
      <c r="D6984">
        <f t="shared" ca="1" si="325"/>
        <v>1893.8922533530349</v>
      </c>
    </row>
    <row r="6985" spans="2:4" x14ac:dyDescent="0.25">
      <c r="B6985">
        <f t="shared" ca="1" si="326"/>
        <v>39949.193359685618</v>
      </c>
      <c r="C6985">
        <f t="shared" ca="1" si="324"/>
        <v>50.806640314382093</v>
      </c>
      <c r="D6985">
        <f t="shared" ca="1" si="325"/>
        <v>0</v>
      </c>
    </row>
    <row r="6986" spans="2:4" x14ac:dyDescent="0.25">
      <c r="B6986">
        <f t="shared" ca="1" si="326"/>
        <v>41528.490498887295</v>
      </c>
      <c r="C6986">
        <f t="shared" ca="1" si="324"/>
        <v>0</v>
      </c>
      <c r="D6986">
        <f t="shared" ca="1" si="325"/>
        <v>1528.490498887295</v>
      </c>
    </row>
    <row r="6987" spans="2:4" x14ac:dyDescent="0.25">
      <c r="B6987">
        <f t="shared" ca="1" si="326"/>
        <v>45568.114527373844</v>
      </c>
      <c r="C6987">
        <f t="shared" ca="1" si="324"/>
        <v>0</v>
      </c>
      <c r="D6987">
        <f t="shared" ca="1" si="325"/>
        <v>5568.1145273738439</v>
      </c>
    </row>
    <row r="6988" spans="2:4" x14ac:dyDescent="0.25">
      <c r="B6988">
        <f t="shared" ca="1" si="326"/>
        <v>45910.75434052835</v>
      </c>
      <c r="C6988">
        <f t="shared" ref="C6988:C7051" ca="1" si="327">IF(MAX($B$2-B6988)&lt;0,0,$B$2-B6988)</f>
        <v>0</v>
      </c>
      <c r="D6988">
        <f t="shared" ref="D6988:D7051" ca="1" si="328">IF(MAX(B6988-$B$2)&lt;0,0,B6988-$B$2)</f>
        <v>5910.7543405283504</v>
      </c>
    </row>
    <row r="6989" spans="2:4" x14ac:dyDescent="0.25">
      <c r="B6989">
        <f t="shared" ref="B6989:B7052" ca="1" si="329">$B$1*EXP((($B$4-($B$3^2)/2)*$B$5+$B$3*SQRT($B$5)*NORMSINV(RAND())))</f>
        <v>47720.655135013876</v>
      </c>
      <c r="C6989">
        <f t="shared" ca="1" si="327"/>
        <v>0</v>
      </c>
      <c r="D6989">
        <f t="shared" ca="1" si="328"/>
        <v>7720.6551350138761</v>
      </c>
    </row>
    <row r="6990" spans="2:4" x14ac:dyDescent="0.25">
      <c r="B6990">
        <f t="shared" ca="1" si="329"/>
        <v>44156.323970502315</v>
      </c>
      <c r="C6990">
        <f t="shared" ca="1" si="327"/>
        <v>0</v>
      </c>
      <c r="D6990">
        <f t="shared" ca="1" si="328"/>
        <v>4156.3239705023152</v>
      </c>
    </row>
    <row r="6991" spans="2:4" x14ac:dyDescent="0.25">
      <c r="B6991">
        <f t="shared" ca="1" si="329"/>
        <v>50901.185025915169</v>
      </c>
      <c r="C6991">
        <f t="shared" ca="1" si="327"/>
        <v>0</v>
      </c>
      <c r="D6991">
        <f t="shared" ca="1" si="328"/>
        <v>10901.185025915169</v>
      </c>
    </row>
    <row r="6992" spans="2:4" x14ac:dyDescent="0.25">
      <c r="B6992">
        <f t="shared" ca="1" si="329"/>
        <v>43771.227805561153</v>
      </c>
      <c r="C6992">
        <f t="shared" ca="1" si="327"/>
        <v>0</v>
      </c>
      <c r="D6992">
        <f t="shared" ca="1" si="328"/>
        <v>3771.2278055611532</v>
      </c>
    </row>
    <row r="6993" spans="2:4" x14ac:dyDescent="0.25">
      <c r="B6993">
        <f t="shared" ca="1" si="329"/>
        <v>49541.348269853537</v>
      </c>
      <c r="C6993">
        <f t="shared" ca="1" si="327"/>
        <v>0</v>
      </c>
      <c r="D6993">
        <f t="shared" ca="1" si="328"/>
        <v>9541.3482698535372</v>
      </c>
    </row>
    <row r="6994" spans="2:4" x14ac:dyDescent="0.25">
      <c r="B6994">
        <f t="shared" ca="1" si="329"/>
        <v>42337.712915287855</v>
      </c>
      <c r="C6994">
        <f t="shared" ca="1" si="327"/>
        <v>0</v>
      </c>
      <c r="D6994">
        <f t="shared" ca="1" si="328"/>
        <v>2337.7129152878551</v>
      </c>
    </row>
    <row r="6995" spans="2:4" x14ac:dyDescent="0.25">
      <c r="B6995">
        <f t="shared" ca="1" si="329"/>
        <v>44250.108679790355</v>
      </c>
      <c r="C6995">
        <f t="shared" ca="1" si="327"/>
        <v>0</v>
      </c>
      <c r="D6995">
        <f t="shared" ca="1" si="328"/>
        <v>4250.1086797903554</v>
      </c>
    </row>
    <row r="6996" spans="2:4" x14ac:dyDescent="0.25">
      <c r="B6996">
        <f t="shared" ca="1" si="329"/>
        <v>46760.34637876731</v>
      </c>
      <c r="C6996">
        <f t="shared" ca="1" si="327"/>
        <v>0</v>
      </c>
      <c r="D6996">
        <f t="shared" ca="1" si="328"/>
        <v>6760.3463787673099</v>
      </c>
    </row>
    <row r="6997" spans="2:4" x14ac:dyDescent="0.25">
      <c r="B6997">
        <f t="shared" ca="1" si="329"/>
        <v>44032.76995794184</v>
      </c>
      <c r="C6997">
        <f t="shared" ca="1" si="327"/>
        <v>0</v>
      </c>
      <c r="D6997">
        <f t="shared" ca="1" si="328"/>
        <v>4032.7699579418404</v>
      </c>
    </row>
    <row r="6998" spans="2:4" x14ac:dyDescent="0.25">
      <c r="B6998">
        <f t="shared" ca="1" si="329"/>
        <v>49491.185130211008</v>
      </c>
      <c r="C6998">
        <f t="shared" ca="1" si="327"/>
        <v>0</v>
      </c>
      <c r="D6998">
        <f t="shared" ca="1" si="328"/>
        <v>9491.1851302110081</v>
      </c>
    </row>
    <row r="6999" spans="2:4" x14ac:dyDescent="0.25">
      <c r="B6999">
        <f t="shared" ca="1" si="329"/>
        <v>50271.414684708761</v>
      </c>
      <c r="C6999">
        <f t="shared" ca="1" si="327"/>
        <v>0</v>
      </c>
      <c r="D6999">
        <f t="shared" ca="1" si="328"/>
        <v>10271.414684708761</v>
      </c>
    </row>
    <row r="7000" spans="2:4" x14ac:dyDescent="0.25">
      <c r="B7000">
        <f t="shared" ca="1" si="329"/>
        <v>43256.152207652798</v>
      </c>
      <c r="C7000">
        <f t="shared" ca="1" si="327"/>
        <v>0</v>
      </c>
      <c r="D7000">
        <f t="shared" ca="1" si="328"/>
        <v>3256.1522076527981</v>
      </c>
    </row>
    <row r="7001" spans="2:4" x14ac:dyDescent="0.25">
      <c r="B7001">
        <f t="shared" ca="1" si="329"/>
        <v>46797.73796876883</v>
      </c>
      <c r="C7001">
        <f t="shared" ca="1" si="327"/>
        <v>0</v>
      </c>
      <c r="D7001">
        <f t="shared" ca="1" si="328"/>
        <v>6797.7379687688299</v>
      </c>
    </row>
    <row r="7002" spans="2:4" x14ac:dyDescent="0.25">
      <c r="B7002">
        <f t="shared" ca="1" si="329"/>
        <v>46953.650492827117</v>
      </c>
      <c r="C7002">
        <f t="shared" ca="1" si="327"/>
        <v>0</v>
      </c>
      <c r="D7002">
        <f t="shared" ca="1" si="328"/>
        <v>6953.650492827117</v>
      </c>
    </row>
    <row r="7003" spans="2:4" x14ac:dyDescent="0.25">
      <c r="B7003">
        <f t="shared" ca="1" si="329"/>
        <v>47911.384493297002</v>
      </c>
      <c r="C7003">
        <f t="shared" ca="1" si="327"/>
        <v>0</v>
      </c>
      <c r="D7003">
        <f t="shared" ca="1" si="328"/>
        <v>7911.3844932970023</v>
      </c>
    </row>
    <row r="7004" spans="2:4" x14ac:dyDescent="0.25">
      <c r="B7004">
        <f t="shared" ca="1" si="329"/>
        <v>41897.513039338075</v>
      </c>
      <c r="C7004">
        <f t="shared" ca="1" si="327"/>
        <v>0</v>
      </c>
      <c r="D7004">
        <f t="shared" ca="1" si="328"/>
        <v>1897.513039338075</v>
      </c>
    </row>
    <row r="7005" spans="2:4" x14ac:dyDescent="0.25">
      <c r="B7005">
        <f t="shared" ca="1" si="329"/>
        <v>43523.638038265934</v>
      </c>
      <c r="C7005">
        <f t="shared" ca="1" si="327"/>
        <v>0</v>
      </c>
      <c r="D7005">
        <f t="shared" ca="1" si="328"/>
        <v>3523.6380382659336</v>
      </c>
    </row>
    <row r="7006" spans="2:4" x14ac:dyDescent="0.25">
      <c r="B7006">
        <f t="shared" ca="1" si="329"/>
        <v>47622.787580914759</v>
      </c>
      <c r="C7006">
        <f t="shared" ca="1" si="327"/>
        <v>0</v>
      </c>
      <c r="D7006">
        <f t="shared" ca="1" si="328"/>
        <v>7622.787580914759</v>
      </c>
    </row>
    <row r="7007" spans="2:4" x14ac:dyDescent="0.25">
      <c r="B7007">
        <f t="shared" ca="1" si="329"/>
        <v>52817.433746995601</v>
      </c>
      <c r="C7007">
        <f t="shared" ca="1" si="327"/>
        <v>0</v>
      </c>
      <c r="D7007">
        <f t="shared" ca="1" si="328"/>
        <v>12817.433746995601</v>
      </c>
    </row>
    <row r="7008" spans="2:4" x14ac:dyDescent="0.25">
      <c r="B7008">
        <f t="shared" ca="1" si="329"/>
        <v>41434.668845985361</v>
      </c>
      <c r="C7008">
        <f t="shared" ca="1" si="327"/>
        <v>0</v>
      </c>
      <c r="D7008">
        <f t="shared" ca="1" si="328"/>
        <v>1434.6688459853613</v>
      </c>
    </row>
    <row r="7009" spans="2:4" x14ac:dyDescent="0.25">
      <c r="B7009">
        <f t="shared" ca="1" si="329"/>
        <v>45712.113315072689</v>
      </c>
      <c r="C7009">
        <f t="shared" ca="1" si="327"/>
        <v>0</v>
      </c>
      <c r="D7009">
        <f t="shared" ca="1" si="328"/>
        <v>5712.1133150726891</v>
      </c>
    </row>
    <row r="7010" spans="2:4" x14ac:dyDescent="0.25">
      <c r="B7010">
        <f t="shared" ca="1" si="329"/>
        <v>48871.302370133068</v>
      </c>
      <c r="C7010">
        <f t="shared" ca="1" si="327"/>
        <v>0</v>
      </c>
      <c r="D7010">
        <f t="shared" ca="1" si="328"/>
        <v>8871.3023701330676</v>
      </c>
    </row>
    <row r="7011" spans="2:4" x14ac:dyDescent="0.25">
      <c r="B7011">
        <f t="shared" ca="1" si="329"/>
        <v>48197.417615077808</v>
      </c>
      <c r="C7011">
        <f t="shared" ca="1" si="327"/>
        <v>0</v>
      </c>
      <c r="D7011">
        <f t="shared" ca="1" si="328"/>
        <v>8197.4176150778076</v>
      </c>
    </row>
    <row r="7012" spans="2:4" x14ac:dyDescent="0.25">
      <c r="B7012">
        <f t="shared" ca="1" si="329"/>
        <v>42926.275410704271</v>
      </c>
      <c r="C7012">
        <f t="shared" ca="1" si="327"/>
        <v>0</v>
      </c>
      <c r="D7012">
        <f t="shared" ca="1" si="328"/>
        <v>2926.2754107042711</v>
      </c>
    </row>
    <row r="7013" spans="2:4" x14ac:dyDescent="0.25">
      <c r="B7013">
        <f t="shared" ca="1" si="329"/>
        <v>45916.503481110325</v>
      </c>
      <c r="C7013">
        <f t="shared" ca="1" si="327"/>
        <v>0</v>
      </c>
      <c r="D7013">
        <f t="shared" ca="1" si="328"/>
        <v>5916.5034811103251</v>
      </c>
    </row>
    <row r="7014" spans="2:4" x14ac:dyDescent="0.25">
      <c r="B7014">
        <f t="shared" ca="1" si="329"/>
        <v>43661.403265909379</v>
      </c>
      <c r="C7014">
        <f t="shared" ca="1" si="327"/>
        <v>0</v>
      </c>
      <c r="D7014">
        <f t="shared" ca="1" si="328"/>
        <v>3661.4032659093791</v>
      </c>
    </row>
    <row r="7015" spans="2:4" x14ac:dyDescent="0.25">
      <c r="B7015">
        <f t="shared" ca="1" si="329"/>
        <v>58208.349325272859</v>
      </c>
      <c r="C7015">
        <f t="shared" ca="1" si="327"/>
        <v>0</v>
      </c>
      <c r="D7015">
        <f t="shared" ca="1" si="328"/>
        <v>18208.349325272859</v>
      </c>
    </row>
    <row r="7016" spans="2:4" x14ac:dyDescent="0.25">
      <c r="B7016">
        <f t="shared" ca="1" si="329"/>
        <v>44455.440188107044</v>
      </c>
      <c r="C7016">
        <f t="shared" ca="1" si="327"/>
        <v>0</v>
      </c>
      <c r="D7016">
        <f t="shared" ca="1" si="328"/>
        <v>4455.4401881070444</v>
      </c>
    </row>
    <row r="7017" spans="2:4" x14ac:dyDescent="0.25">
      <c r="B7017">
        <f t="shared" ca="1" si="329"/>
        <v>49877.136305363085</v>
      </c>
      <c r="C7017">
        <f t="shared" ca="1" si="327"/>
        <v>0</v>
      </c>
      <c r="D7017">
        <f t="shared" ca="1" si="328"/>
        <v>9877.1363053630848</v>
      </c>
    </row>
    <row r="7018" spans="2:4" x14ac:dyDescent="0.25">
      <c r="B7018">
        <f t="shared" ca="1" si="329"/>
        <v>45742.683920022486</v>
      </c>
      <c r="C7018">
        <f t="shared" ca="1" si="327"/>
        <v>0</v>
      </c>
      <c r="D7018">
        <f t="shared" ca="1" si="328"/>
        <v>5742.6839200224858</v>
      </c>
    </row>
    <row r="7019" spans="2:4" x14ac:dyDescent="0.25">
      <c r="B7019">
        <f t="shared" ca="1" si="329"/>
        <v>36847.218275217238</v>
      </c>
      <c r="C7019">
        <f t="shared" ca="1" si="327"/>
        <v>3152.7817247827625</v>
      </c>
      <c r="D7019">
        <f t="shared" ca="1" si="328"/>
        <v>0</v>
      </c>
    </row>
    <row r="7020" spans="2:4" x14ac:dyDescent="0.25">
      <c r="B7020">
        <f t="shared" ca="1" si="329"/>
        <v>47212.193569246185</v>
      </c>
      <c r="C7020">
        <f t="shared" ca="1" si="327"/>
        <v>0</v>
      </c>
      <c r="D7020">
        <f t="shared" ca="1" si="328"/>
        <v>7212.1935692461848</v>
      </c>
    </row>
    <row r="7021" spans="2:4" x14ac:dyDescent="0.25">
      <c r="B7021">
        <f t="shared" ca="1" si="329"/>
        <v>40301.970103523519</v>
      </c>
      <c r="C7021">
        <f t="shared" ca="1" si="327"/>
        <v>0</v>
      </c>
      <c r="D7021">
        <f t="shared" ca="1" si="328"/>
        <v>301.97010352351936</v>
      </c>
    </row>
    <row r="7022" spans="2:4" x14ac:dyDescent="0.25">
      <c r="B7022">
        <f t="shared" ca="1" si="329"/>
        <v>39782.345417853881</v>
      </c>
      <c r="C7022">
        <f t="shared" ca="1" si="327"/>
        <v>217.65458214611863</v>
      </c>
      <c r="D7022">
        <f t="shared" ca="1" si="328"/>
        <v>0</v>
      </c>
    </row>
    <row r="7023" spans="2:4" x14ac:dyDescent="0.25">
      <c r="B7023">
        <f t="shared" ca="1" si="329"/>
        <v>45552.749362679941</v>
      </c>
      <c r="C7023">
        <f t="shared" ca="1" si="327"/>
        <v>0</v>
      </c>
      <c r="D7023">
        <f t="shared" ca="1" si="328"/>
        <v>5552.7493626799405</v>
      </c>
    </row>
    <row r="7024" spans="2:4" x14ac:dyDescent="0.25">
      <c r="B7024">
        <f t="shared" ca="1" si="329"/>
        <v>44530.363046389968</v>
      </c>
      <c r="C7024">
        <f t="shared" ca="1" si="327"/>
        <v>0</v>
      </c>
      <c r="D7024">
        <f t="shared" ca="1" si="328"/>
        <v>4530.3630463899681</v>
      </c>
    </row>
    <row r="7025" spans="2:4" x14ac:dyDescent="0.25">
      <c r="B7025">
        <f t="shared" ca="1" si="329"/>
        <v>41048.509886124702</v>
      </c>
      <c r="C7025">
        <f t="shared" ca="1" si="327"/>
        <v>0</v>
      </c>
      <c r="D7025">
        <f t="shared" ca="1" si="328"/>
        <v>1048.5098861247025</v>
      </c>
    </row>
    <row r="7026" spans="2:4" x14ac:dyDescent="0.25">
      <c r="B7026">
        <f t="shared" ca="1" si="329"/>
        <v>37201.14253069368</v>
      </c>
      <c r="C7026">
        <f t="shared" ca="1" si="327"/>
        <v>2798.8574693063201</v>
      </c>
      <c r="D7026">
        <f t="shared" ca="1" si="328"/>
        <v>0</v>
      </c>
    </row>
    <row r="7027" spans="2:4" x14ac:dyDescent="0.25">
      <c r="B7027">
        <f t="shared" ca="1" si="329"/>
        <v>57905.71999714079</v>
      </c>
      <c r="C7027">
        <f t="shared" ca="1" si="327"/>
        <v>0</v>
      </c>
      <c r="D7027">
        <f t="shared" ca="1" si="328"/>
        <v>17905.71999714079</v>
      </c>
    </row>
    <row r="7028" spans="2:4" x14ac:dyDescent="0.25">
      <c r="B7028">
        <f t="shared" ca="1" si="329"/>
        <v>48668.522156554609</v>
      </c>
      <c r="C7028">
        <f t="shared" ca="1" si="327"/>
        <v>0</v>
      </c>
      <c r="D7028">
        <f t="shared" ca="1" si="328"/>
        <v>8668.522156554609</v>
      </c>
    </row>
    <row r="7029" spans="2:4" x14ac:dyDescent="0.25">
      <c r="B7029">
        <f t="shared" ca="1" si="329"/>
        <v>46774.13821210491</v>
      </c>
      <c r="C7029">
        <f t="shared" ca="1" si="327"/>
        <v>0</v>
      </c>
      <c r="D7029">
        <f t="shared" ca="1" si="328"/>
        <v>6774.1382121049101</v>
      </c>
    </row>
    <row r="7030" spans="2:4" x14ac:dyDescent="0.25">
      <c r="B7030">
        <f t="shared" ca="1" si="329"/>
        <v>43099.014422840191</v>
      </c>
      <c r="C7030">
        <f t="shared" ca="1" si="327"/>
        <v>0</v>
      </c>
      <c r="D7030">
        <f t="shared" ca="1" si="328"/>
        <v>3099.0144228401914</v>
      </c>
    </row>
    <row r="7031" spans="2:4" x14ac:dyDescent="0.25">
      <c r="B7031">
        <f t="shared" ca="1" si="329"/>
        <v>41838.90716765156</v>
      </c>
      <c r="C7031">
        <f t="shared" ca="1" si="327"/>
        <v>0</v>
      </c>
      <c r="D7031">
        <f t="shared" ca="1" si="328"/>
        <v>1838.9071676515596</v>
      </c>
    </row>
    <row r="7032" spans="2:4" x14ac:dyDescent="0.25">
      <c r="B7032">
        <f t="shared" ca="1" si="329"/>
        <v>43841.342394628809</v>
      </c>
      <c r="C7032">
        <f t="shared" ca="1" si="327"/>
        <v>0</v>
      </c>
      <c r="D7032">
        <f t="shared" ca="1" si="328"/>
        <v>3841.3423946288094</v>
      </c>
    </row>
    <row r="7033" spans="2:4" x14ac:dyDescent="0.25">
      <c r="B7033">
        <f t="shared" ca="1" si="329"/>
        <v>42527.525970573166</v>
      </c>
      <c r="C7033">
        <f t="shared" ca="1" si="327"/>
        <v>0</v>
      </c>
      <c r="D7033">
        <f t="shared" ca="1" si="328"/>
        <v>2527.525970573166</v>
      </c>
    </row>
    <row r="7034" spans="2:4" x14ac:dyDescent="0.25">
      <c r="B7034">
        <f t="shared" ca="1" si="329"/>
        <v>43012.252606049238</v>
      </c>
      <c r="C7034">
        <f t="shared" ca="1" si="327"/>
        <v>0</v>
      </c>
      <c r="D7034">
        <f t="shared" ca="1" si="328"/>
        <v>3012.2526060492382</v>
      </c>
    </row>
    <row r="7035" spans="2:4" x14ac:dyDescent="0.25">
      <c r="B7035">
        <f t="shared" ca="1" si="329"/>
        <v>51048.932211964391</v>
      </c>
      <c r="C7035">
        <f t="shared" ca="1" si="327"/>
        <v>0</v>
      </c>
      <c r="D7035">
        <f t="shared" ca="1" si="328"/>
        <v>11048.932211964391</v>
      </c>
    </row>
    <row r="7036" spans="2:4" x14ac:dyDescent="0.25">
      <c r="B7036">
        <f t="shared" ca="1" si="329"/>
        <v>47304.202843330444</v>
      </c>
      <c r="C7036">
        <f t="shared" ca="1" si="327"/>
        <v>0</v>
      </c>
      <c r="D7036">
        <f t="shared" ca="1" si="328"/>
        <v>7304.202843330444</v>
      </c>
    </row>
    <row r="7037" spans="2:4" x14ac:dyDescent="0.25">
      <c r="B7037">
        <f t="shared" ca="1" si="329"/>
        <v>50117.40485845619</v>
      </c>
      <c r="C7037">
        <f t="shared" ca="1" si="327"/>
        <v>0</v>
      </c>
      <c r="D7037">
        <f t="shared" ca="1" si="328"/>
        <v>10117.40485845619</v>
      </c>
    </row>
    <row r="7038" spans="2:4" x14ac:dyDescent="0.25">
      <c r="B7038">
        <f t="shared" ca="1" si="329"/>
        <v>43692.691046326057</v>
      </c>
      <c r="C7038">
        <f t="shared" ca="1" si="327"/>
        <v>0</v>
      </c>
      <c r="D7038">
        <f t="shared" ca="1" si="328"/>
        <v>3692.6910463260574</v>
      </c>
    </row>
    <row r="7039" spans="2:4" x14ac:dyDescent="0.25">
      <c r="B7039">
        <f t="shared" ca="1" si="329"/>
        <v>41593.483971450289</v>
      </c>
      <c r="C7039">
        <f t="shared" ca="1" si="327"/>
        <v>0</v>
      </c>
      <c r="D7039">
        <f t="shared" ca="1" si="328"/>
        <v>1593.4839714502887</v>
      </c>
    </row>
    <row r="7040" spans="2:4" x14ac:dyDescent="0.25">
      <c r="B7040">
        <f t="shared" ca="1" si="329"/>
        <v>47382.351027684184</v>
      </c>
      <c r="C7040">
        <f t="shared" ca="1" si="327"/>
        <v>0</v>
      </c>
      <c r="D7040">
        <f t="shared" ca="1" si="328"/>
        <v>7382.3510276841844</v>
      </c>
    </row>
    <row r="7041" spans="2:4" x14ac:dyDescent="0.25">
      <c r="B7041">
        <f t="shared" ca="1" si="329"/>
        <v>35409.013137751899</v>
      </c>
      <c r="C7041">
        <f t="shared" ca="1" si="327"/>
        <v>4590.9868622481008</v>
      </c>
      <c r="D7041">
        <f t="shared" ca="1" si="328"/>
        <v>0</v>
      </c>
    </row>
    <row r="7042" spans="2:4" x14ac:dyDescent="0.25">
      <c r="B7042">
        <f t="shared" ca="1" si="329"/>
        <v>46896.04817884857</v>
      </c>
      <c r="C7042">
        <f t="shared" ca="1" si="327"/>
        <v>0</v>
      </c>
      <c r="D7042">
        <f t="shared" ca="1" si="328"/>
        <v>6896.0481788485704</v>
      </c>
    </row>
    <row r="7043" spans="2:4" x14ac:dyDescent="0.25">
      <c r="B7043">
        <f t="shared" ca="1" si="329"/>
        <v>49739.130402119212</v>
      </c>
      <c r="C7043">
        <f t="shared" ca="1" si="327"/>
        <v>0</v>
      </c>
      <c r="D7043">
        <f t="shared" ca="1" si="328"/>
        <v>9739.1304021192118</v>
      </c>
    </row>
    <row r="7044" spans="2:4" x14ac:dyDescent="0.25">
      <c r="B7044">
        <f t="shared" ca="1" si="329"/>
        <v>41170.783184043263</v>
      </c>
      <c r="C7044">
        <f t="shared" ca="1" si="327"/>
        <v>0</v>
      </c>
      <c r="D7044">
        <f t="shared" ca="1" si="328"/>
        <v>1170.7831840432627</v>
      </c>
    </row>
    <row r="7045" spans="2:4" x14ac:dyDescent="0.25">
      <c r="B7045">
        <f t="shared" ca="1" si="329"/>
        <v>51744.788397976394</v>
      </c>
      <c r="C7045">
        <f t="shared" ca="1" si="327"/>
        <v>0</v>
      </c>
      <c r="D7045">
        <f t="shared" ca="1" si="328"/>
        <v>11744.788397976394</v>
      </c>
    </row>
    <row r="7046" spans="2:4" x14ac:dyDescent="0.25">
      <c r="B7046">
        <f t="shared" ca="1" si="329"/>
        <v>40800.532699731186</v>
      </c>
      <c r="C7046">
        <f t="shared" ca="1" si="327"/>
        <v>0</v>
      </c>
      <c r="D7046">
        <f t="shared" ca="1" si="328"/>
        <v>800.53269973118586</v>
      </c>
    </row>
    <row r="7047" spans="2:4" x14ac:dyDescent="0.25">
      <c r="B7047">
        <f t="shared" ca="1" si="329"/>
        <v>54034.654202492973</v>
      </c>
      <c r="C7047">
        <f t="shared" ca="1" si="327"/>
        <v>0</v>
      </c>
      <c r="D7047">
        <f t="shared" ca="1" si="328"/>
        <v>14034.654202492973</v>
      </c>
    </row>
    <row r="7048" spans="2:4" x14ac:dyDescent="0.25">
      <c r="B7048">
        <f t="shared" ca="1" si="329"/>
        <v>42529.374329208789</v>
      </c>
      <c r="C7048">
        <f t="shared" ca="1" si="327"/>
        <v>0</v>
      </c>
      <c r="D7048">
        <f t="shared" ca="1" si="328"/>
        <v>2529.3743292087893</v>
      </c>
    </row>
    <row r="7049" spans="2:4" x14ac:dyDescent="0.25">
      <c r="B7049">
        <f t="shared" ca="1" si="329"/>
        <v>32087.778979575131</v>
      </c>
      <c r="C7049">
        <f t="shared" ca="1" si="327"/>
        <v>7912.2210204248695</v>
      </c>
      <c r="D7049">
        <f t="shared" ca="1" si="328"/>
        <v>0</v>
      </c>
    </row>
    <row r="7050" spans="2:4" x14ac:dyDescent="0.25">
      <c r="B7050">
        <f t="shared" ca="1" si="329"/>
        <v>48512.280367049956</v>
      </c>
      <c r="C7050">
        <f t="shared" ca="1" si="327"/>
        <v>0</v>
      </c>
      <c r="D7050">
        <f t="shared" ca="1" si="328"/>
        <v>8512.2803670499561</v>
      </c>
    </row>
    <row r="7051" spans="2:4" x14ac:dyDescent="0.25">
      <c r="B7051">
        <f t="shared" ca="1" si="329"/>
        <v>41568.656890433158</v>
      </c>
      <c r="C7051">
        <f t="shared" ca="1" si="327"/>
        <v>0</v>
      </c>
      <c r="D7051">
        <f t="shared" ca="1" si="328"/>
        <v>1568.656890433158</v>
      </c>
    </row>
    <row r="7052" spans="2:4" x14ac:dyDescent="0.25">
      <c r="B7052">
        <f t="shared" ca="1" si="329"/>
        <v>49120.048677256091</v>
      </c>
      <c r="C7052">
        <f t="shared" ref="C7052:C7115" ca="1" si="330">IF(MAX($B$2-B7052)&lt;0,0,$B$2-B7052)</f>
        <v>0</v>
      </c>
      <c r="D7052">
        <f t="shared" ref="D7052:D7115" ca="1" si="331">IF(MAX(B7052-$B$2)&lt;0,0,B7052-$B$2)</f>
        <v>9120.0486772560907</v>
      </c>
    </row>
    <row r="7053" spans="2:4" x14ac:dyDescent="0.25">
      <c r="B7053">
        <f t="shared" ref="B7053:B7116" ca="1" si="332">$B$1*EXP((($B$4-($B$3^2)/2)*$B$5+$B$3*SQRT($B$5)*NORMSINV(RAND())))</f>
        <v>43871.286240852452</v>
      </c>
      <c r="C7053">
        <f t="shared" ca="1" si="330"/>
        <v>0</v>
      </c>
      <c r="D7053">
        <f t="shared" ca="1" si="331"/>
        <v>3871.2862408524525</v>
      </c>
    </row>
    <row r="7054" spans="2:4" x14ac:dyDescent="0.25">
      <c r="B7054">
        <f t="shared" ca="1" si="332"/>
        <v>41895.047699569361</v>
      </c>
      <c r="C7054">
        <f t="shared" ca="1" si="330"/>
        <v>0</v>
      </c>
      <c r="D7054">
        <f t="shared" ca="1" si="331"/>
        <v>1895.0476995693607</v>
      </c>
    </row>
    <row r="7055" spans="2:4" x14ac:dyDescent="0.25">
      <c r="B7055">
        <f t="shared" ca="1" si="332"/>
        <v>45636.723307940978</v>
      </c>
      <c r="C7055">
        <f t="shared" ca="1" si="330"/>
        <v>0</v>
      </c>
      <c r="D7055">
        <f t="shared" ca="1" si="331"/>
        <v>5636.723307940978</v>
      </c>
    </row>
    <row r="7056" spans="2:4" x14ac:dyDescent="0.25">
      <c r="B7056">
        <f t="shared" ca="1" si="332"/>
        <v>46001.793570605747</v>
      </c>
      <c r="C7056">
        <f t="shared" ca="1" si="330"/>
        <v>0</v>
      </c>
      <c r="D7056">
        <f t="shared" ca="1" si="331"/>
        <v>6001.7935706057469</v>
      </c>
    </row>
    <row r="7057" spans="2:4" x14ac:dyDescent="0.25">
      <c r="B7057">
        <f t="shared" ca="1" si="332"/>
        <v>41652.230638917696</v>
      </c>
      <c r="C7057">
        <f t="shared" ca="1" si="330"/>
        <v>0</v>
      </c>
      <c r="D7057">
        <f t="shared" ca="1" si="331"/>
        <v>1652.2306389176956</v>
      </c>
    </row>
    <row r="7058" spans="2:4" x14ac:dyDescent="0.25">
      <c r="B7058">
        <f t="shared" ca="1" si="332"/>
        <v>48102.319026359837</v>
      </c>
      <c r="C7058">
        <f t="shared" ca="1" si="330"/>
        <v>0</v>
      </c>
      <c r="D7058">
        <f t="shared" ca="1" si="331"/>
        <v>8102.3190263598372</v>
      </c>
    </row>
    <row r="7059" spans="2:4" x14ac:dyDescent="0.25">
      <c r="B7059">
        <f t="shared" ca="1" si="332"/>
        <v>45209.819113418787</v>
      </c>
      <c r="C7059">
        <f t="shared" ca="1" si="330"/>
        <v>0</v>
      </c>
      <c r="D7059">
        <f t="shared" ca="1" si="331"/>
        <v>5209.8191134187873</v>
      </c>
    </row>
    <row r="7060" spans="2:4" x14ac:dyDescent="0.25">
      <c r="B7060">
        <f t="shared" ca="1" si="332"/>
        <v>44057.924630389425</v>
      </c>
      <c r="C7060">
        <f t="shared" ca="1" si="330"/>
        <v>0</v>
      </c>
      <c r="D7060">
        <f t="shared" ca="1" si="331"/>
        <v>4057.9246303894251</v>
      </c>
    </row>
    <row r="7061" spans="2:4" x14ac:dyDescent="0.25">
      <c r="B7061">
        <f t="shared" ca="1" si="332"/>
        <v>52903.281990956391</v>
      </c>
      <c r="C7061">
        <f t="shared" ca="1" si="330"/>
        <v>0</v>
      </c>
      <c r="D7061">
        <f t="shared" ca="1" si="331"/>
        <v>12903.281990956391</v>
      </c>
    </row>
    <row r="7062" spans="2:4" x14ac:dyDescent="0.25">
      <c r="B7062">
        <f t="shared" ca="1" si="332"/>
        <v>44709.171707507885</v>
      </c>
      <c r="C7062">
        <f t="shared" ca="1" si="330"/>
        <v>0</v>
      </c>
      <c r="D7062">
        <f t="shared" ca="1" si="331"/>
        <v>4709.171707507885</v>
      </c>
    </row>
    <row r="7063" spans="2:4" x14ac:dyDescent="0.25">
      <c r="B7063">
        <f t="shared" ca="1" si="332"/>
        <v>43076.557493474975</v>
      </c>
      <c r="C7063">
        <f t="shared" ca="1" si="330"/>
        <v>0</v>
      </c>
      <c r="D7063">
        <f t="shared" ca="1" si="331"/>
        <v>3076.5574934749748</v>
      </c>
    </row>
    <row r="7064" spans="2:4" x14ac:dyDescent="0.25">
      <c r="B7064">
        <f t="shared" ca="1" si="332"/>
        <v>43512.356600332154</v>
      </c>
      <c r="C7064">
        <f t="shared" ca="1" si="330"/>
        <v>0</v>
      </c>
      <c r="D7064">
        <f t="shared" ca="1" si="331"/>
        <v>3512.3566003321539</v>
      </c>
    </row>
    <row r="7065" spans="2:4" x14ac:dyDescent="0.25">
      <c r="B7065">
        <f t="shared" ca="1" si="332"/>
        <v>46485.237505377328</v>
      </c>
      <c r="C7065">
        <f t="shared" ca="1" si="330"/>
        <v>0</v>
      </c>
      <c r="D7065">
        <f t="shared" ca="1" si="331"/>
        <v>6485.2375053773285</v>
      </c>
    </row>
    <row r="7066" spans="2:4" x14ac:dyDescent="0.25">
      <c r="B7066">
        <f t="shared" ca="1" si="332"/>
        <v>41330.105142445806</v>
      </c>
      <c r="C7066">
        <f t="shared" ca="1" si="330"/>
        <v>0</v>
      </c>
      <c r="D7066">
        <f t="shared" ca="1" si="331"/>
        <v>1330.1051424458055</v>
      </c>
    </row>
    <row r="7067" spans="2:4" x14ac:dyDescent="0.25">
      <c r="B7067">
        <f t="shared" ca="1" si="332"/>
        <v>46316.582579913396</v>
      </c>
      <c r="C7067">
        <f t="shared" ca="1" si="330"/>
        <v>0</v>
      </c>
      <c r="D7067">
        <f t="shared" ca="1" si="331"/>
        <v>6316.5825799133963</v>
      </c>
    </row>
    <row r="7068" spans="2:4" x14ac:dyDescent="0.25">
      <c r="B7068">
        <f t="shared" ca="1" si="332"/>
        <v>41028.661803768569</v>
      </c>
      <c r="C7068">
        <f t="shared" ca="1" si="330"/>
        <v>0</v>
      </c>
      <c r="D7068">
        <f t="shared" ca="1" si="331"/>
        <v>1028.6618037685694</v>
      </c>
    </row>
    <row r="7069" spans="2:4" x14ac:dyDescent="0.25">
      <c r="B7069">
        <f t="shared" ca="1" si="332"/>
        <v>44681.754517228495</v>
      </c>
      <c r="C7069">
        <f t="shared" ca="1" si="330"/>
        <v>0</v>
      </c>
      <c r="D7069">
        <f t="shared" ca="1" si="331"/>
        <v>4681.7545172284954</v>
      </c>
    </row>
    <row r="7070" spans="2:4" x14ac:dyDescent="0.25">
      <c r="B7070">
        <f t="shared" ca="1" si="332"/>
        <v>58146.968984812433</v>
      </c>
      <c r="C7070">
        <f t="shared" ca="1" si="330"/>
        <v>0</v>
      </c>
      <c r="D7070">
        <f t="shared" ca="1" si="331"/>
        <v>18146.968984812433</v>
      </c>
    </row>
    <row r="7071" spans="2:4" x14ac:dyDescent="0.25">
      <c r="B7071">
        <f t="shared" ca="1" si="332"/>
        <v>46689.292831343351</v>
      </c>
      <c r="C7071">
        <f t="shared" ca="1" si="330"/>
        <v>0</v>
      </c>
      <c r="D7071">
        <f t="shared" ca="1" si="331"/>
        <v>6689.2928313433513</v>
      </c>
    </row>
    <row r="7072" spans="2:4" x14ac:dyDescent="0.25">
      <c r="B7072">
        <f t="shared" ca="1" si="332"/>
        <v>49647.614675823483</v>
      </c>
      <c r="C7072">
        <f t="shared" ca="1" si="330"/>
        <v>0</v>
      </c>
      <c r="D7072">
        <f t="shared" ca="1" si="331"/>
        <v>9647.6146758234827</v>
      </c>
    </row>
    <row r="7073" spans="2:4" x14ac:dyDescent="0.25">
      <c r="B7073">
        <f t="shared" ca="1" si="332"/>
        <v>43985.749772581759</v>
      </c>
      <c r="C7073">
        <f t="shared" ca="1" si="330"/>
        <v>0</v>
      </c>
      <c r="D7073">
        <f t="shared" ca="1" si="331"/>
        <v>3985.7497725817593</v>
      </c>
    </row>
    <row r="7074" spans="2:4" x14ac:dyDescent="0.25">
      <c r="B7074">
        <f t="shared" ca="1" si="332"/>
        <v>40766.038018796084</v>
      </c>
      <c r="C7074">
        <f t="shared" ca="1" si="330"/>
        <v>0</v>
      </c>
      <c r="D7074">
        <f t="shared" ca="1" si="331"/>
        <v>766.03801879608363</v>
      </c>
    </row>
    <row r="7075" spans="2:4" x14ac:dyDescent="0.25">
      <c r="B7075">
        <f t="shared" ca="1" si="332"/>
        <v>47863.004793650354</v>
      </c>
      <c r="C7075">
        <f t="shared" ca="1" si="330"/>
        <v>0</v>
      </c>
      <c r="D7075">
        <f t="shared" ca="1" si="331"/>
        <v>7863.0047936503543</v>
      </c>
    </row>
    <row r="7076" spans="2:4" x14ac:dyDescent="0.25">
      <c r="B7076">
        <f t="shared" ca="1" si="332"/>
        <v>45324.580427894303</v>
      </c>
      <c r="C7076">
        <f t="shared" ca="1" si="330"/>
        <v>0</v>
      </c>
      <c r="D7076">
        <f t="shared" ca="1" si="331"/>
        <v>5324.5804278943033</v>
      </c>
    </row>
    <row r="7077" spans="2:4" x14ac:dyDescent="0.25">
      <c r="B7077">
        <f t="shared" ca="1" si="332"/>
        <v>45117.912092065017</v>
      </c>
      <c r="C7077">
        <f t="shared" ca="1" si="330"/>
        <v>0</v>
      </c>
      <c r="D7077">
        <f t="shared" ca="1" si="331"/>
        <v>5117.9120920650166</v>
      </c>
    </row>
    <row r="7078" spans="2:4" x14ac:dyDescent="0.25">
      <c r="B7078">
        <f t="shared" ca="1" si="332"/>
        <v>37175.057114244577</v>
      </c>
      <c r="C7078">
        <f t="shared" ca="1" si="330"/>
        <v>2824.942885755423</v>
      </c>
      <c r="D7078">
        <f t="shared" ca="1" si="331"/>
        <v>0</v>
      </c>
    </row>
    <row r="7079" spans="2:4" x14ac:dyDescent="0.25">
      <c r="B7079">
        <f t="shared" ca="1" si="332"/>
        <v>47035.141152164586</v>
      </c>
      <c r="C7079">
        <f t="shared" ca="1" si="330"/>
        <v>0</v>
      </c>
      <c r="D7079">
        <f t="shared" ca="1" si="331"/>
        <v>7035.1411521645859</v>
      </c>
    </row>
    <row r="7080" spans="2:4" x14ac:dyDescent="0.25">
      <c r="B7080">
        <f t="shared" ca="1" si="332"/>
        <v>44982.185213404002</v>
      </c>
      <c r="C7080">
        <f t="shared" ca="1" si="330"/>
        <v>0</v>
      </c>
      <c r="D7080">
        <f t="shared" ca="1" si="331"/>
        <v>4982.1852134040018</v>
      </c>
    </row>
    <row r="7081" spans="2:4" x14ac:dyDescent="0.25">
      <c r="B7081">
        <f t="shared" ca="1" si="332"/>
        <v>49922.743996702739</v>
      </c>
      <c r="C7081">
        <f t="shared" ca="1" si="330"/>
        <v>0</v>
      </c>
      <c r="D7081">
        <f t="shared" ca="1" si="331"/>
        <v>9922.7439967027385</v>
      </c>
    </row>
    <row r="7082" spans="2:4" x14ac:dyDescent="0.25">
      <c r="B7082">
        <f t="shared" ca="1" si="332"/>
        <v>38613.768179564358</v>
      </c>
      <c r="C7082">
        <f t="shared" ca="1" si="330"/>
        <v>1386.2318204356416</v>
      </c>
      <c r="D7082">
        <f t="shared" ca="1" si="331"/>
        <v>0</v>
      </c>
    </row>
    <row r="7083" spans="2:4" x14ac:dyDescent="0.25">
      <c r="B7083">
        <f t="shared" ca="1" si="332"/>
        <v>47577.166231750314</v>
      </c>
      <c r="C7083">
        <f t="shared" ca="1" si="330"/>
        <v>0</v>
      </c>
      <c r="D7083">
        <f t="shared" ca="1" si="331"/>
        <v>7577.1662317503142</v>
      </c>
    </row>
    <row r="7084" spans="2:4" x14ac:dyDescent="0.25">
      <c r="B7084">
        <f t="shared" ca="1" si="332"/>
        <v>49856.447744388941</v>
      </c>
      <c r="C7084">
        <f t="shared" ca="1" si="330"/>
        <v>0</v>
      </c>
      <c r="D7084">
        <f t="shared" ca="1" si="331"/>
        <v>9856.4477443889409</v>
      </c>
    </row>
    <row r="7085" spans="2:4" x14ac:dyDescent="0.25">
      <c r="B7085">
        <f t="shared" ca="1" si="332"/>
        <v>37571.606636840872</v>
      </c>
      <c r="C7085">
        <f t="shared" ca="1" si="330"/>
        <v>2428.3933631591281</v>
      </c>
      <c r="D7085">
        <f t="shared" ca="1" si="331"/>
        <v>0</v>
      </c>
    </row>
    <row r="7086" spans="2:4" x14ac:dyDescent="0.25">
      <c r="B7086">
        <f t="shared" ca="1" si="332"/>
        <v>45245.693964368103</v>
      </c>
      <c r="C7086">
        <f t="shared" ca="1" si="330"/>
        <v>0</v>
      </c>
      <c r="D7086">
        <f t="shared" ca="1" si="331"/>
        <v>5245.6939643681035</v>
      </c>
    </row>
    <row r="7087" spans="2:4" x14ac:dyDescent="0.25">
      <c r="B7087">
        <f t="shared" ca="1" si="332"/>
        <v>44667.817818505035</v>
      </c>
      <c r="C7087">
        <f t="shared" ca="1" si="330"/>
        <v>0</v>
      </c>
      <c r="D7087">
        <f t="shared" ca="1" si="331"/>
        <v>4667.8178185050347</v>
      </c>
    </row>
    <row r="7088" spans="2:4" x14ac:dyDescent="0.25">
      <c r="B7088">
        <f t="shared" ca="1" si="332"/>
        <v>50856.407277457802</v>
      </c>
      <c r="C7088">
        <f t="shared" ca="1" si="330"/>
        <v>0</v>
      </c>
      <c r="D7088">
        <f t="shared" ca="1" si="331"/>
        <v>10856.407277457802</v>
      </c>
    </row>
    <row r="7089" spans="2:4" x14ac:dyDescent="0.25">
      <c r="B7089">
        <f t="shared" ca="1" si="332"/>
        <v>45941.165817394787</v>
      </c>
      <c r="C7089">
        <f t="shared" ca="1" si="330"/>
        <v>0</v>
      </c>
      <c r="D7089">
        <f t="shared" ca="1" si="331"/>
        <v>5941.1658173947872</v>
      </c>
    </row>
    <row r="7090" spans="2:4" x14ac:dyDescent="0.25">
      <c r="B7090">
        <f t="shared" ca="1" si="332"/>
        <v>39759.32144211026</v>
      </c>
      <c r="C7090">
        <f t="shared" ca="1" si="330"/>
        <v>240.67855788973975</v>
      </c>
      <c r="D7090">
        <f t="shared" ca="1" si="331"/>
        <v>0</v>
      </c>
    </row>
    <row r="7091" spans="2:4" x14ac:dyDescent="0.25">
      <c r="B7091">
        <f t="shared" ca="1" si="332"/>
        <v>39709.599533472821</v>
      </c>
      <c r="C7091">
        <f t="shared" ca="1" si="330"/>
        <v>290.40046652717865</v>
      </c>
      <c r="D7091">
        <f t="shared" ca="1" si="331"/>
        <v>0</v>
      </c>
    </row>
    <row r="7092" spans="2:4" x14ac:dyDescent="0.25">
      <c r="B7092">
        <f t="shared" ca="1" si="332"/>
        <v>45342.518625524513</v>
      </c>
      <c r="C7092">
        <f t="shared" ca="1" si="330"/>
        <v>0</v>
      </c>
      <c r="D7092">
        <f t="shared" ca="1" si="331"/>
        <v>5342.5186255245135</v>
      </c>
    </row>
    <row r="7093" spans="2:4" x14ac:dyDescent="0.25">
      <c r="B7093">
        <f t="shared" ca="1" si="332"/>
        <v>41377.198704056384</v>
      </c>
      <c r="C7093">
        <f t="shared" ca="1" si="330"/>
        <v>0</v>
      </c>
      <c r="D7093">
        <f t="shared" ca="1" si="331"/>
        <v>1377.1987040563836</v>
      </c>
    </row>
    <row r="7094" spans="2:4" x14ac:dyDescent="0.25">
      <c r="B7094">
        <f t="shared" ca="1" si="332"/>
        <v>46827.938617331165</v>
      </c>
      <c r="C7094">
        <f t="shared" ca="1" si="330"/>
        <v>0</v>
      </c>
      <c r="D7094">
        <f t="shared" ca="1" si="331"/>
        <v>6827.938617331165</v>
      </c>
    </row>
    <row r="7095" spans="2:4" x14ac:dyDescent="0.25">
      <c r="B7095">
        <f t="shared" ca="1" si="332"/>
        <v>36956.943334095056</v>
      </c>
      <c r="C7095">
        <f t="shared" ca="1" si="330"/>
        <v>3043.0566659049437</v>
      </c>
      <c r="D7095">
        <f t="shared" ca="1" si="331"/>
        <v>0</v>
      </c>
    </row>
    <row r="7096" spans="2:4" x14ac:dyDescent="0.25">
      <c r="B7096">
        <f t="shared" ca="1" si="332"/>
        <v>49959.744813464175</v>
      </c>
      <c r="C7096">
        <f t="shared" ca="1" si="330"/>
        <v>0</v>
      </c>
      <c r="D7096">
        <f t="shared" ca="1" si="331"/>
        <v>9959.7448134641745</v>
      </c>
    </row>
    <row r="7097" spans="2:4" x14ac:dyDescent="0.25">
      <c r="B7097">
        <f t="shared" ca="1" si="332"/>
        <v>51689.180205815494</v>
      </c>
      <c r="C7097">
        <f t="shared" ca="1" si="330"/>
        <v>0</v>
      </c>
      <c r="D7097">
        <f t="shared" ca="1" si="331"/>
        <v>11689.180205815494</v>
      </c>
    </row>
    <row r="7098" spans="2:4" x14ac:dyDescent="0.25">
      <c r="B7098">
        <f t="shared" ca="1" si="332"/>
        <v>43317.587522753798</v>
      </c>
      <c r="C7098">
        <f t="shared" ca="1" si="330"/>
        <v>0</v>
      </c>
      <c r="D7098">
        <f t="shared" ca="1" si="331"/>
        <v>3317.5875227537981</v>
      </c>
    </row>
    <row r="7099" spans="2:4" x14ac:dyDescent="0.25">
      <c r="B7099">
        <f t="shared" ca="1" si="332"/>
        <v>41019.372271990505</v>
      </c>
      <c r="C7099">
        <f t="shared" ca="1" si="330"/>
        <v>0</v>
      </c>
      <c r="D7099">
        <f t="shared" ca="1" si="331"/>
        <v>1019.3722719905054</v>
      </c>
    </row>
    <row r="7100" spans="2:4" x14ac:dyDescent="0.25">
      <c r="B7100">
        <f t="shared" ca="1" si="332"/>
        <v>36607.608032198914</v>
      </c>
      <c r="C7100">
        <f t="shared" ca="1" si="330"/>
        <v>3392.3919678010861</v>
      </c>
      <c r="D7100">
        <f t="shared" ca="1" si="331"/>
        <v>0</v>
      </c>
    </row>
    <row r="7101" spans="2:4" x14ac:dyDescent="0.25">
      <c r="B7101">
        <f t="shared" ca="1" si="332"/>
        <v>53807.289176017235</v>
      </c>
      <c r="C7101">
        <f t="shared" ca="1" si="330"/>
        <v>0</v>
      </c>
      <c r="D7101">
        <f t="shared" ca="1" si="331"/>
        <v>13807.289176017235</v>
      </c>
    </row>
    <row r="7102" spans="2:4" x14ac:dyDescent="0.25">
      <c r="B7102">
        <f t="shared" ca="1" si="332"/>
        <v>54628.703403966523</v>
      </c>
      <c r="C7102">
        <f t="shared" ca="1" si="330"/>
        <v>0</v>
      </c>
      <c r="D7102">
        <f t="shared" ca="1" si="331"/>
        <v>14628.703403966523</v>
      </c>
    </row>
    <row r="7103" spans="2:4" x14ac:dyDescent="0.25">
      <c r="B7103">
        <f t="shared" ca="1" si="332"/>
        <v>44629.886914758237</v>
      </c>
      <c r="C7103">
        <f t="shared" ca="1" si="330"/>
        <v>0</v>
      </c>
      <c r="D7103">
        <f t="shared" ca="1" si="331"/>
        <v>4629.8869147582373</v>
      </c>
    </row>
    <row r="7104" spans="2:4" x14ac:dyDescent="0.25">
      <c r="B7104">
        <f t="shared" ca="1" si="332"/>
        <v>45814.243628884156</v>
      </c>
      <c r="C7104">
        <f t="shared" ca="1" si="330"/>
        <v>0</v>
      </c>
      <c r="D7104">
        <f t="shared" ca="1" si="331"/>
        <v>5814.2436288841564</v>
      </c>
    </row>
    <row r="7105" spans="2:4" x14ac:dyDescent="0.25">
      <c r="B7105">
        <f t="shared" ca="1" si="332"/>
        <v>48603.013101715493</v>
      </c>
      <c r="C7105">
        <f t="shared" ca="1" si="330"/>
        <v>0</v>
      </c>
      <c r="D7105">
        <f t="shared" ca="1" si="331"/>
        <v>8603.0131017154927</v>
      </c>
    </row>
    <row r="7106" spans="2:4" x14ac:dyDescent="0.25">
      <c r="B7106">
        <f t="shared" ca="1" si="332"/>
        <v>38434.640509825265</v>
      </c>
      <c r="C7106">
        <f t="shared" ca="1" si="330"/>
        <v>1565.3594901747347</v>
      </c>
      <c r="D7106">
        <f t="shared" ca="1" si="331"/>
        <v>0</v>
      </c>
    </row>
    <row r="7107" spans="2:4" x14ac:dyDescent="0.25">
      <c r="B7107">
        <f t="shared" ca="1" si="332"/>
        <v>41447.286390914313</v>
      </c>
      <c r="C7107">
        <f t="shared" ca="1" si="330"/>
        <v>0</v>
      </c>
      <c r="D7107">
        <f t="shared" ca="1" si="331"/>
        <v>1447.2863909143125</v>
      </c>
    </row>
    <row r="7108" spans="2:4" x14ac:dyDescent="0.25">
      <c r="B7108">
        <f t="shared" ca="1" si="332"/>
        <v>57265.677033538755</v>
      </c>
      <c r="C7108">
        <f t="shared" ca="1" si="330"/>
        <v>0</v>
      </c>
      <c r="D7108">
        <f t="shared" ca="1" si="331"/>
        <v>17265.677033538755</v>
      </c>
    </row>
    <row r="7109" spans="2:4" x14ac:dyDescent="0.25">
      <c r="B7109">
        <f t="shared" ca="1" si="332"/>
        <v>49065.454383717515</v>
      </c>
      <c r="C7109">
        <f t="shared" ca="1" si="330"/>
        <v>0</v>
      </c>
      <c r="D7109">
        <f t="shared" ca="1" si="331"/>
        <v>9065.4543837175152</v>
      </c>
    </row>
    <row r="7110" spans="2:4" x14ac:dyDescent="0.25">
      <c r="B7110">
        <f t="shared" ca="1" si="332"/>
        <v>41419.125785974509</v>
      </c>
      <c r="C7110">
        <f t="shared" ca="1" si="330"/>
        <v>0</v>
      </c>
      <c r="D7110">
        <f t="shared" ca="1" si="331"/>
        <v>1419.1257859745092</v>
      </c>
    </row>
    <row r="7111" spans="2:4" x14ac:dyDescent="0.25">
      <c r="B7111">
        <f t="shared" ca="1" si="332"/>
        <v>40493.224997401361</v>
      </c>
      <c r="C7111">
        <f t="shared" ca="1" si="330"/>
        <v>0</v>
      </c>
      <c r="D7111">
        <f t="shared" ca="1" si="331"/>
        <v>493.22499740136118</v>
      </c>
    </row>
    <row r="7112" spans="2:4" x14ac:dyDescent="0.25">
      <c r="B7112">
        <f t="shared" ca="1" si="332"/>
        <v>42720.97416397214</v>
      </c>
      <c r="C7112">
        <f t="shared" ca="1" si="330"/>
        <v>0</v>
      </c>
      <c r="D7112">
        <f t="shared" ca="1" si="331"/>
        <v>2720.9741639721396</v>
      </c>
    </row>
    <row r="7113" spans="2:4" x14ac:dyDescent="0.25">
      <c r="B7113">
        <f t="shared" ca="1" si="332"/>
        <v>40412.785719578053</v>
      </c>
      <c r="C7113">
        <f t="shared" ca="1" si="330"/>
        <v>0</v>
      </c>
      <c r="D7113">
        <f t="shared" ca="1" si="331"/>
        <v>412.78571957805252</v>
      </c>
    </row>
    <row r="7114" spans="2:4" x14ac:dyDescent="0.25">
      <c r="B7114">
        <f t="shared" ca="1" si="332"/>
        <v>44688.123147060447</v>
      </c>
      <c r="C7114">
        <f t="shared" ca="1" si="330"/>
        <v>0</v>
      </c>
      <c r="D7114">
        <f t="shared" ca="1" si="331"/>
        <v>4688.1231470604471</v>
      </c>
    </row>
    <row r="7115" spans="2:4" x14ac:dyDescent="0.25">
      <c r="B7115">
        <f t="shared" ca="1" si="332"/>
        <v>39253.794388050468</v>
      </c>
      <c r="C7115">
        <f t="shared" ca="1" si="330"/>
        <v>746.20561194953189</v>
      </c>
      <c r="D7115">
        <f t="shared" ca="1" si="331"/>
        <v>0</v>
      </c>
    </row>
    <row r="7116" spans="2:4" x14ac:dyDescent="0.25">
      <c r="B7116">
        <f t="shared" ca="1" si="332"/>
        <v>49448.28465836445</v>
      </c>
      <c r="C7116">
        <f t="shared" ref="C7116:C7179" ca="1" si="333">IF(MAX($B$2-B7116)&lt;0,0,$B$2-B7116)</f>
        <v>0</v>
      </c>
      <c r="D7116">
        <f t="shared" ref="D7116:D7179" ca="1" si="334">IF(MAX(B7116-$B$2)&lt;0,0,B7116-$B$2)</f>
        <v>9448.2846583644496</v>
      </c>
    </row>
    <row r="7117" spans="2:4" x14ac:dyDescent="0.25">
      <c r="B7117">
        <f t="shared" ref="B7117:B7180" ca="1" si="335">$B$1*EXP((($B$4-($B$3^2)/2)*$B$5+$B$3*SQRT($B$5)*NORMSINV(RAND())))</f>
        <v>50971.940501403362</v>
      </c>
      <c r="C7117">
        <f t="shared" ca="1" si="333"/>
        <v>0</v>
      </c>
      <c r="D7117">
        <f t="shared" ca="1" si="334"/>
        <v>10971.940501403362</v>
      </c>
    </row>
    <row r="7118" spans="2:4" x14ac:dyDescent="0.25">
      <c r="B7118">
        <f t="shared" ca="1" si="335"/>
        <v>47281.426492668077</v>
      </c>
      <c r="C7118">
        <f t="shared" ca="1" si="333"/>
        <v>0</v>
      </c>
      <c r="D7118">
        <f t="shared" ca="1" si="334"/>
        <v>7281.4264926680771</v>
      </c>
    </row>
    <row r="7119" spans="2:4" x14ac:dyDescent="0.25">
      <c r="B7119">
        <f t="shared" ca="1" si="335"/>
        <v>46362.198059916336</v>
      </c>
      <c r="C7119">
        <f t="shared" ca="1" si="333"/>
        <v>0</v>
      </c>
      <c r="D7119">
        <f t="shared" ca="1" si="334"/>
        <v>6362.1980599163362</v>
      </c>
    </row>
    <row r="7120" spans="2:4" x14ac:dyDescent="0.25">
      <c r="B7120">
        <f t="shared" ca="1" si="335"/>
        <v>48907.94225604846</v>
      </c>
      <c r="C7120">
        <f t="shared" ca="1" si="333"/>
        <v>0</v>
      </c>
      <c r="D7120">
        <f t="shared" ca="1" si="334"/>
        <v>8907.94225604846</v>
      </c>
    </row>
    <row r="7121" spans="2:4" x14ac:dyDescent="0.25">
      <c r="B7121">
        <f t="shared" ca="1" si="335"/>
        <v>42845.517554666993</v>
      </c>
      <c r="C7121">
        <f t="shared" ca="1" si="333"/>
        <v>0</v>
      </c>
      <c r="D7121">
        <f t="shared" ca="1" si="334"/>
        <v>2845.5175546669925</v>
      </c>
    </row>
    <row r="7122" spans="2:4" x14ac:dyDescent="0.25">
      <c r="B7122">
        <f t="shared" ca="1" si="335"/>
        <v>52471.662816731077</v>
      </c>
      <c r="C7122">
        <f t="shared" ca="1" si="333"/>
        <v>0</v>
      </c>
      <c r="D7122">
        <f t="shared" ca="1" si="334"/>
        <v>12471.662816731077</v>
      </c>
    </row>
    <row r="7123" spans="2:4" x14ac:dyDescent="0.25">
      <c r="B7123">
        <f t="shared" ca="1" si="335"/>
        <v>44164.017372784845</v>
      </c>
      <c r="C7123">
        <f t="shared" ca="1" si="333"/>
        <v>0</v>
      </c>
      <c r="D7123">
        <f t="shared" ca="1" si="334"/>
        <v>4164.0173727848451</v>
      </c>
    </row>
    <row r="7124" spans="2:4" x14ac:dyDescent="0.25">
      <c r="B7124">
        <f t="shared" ca="1" si="335"/>
        <v>38067.874077669992</v>
      </c>
      <c r="C7124">
        <f t="shared" ca="1" si="333"/>
        <v>1932.1259223300076</v>
      </c>
      <c r="D7124">
        <f t="shared" ca="1" si="334"/>
        <v>0</v>
      </c>
    </row>
    <row r="7125" spans="2:4" x14ac:dyDescent="0.25">
      <c r="B7125">
        <f t="shared" ca="1" si="335"/>
        <v>47735.948837247219</v>
      </c>
      <c r="C7125">
        <f t="shared" ca="1" si="333"/>
        <v>0</v>
      </c>
      <c r="D7125">
        <f t="shared" ca="1" si="334"/>
        <v>7735.9488372472188</v>
      </c>
    </row>
    <row r="7126" spans="2:4" x14ac:dyDescent="0.25">
      <c r="B7126">
        <f t="shared" ca="1" si="335"/>
        <v>50827.090062467039</v>
      </c>
      <c r="C7126">
        <f t="shared" ca="1" si="333"/>
        <v>0</v>
      </c>
      <c r="D7126">
        <f t="shared" ca="1" si="334"/>
        <v>10827.090062467039</v>
      </c>
    </row>
    <row r="7127" spans="2:4" x14ac:dyDescent="0.25">
      <c r="B7127">
        <f t="shared" ca="1" si="335"/>
        <v>41599.729287896815</v>
      </c>
      <c r="C7127">
        <f t="shared" ca="1" si="333"/>
        <v>0</v>
      </c>
      <c r="D7127">
        <f t="shared" ca="1" si="334"/>
        <v>1599.7292878968146</v>
      </c>
    </row>
    <row r="7128" spans="2:4" x14ac:dyDescent="0.25">
      <c r="B7128">
        <f t="shared" ca="1" si="335"/>
        <v>45856.817255118825</v>
      </c>
      <c r="C7128">
        <f t="shared" ca="1" si="333"/>
        <v>0</v>
      </c>
      <c r="D7128">
        <f t="shared" ca="1" si="334"/>
        <v>5856.8172551188254</v>
      </c>
    </row>
    <row r="7129" spans="2:4" x14ac:dyDescent="0.25">
      <c r="B7129">
        <f t="shared" ca="1" si="335"/>
        <v>38516.203458314158</v>
      </c>
      <c r="C7129">
        <f t="shared" ca="1" si="333"/>
        <v>1483.7965416858424</v>
      </c>
      <c r="D7129">
        <f t="shared" ca="1" si="334"/>
        <v>0</v>
      </c>
    </row>
    <row r="7130" spans="2:4" x14ac:dyDescent="0.25">
      <c r="B7130">
        <f t="shared" ca="1" si="335"/>
        <v>42653.314345593302</v>
      </c>
      <c r="C7130">
        <f t="shared" ca="1" si="333"/>
        <v>0</v>
      </c>
      <c r="D7130">
        <f t="shared" ca="1" si="334"/>
        <v>2653.3143455933023</v>
      </c>
    </row>
    <row r="7131" spans="2:4" x14ac:dyDescent="0.25">
      <c r="B7131">
        <f t="shared" ca="1" si="335"/>
        <v>51404.038258499226</v>
      </c>
      <c r="C7131">
        <f t="shared" ca="1" si="333"/>
        <v>0</v>
      </c>
      <c r="D7131">
        <f t="shared" ca="1" si="334"/>
        <v>11404.038258499226</v>
      </c>
    </row>
    <row r="7132" spans="2:4" x14ac:dyDescent="0.25">
      <c r="B7132">
        <f t="shared" ca="1" si="335"/>
        <v>44688.554314346955</v>
      </c>
      <c r="C7132">
        <f t="shared" ca="1" si="333"/>
        <v>0</v>
      </c>
      <c r="D7132">
        <f t="shared" ca="1" si="334"/>
        <v>4688.5543143469549</v>
      </c>
    </row>
    <row r="7133" spans="2:4" x14ac:dyDescent="0.25">
      <c r="B7133">
        <f t="shared" ca="1" si="335"/>
        <v>40838.007976644592</v>
      </c>
      <c r="C7133">
        <f t="shared" ca="1" si="333"/>
        <v>0</v>
      </c>
      <c r="D7133">
        <f t="shared" ca="1" si="334"/>
        <v>838.00797664459242</v>
      </c>
    </row>
    <row r="7134" spans="2:4" x14ac:dyDescent="0.25">
      <c r="B7134">
        <f t="shared" ca="1" si="335"/>
        <v>43578.371845767258</v>
      </c>
      <c r="C7134">
        <f t="shared" ca="1" si="333"/>
        <v>0</v>
      </c>
      <c r="D7134">
        <f t="shared" ca="1" si="334"/>
        <v>3578.3718457672585</v>
      </c>
    </row>
    <row r="7135" spans="2:4" x14ac:dyDescent="0.25">
      <c r="B7135">
        <f t="shared" ca="1" si="335"/>
        <v>51621.135537805007</v>
      </c>
      <c r="C7135">
        <f t="shared" ca="1" si="333"/>
        <v>0</v>
      </c>
      <c r="D7135">
        <f t="shared" ca="1" si="334"/>
        <v>11621.135537805007</v>
      </c>
    </row>
    <row r="7136" spans="2:4" x14ac:dyDescent="0.25">
      <c r="B7136">
        <f t="shared" ca="1" si="335"/>
        <v>47361.193980309457</v>
      </c>
      <c r="C7136">
        <f t="shared" ca="1" si="333"/>
        <v>0</v>
      </c>
      <c r="D7136">
        <f t="shared" ca="1" si="334"/>
        <v>7361.1939803094574</v>
      </c>
    </row>
    <row r="7137" spans="2:4" x14ac:dyDescent="0.25">
      <c r="B7137">
        <f t="shared" ca="1" si="335"/>
        <v>44263.217054000226</v>
      </c>
      <c r="C7137">
        <f t="shared" ca="1" si="333"/>
        <v>0</v>
      </c>
      <c r="D7137">
        <f t="shared" ca="1" si="334"/>
        <v>4263.2170540002262</v>
      </c>
    </row>
    <row r="7138" spans="2:4" x14ac:dyDescent="0.25">
      <c r="B7138">
        <f t="shared" ca="1" si="335"/>
        <v>41044.157296514371</v>
      </c>
      <c r="C7138">
        <f t="shared" ca="1" si="333"/>
        <v>0</v>
      </c>
      <c r="D7138">
        <f t="shared" ca="1" si="334"/>
        <v>1044.1572965143714</v>
      </c>
    </row>
    <row r="7139" spans="2:4" x14ac:dyDescent="0.25">
      <c r="B7139">
        <f t="shared" ca="1" si="335"/>
        <v>46084.247341022055</v>
      </c>
      <c r="C7139">
        <f t="shared" ca="1" si="333"/>
        <v>0</v>
      </c>
      <c r="D7139">
        <f t="shared" ca="1" si="334"/>
        <v>6084.2473410220555</v>
      </c>
    </row>
    <row r="7140" spans="2:4" x14ac:dyDescent="0.25">
      <c r="B7140">
        <f t="shared" ca="1" si="335"/>
        <v>52944.485747599625</v>
      </c>
      <c r="C7140">
        <f t="shared" ca="1" si="333"/>
        <v>0</v>
      </c>
      <c r="D7140">
        <f t="shared" ca="1" si="334"/>
        <v>12944.485747599625</v>
      </c>
    </row>
    <row r="7141" spans="2:4" x14ac:dyDescent="0.25">
      <c r="B7141">
        <f t="shared" ca="1" si="335"/>
        <v>45422.149861034697</v>
      </c>
      <c r="C7141">
        <f t="shared" ca="1" si="333"/>
        <v>0</v>
      </c>
      <c r="D7141">
        <f t="shared" ca="1" si="334"/>
        <v>5422.1498610346971</v>
      </c>
    </row>
    <row r="7142" spans="2:4" x14ac:dyDescent="0.25">
      <c r="B7142">
        <f t="shared" ca="1" si="335"/>
        <v>42893.041247721238</v>
      </c>
      <c r="C7142">
        <f t="shared" ca="1" si="333"/>
        <v>0</v>
      </c>
      <c r="D7142">
        <f t="shared" ca="1" si="334"/>
        <v>2893.0412477212376</v>
      </c>
    </row>
    <row r="7143" spans="2:4" x14ac:dyDescent="0.25">
      <c r="B7143">
        <f t="shared" ca="1" si="335"/>
        <v>44992.306130671808</v>
      </c>
      <c r="C7143">
        <f t="shared" ca="1" si="333"/>
        <v>0</v>
      </c>
      <c r="D7143">
        <f t="shared" ca="1" si="334"/>
        <v>4992.3061306718082</v>
      </c>
    </row>
    <row r="7144" spans="2:4" x14ac:dyDescent="0.25">
      <c r="B7144">
        <f t="shared" ca="1" si="335"/>
        <v>59483.194503917046</v>
      </c>
      <c r="C7144">
        <f t="shared" ca="1" si="333"/>
        <v>0</v>
      </c>
      <c r="D7144">
        <f t="shared" ca="1" si="334"/>
        <v>19483.194503917046</v>
      </c>
    </row>
    <row r="7145" spans="2:4" x14ac:dyDescent="0.25">
      <c r="B7145">
        <f t="shared" ca="1" si="335"/>
        <v>44006.266891225903</v>
      </c>
      <c r="C7145">
        <f t="shared" ca="1" si="333"/>
        <v>0</v>
      </c>
      <c r="D7145">
        <f t="shared" ca="1" si="334"/>
        <v>4006.2668912259032</v>
      </c>
    </row>
    <row r="7146" spans="2:4" x14ac:dyDescent="0.25">
      <c r="B7146">
        <f t="shared" ca="1" si="335"/>
        <v>47101.678482787043</v>
      </c>
      <c r="C7146">
        <f t="shared" ca="1" si="333"/>
        <v>0</v>
      </c>
      <c r="D7146">
        <f t="shared" ca="1" si="334"/>
        <v>7101.6784827870433</v>
      </c>
    </row>
    <row r="7147" spans="2:4" x14ac:dyDescent="0.25">
      <c r="B7147">
        <f t="shared" ca="1" si="335"/>
        <v>44758.77308295574</v>
      </c>
      <c r="C7147">
        <f t="shared" ca="1" si="333"/>
        <v>0</v>
      </c>
      <c r="D7147">
        <f t="shared" ca="1" si="334"/>
        <v>4758.7730829557404</v>
      </c>
    </row>
    <row r="7148" spans="2:4" x14ac:dyDescent="0.25">
      <c r="B7148">
        <f t="shared" ca="1" si="335"/>
        <v>47924.186248399361</v>
      </c>
      <c r="C7148">
        <f t="shared" ca="1" si="333"/>
        <v>0</v>
      </c>
      <c r="D7148">
        <f t="shared" ca="1" si="334"/>
        <v>7924.1862483993609</v>
      </c>
    </row>
    <row r="7149" spans="2:4" x14ac:dyDescent="0.25">
      <c r="B7149">
        <f t="shared" ca="1" si="335"/>
        <v>41426.241726834931</v>
      </c>
      <c r="C7149">
        <f t="shared" ca="1" si="333"/>
        <v>0</v>
      </c>
      <c r="D7149">
        <f t="shared" ca="1" si="334"/>
        <v>1426.2417268349309</v>
      </c>
    </row>
    <row r="7150" spans="2:4" x14ac:dyDescent="0.25">
      <c r="B7150">
        <f t="shared" ca="1" si="335"/>
        <v>45652.801743895521</v>
      </c>
      <c r="C7150">
        <f t="shared" ca="1" si="333"/>
        <v>0</v>
      </c>
      <c r="D7150">
        <f t="shared" ca="1" si="334"/>
        <v>5652.8017438955212</v>
      </c>
    </row>
    <row r="7151" spans="2:4" x14ac:dyDescent="0.25">
      <c r="B7151">
        <f t="shared" ca="1" si="335"/>
        <v>43643.183110196675</v>
      </c>
      <c r="C7151">
        <f t="shared" ca="1" si="333"/>
        <v>0</v>
      </c>
      <c r="D7151">
        <f t="shared" ca="1" si="334"/>
        <v>3643.1831101966745</v>
      </c>
    </row>
    <row r="7152" spans="2:4" x14ac:dyDescent="0.25">
      <c r="B7152">
        <f t="shared" ca="1" si="335"/>
        <v>49416.60245265728</v>
      </c>
      <c r="C7152">
        <f t="shared" ca="1" si="333"/>
        <v>0</v>
      </c>
      <c r="D7152">
        <f t="shared" ca="1" si="334"/>
        <v>9416.6024526572801</v>
      </c>
    </row>
    <row r="7153" spans="2:4" x14ac:dyDescent="0.25">
      <c r="B7153">
        <f t="shared" ca="1" si="335"/>
        <v>43805.415788278544</v>
      </c>
      <c r="C7153">
        <f t="shared" ca="1" si="333"/>
        <v>0</v>
      </c>
      <c r="D7153">
        <f t="shared" ca="1" si="334"/>
        <v>3805.4157882785439</v>
      </c>
    </row>
    <row r="7154" spans="2:4" x14ac:dyDescent="0.25">
      <c r="B7154">
        <f t="shared" ca="1" si="335"/>
        <v>49759.493121796404</v>
      </c>
      <c r="C7154">
        <f t="shared" ca="1" si="333"/>
        <v>0</v>
      </c>
      <c r="D7154">
        <f t="shared" ca="1" si="334"/>
        <v>9759.493121796404</v>
      </c>
    </row>
    <row r="7155" spans="2:4" x14ac:dyDescent="0.25">
      <c r="B7155">
        <f t="shared" ca="1" si="335"/>
        <v>44933.175294820903</v>
      </c>
      <c r="C7155">
        <f t="shared" ca="1" si="333"/>
        <v>0</v>
      </c>
      <c r="D7155">
        <f t="shared" ca="1" si="334"/>
        <v>4933.1752948209032</v>
      </c>
    </row>
    <row r="7156" spans="2:4" x14ac:dyDescent="0.25">
      <c r="B7156">
        <f t="shared" ca="1" si="335"/>
        <v>51241.775084418492</v>
      </c>
      <c r="C7156">
        <f t="shared" ca="1" si="333"/>
        <v>0</v>
      </c>
      <c r="D7156">
        <f t="shared" ca="1" si="334"/>
        <v>11241.775084418492</v>
      </c>
    </row>
    <row r="7157" spans="2:4" x14ac:dyDescent="0.25">
      <c r="B7157">
        <f t="shared" ca="1" si="335"/>
        <v>38154.635034282801</v>
      </c>
      <c r="C7157">
        <f t="shared" ca="1" si="333"/>
        <v>1845.3649657171991</v>
      </c>
      <c r="D7157">
        <f t="shared" ca="1" si="334"/>
        <v>0</v>
      </c>
    </row>
    <row r="7158" spans="2:4" x14ac:dyDescent="0.25">
      <c r="B7158">
        <f t="shared" ca="1" si="335"/>
        <v>43879.39934117924</v>
      </c>
      <c r="C7158">
        <f t="shared" ca="1" si="333"/>
        <v>0</v>
      </c>
      <c r="D7158">
        <f t="shared" ca="1" si="334"/>
        <v>3879.3993411792399</v>
      </c>
    </row>
    <row r="7159" spans="2:4" x14ac:dyDescent="0.25">
      <c r="B7159">
        <f t="shared" ca="1" si="335"/>
        <v>48151.473197294254</v>
      </c>
      <c r="C7159">
        <f t="shared" ca="1" si="333"/>
        <v>0</v>
      </c>
      <c r="D7159">
        <f t="shared" ca="1" si="334"/>
        <v>8151.4731972942536</v>
      </c>
    </row>
    <row r="7160" spans="2:4" x14ac:dyDescent="0.25">
      <c r="B7160">
        <f t="shared" ca="1" si="335"/>
        <v>45885.622715289384</v>
      </c>
      <c r="C7160">
        <f t="shared" ca="1" si="333"/>
        <v>0</v>
      </c>
      <c r="D7160">
        <f t="shared" ca="1" si="334"/>
        <v>5885.6227152893844</v>
      </c>
    </row>
    <row r="7161" spans="2:4" x14ac:dyDescent="0.25">
      <c r="B7161">
        <f t="shared" ca="1" si="335"/>
        <v>46628.652160282305</v>
      </c>
      <c r="C7161">
        <f t="shared" ca="1" si="333"/>
        <v>0</v>
      </c>
      <c r="D7161">
        <f t="shared" ca="1" si="334"/>
        <v>6628.652160282305</v>
      </c>
    </row>
    <row r="7162" spans="2:4" x14ac:dyDescent="0.25">
      <c r="B7162">
        <f t="shared" ca="1" si="335"/>
        <v>42954.068066129505</v>
      </c>
      <c r="C7162">
        <f t="shared" ca="1" si="333"/>
        <v>0</v>
      </c>
      <c r="D7162">
        <f t="shared" ca="1" si="334"/>
        <v>2954.0680661295046</v>
      </c>
    </row>
    <row r="7163" spans="2:4" x14ac:dyDescent="0.25">
      <c r="B7163">
        <f t="shared" ca="1" si="335"/>
        <v>49336.417352866432</v>
      </c>
      <c r="C7163">
        <f t="shared" ca="1" si="333"/>
        <v>0</v>
      </c>
      <c r="D7163">
        <f t="shared" ca="1" si="334"/>
        <v>9336.4173528664323</v>
      </c>
    </row>
    <row r="7164" spans="2:4" x14ac:dyDescent="0.25">
      <c r="B7164">
        <f t="shared" ca="1" si="335"/>
        <v>44448.405283524822</v>
      </c>
      <c r="C7164">
        <f t="shared" ca="1" si="333"/>
        <v>0</v>
      </c>
      <c r="D7164">
        <f t="shared" ca="1" si="334"/>
        <v>4448.4052835248222</v>
      </c>
    </row>
    <row r="7165" spans="2:4" x14ac:dyDescent="0.25">
      <c r="B7165">
        <f t="shared" ca="1" si="335"/>
        <v>43623.376029320556</v>
      </c>
      <c r="C7165">
        <f t="shared" ca="1" si="333"/>
        <v>0</v>
      </c>
      <c r="D7165">
        <f t="shared" ca="1" si="334"/>
        <v>3623.376029320556</v>
      </c>
    </row>
    <row r="7166" spans="2:4" x14ac:dyDescent="0.25">
      <c r="B7166">
        <f t="shared" ca="1" si="335"/>
        <v>36744.311750422487</v>
      </c>
      <c r="C7166">
        <f t="shared" ca="1" si="333"/>
        <v>3255.6882495775135</v>
      </c>
      <c r="D7166">
        <f t="shared" ca="1" si="334"/>
        <v>0</v>
      </c>
    </row>
    <row r="7167" spans="2:4" x14ac:dyDescent="0.25">
      <c r="B7167">
        <f t="shared" ca="1" si="335"/>
        <v>47069.442991880627</v>
      </c>
      <c r="C7167">
        <f t="shared" ca="1" si="333"/>
        <v>0</v>
      </c>
      <c r="D7167">
        <f t="shared" ca="1" si="334"/>
        <v>7069.4429918806272</v>
      </c>
    </row>
    <row r="7168" spans="2:4" x14ac:dyDescent="0.25">
      <c r="B7168">
        <f t="shared" ca="1" si="335"/>
        <v>39901.740304947365</v>
      </c>
      <c r="C7168">
        <f t="shared" ca="1" si="333"/>
        <v>98.259695052634925</v>
      </c>
      <c r="D7168">
        <f t="shared" ca="1" si="334"/>
        <v>0</v>
      </c>
    </row>
    <row r="7169" spans="2:4" x14ac:dyDescent="0.25">
      <c r="B7169">
        <f t="shared" ca="1" si="335"/>
        <v>50368.216869264543</v>
      </c>
      <c r="C7169">
        <f t="shared" ca="1" si="333"/>
        <v>0</v>
      </c>
      <c r="D7169">
        <f t="shared" ca="1" si="334"/>
        <v>10368.216869264543</v>
      </c>
    </row>
    <row r="7170" spans="2:4" x14ac:dyDescent="0.25">
      <c r="B7170">
        <f t="shared" ca="1" si="335"/>
        <v>48937.356349037989</v>
      </c>
      <c r="C7170">
        <f t="shared" ca="1" si="333"/>
        <v>0</v>
      </c>
      <c r="D7170">
        <f t="shared" ca="1" si="334"/>
        <v>8937.3563490379893</v>
      </c>
    </row>
    <row r="7171" spans="2:4" x14ac:dyDescent="0.25">
      <c r="B7171">
        <f t="shared" ca="1" si="335"/>
        <v>44371.695269301774</v>
      </c>
      <c r="C7171">
        <f t="shared" ca="1" si="333"/>
        <v>0</v>
      </c>
      <c r="D7171">
        <f t="shared" ca="1" si="334"/>
        <v>4371.6952693017738</v>
      </c>
    </row>
    <row r="7172" spans="2:4" x14ac:dyDescent="0.25">
      <c r="B7172">
        <f t="shared" ca="1" si="335"/>
        <v>45322.500782307841</v>
      </c>
      <c r="C7172">
        <f t="shared" ca="1" si="333"/>
        <v>0</v>
      </c>
      <c r="D7172">
        <f t="shared" ca="1" si="334"/>
        <v>5322.5007823078413</v>
      </c>
    </row>
    <row r="7173" spans="2:4" x14ac:dyDescent="0.25">
      <c r="B7173">
        <f t="shared" ca="1" si="335"/>
        <v>41780.895241078062</v>
      </c>
      <c r="C7173">
        <f t="shared" ca="1" si="333"/>
        <v>0</v>
      </c>
      <c r="D7173">
        <f t="shared" ca="1" si="334"/>
        <v>1780.8952410780621</v>
      </c>
    </row>
    <row r="7174" spans="2:4" x14ac:dyDescent="0.25">
      <c r="B7174">
        <f t="shared" ca="1" si="335"/>
        <v>39623.943364645027</v>
      </c>
      <c r="C7174">
        <f t="shared" ca="1" si="333"/>
        <v>376.05663535497297</v>
      </c>
      <c r="D7174">
        <f t="shared" ca="1" si="334"/>
        <v>0</v>
      </c>
    </row>
    <row r="7175" spans="2:4" x14ac:dyDescent="0.25">
      <c r="B7175">
        <f t="shared" ca="1" si="335"/>
        <v>45659.821908639846</v>
      </c>
      <c r="C7175">
        <f t="shared" ca="1" si="333"/>
        <v>0</v>
      </c>
      <c r="D7175">
        <f t="shared" ca="1" si="334"/>
        <v>5659.8219086398458</v>
      </c>
    </row>
    <row r="7176" spans="2:4" x14ac:dyDescent="0.25">
      <c r="B7176">
        <f t="shared" ca="1" si="335"/>
        <v>42114.210228544136</v>
      </c>
      <c r="C7176">
        <f t="shared" ca="1" si="333"/>
        <v>0</v>
      </c>
      <c r="D7176">
        <f t="shared" ca="1" si="334"/>
        <v>2114.210228544136</v>
      </c>
    </row>
    <row r="7177" spans="2:4" x14ac:dyDescent="0.25">
      <c r="B7177">
        <f t="shared" ca="1" si="335"/>
        <v>43883.292947621783</v>
      </c>
      <c r="C7177">
        <f t="shared" ca="1" si="333"/>
        <v>0</v>
      </c>
      <c r="D7177">
        <f t="shared" ca="1" si="334"/>
        <v>3883.2929476217832</v>
      </c>
    </row>
    <row r="7178" spans="2:4" x14ac:dyDescent="0.25">
      <c r="B7178">
        <f t="shared" ca="1" si="335"/>
        <v>42761.336752856943</v>
      </c>
      <c r="C7178">
        <f t="shared" ca="1" si="333"/>
        <v>0</v>
      </c>
      <c r="D7178">
        <f t="shared" ca="1" si="334"/>
        <v>2761.3367528569433</v>
      </c>
    </row>
    <row r="7179" spans="2:4" x14ac:dyDescent="0.25">
      <c r="B7179">
        <f t="shared" ca="1" si="335"/>
        <v>42689.358936920857</v>
      </c>
      <c r="C7179">
        <f t="shared" ca="1" si="333"/>
        <v>0</v>
      </c>
      <c r="D7179">
        <f t="shared" ca="1" si="334"/>
        <v>2689.3589369208566</v>
      </c>
    </row>
    <row r="7180" spans="2:4" x14ac:dyDescent="0.25">
      <c r="B7180">
        <f t="shared" ca="1" si="335"/>
        <v>45251.913281905217</v>
      </c>
      <c r="C7180">
        <f t="shared" ref="C7180:C7243" ca="1" si="336">IF(MAX($B$2-B7180)&lt;0,0,$B$2-B7180)</f>
        <v>0</v>
      </c>
      <c r="D7180">
        <f t="shared" ref="D7180:D7243" ca="1" si="337">IF(MAX(B7180-$B$2)&lt;0,0,B7180-$B$2)</f>
        <v>5251.9132819052174</v>
      </c>
    </row>
    <row r="7181" spans="2:4" x14ac:dyDescent="0.25">
      <c r="B7181">
        <f t="shared" ref="B7181:B7244" ca="1" si="338">$B$1*EXP((($B$4-($B$3^2)/2)*$B$5+$B$3*SQRT($B$5)*NORMSINV(RAND())))</f>
        <v>43759.523966709887</v>
      </c>
      <c r="C7181">
        <f t="shared" ca="1" si="336"/>
        <v>0</v>
      </c>
      <c r="D7181">
        <f t="shared" ca="1" si="337"/>
        <v>3759.5239667098867</v>
      </c>
    </row>
    <row r="7182" spans="2:4" x14ac:dyDescent="0.25">
      <c r="B7182">
        <f t="shared" ca="1" si="338"/>
        <v>42635.343153142021</v>
      </c>
      <c r="C7182">
        <f t="shared" ca="1" si="336"/>
        <v>0</v>
      </c>
      <c r="D7182">
        <f t="shared" ca="1" si="337"/>
        <v>2635.343153142021</v>
      </c>
    </row>
    <row r="7183" spans="2:4" x14ac:dyDescent="0.25">
      <c r="B7183">
        <f t="shared" ca="1" si="338"/>
        <v>47399.08471122216</v>
      </c>
      <c r="C7183">
        <f t="shared" ca="1" si="336"/>
        <v>0</v>
      </c>
      <c r="D7183">
        <f t="shared" ca="1" si="337"/>
        <v>7399.08471122216</v>
      </c>
    </row>
    <row r="7184" spans="2:4" x14ac:dyDescent="0.25">
      <c r="B7184">
        <f t="shared" ca="1" si="338"/>
        <v>34735.471855242125</v>
      </c>
      <c r="C7184">
        <f t="shared" ca="1" si="336"/>
        <v>5264.5281447578745</v>
      </c>
      <c r="D7184">
        <f t="shared" ca="1" si="337"/>
        <v>0</v>
      </c>
    </row>
    <row r="7185" spans="2:4" x14ac:dyDescent="0.25">
      <c r="B7185">
        <f t="shared" ca="1" si="338"/>
        <v>46965.326220573013</v>
      </c>
      <c r="C7185">
        <f t="shared" ca="1" si="336"/>
        <v>0</v>
      </c>
      <c r="D7185">
        <f t="shared" ca="1" si="337"/>
        <v>6965.3262205730134</v>
      </c>
    </row>
    <row r="7186" spans="2:4" x14ac:dyDescent="0.25">
      <c r="B7186">
        <f t="shared" ca="1" si="338"/>
        <v>54288.824575323786</v>
      </c>
      <c r="C7186">
        <f t="shared" ca="1" si="336"/>
        <v>0</v>
      </c>
      <c r="D7186">
        <f t="shared" ca="1" si="337"/>
        <v>14288.824575323786</v>
      </c>
    </row>
    <row r="7187" spans="2:4" x14ac:dyDescent="0.25">
      <c r="B7187">
        <f t="shared" ca="1" si="338"/>
        <v>40152.981910722468</v>
      </c>
      <c r="C7187">
        <f t="shared" ca="1" si="336"/>
        <v>0</v>
      </c>
      <c r="D7187">
        <f t="shared" ca="1" si="337"/>
        <v>152.98191072246846</v>
      </c>
    </row>
    <row r="7188" spans="2:4" x14ac:dyDescent="0.25">
      <c r="B7188">
        <f t="shared" ca="1" si="338"/>
        <v>39189.876975831328</v>
      </c>
      <c r="C7188">
        <f t="shared" ca="1" si="336"/>
        <v>810.12302416867169</v>
      </c>
      <c r="D7188">
        <f t="shared" ca="1" si="337"/>
        <v>0</v>
      </c>
    </row>
    <row r="7189" spans="2:4" x14ac:dyDescent="0.25">
      <c r="B7189">
        <f t="shared" ca="1" si="338"/>
        <v>41203.379443524609</v>
      </c>
      <c r="C7189">
        <f t="shared" ca="1" si="336"/>
        <v>0</v>
      </c>
      <c r="D7189">
        <f t="shared" ca="1" si="337"/>
        <v>1203.3794435246091</v>
      </c>
    </row>
    <row r="7190" spans="2:4" x14ac:dyDescent="0.25">
      <c r="B7190">
        <f t="shared" ca="1" si="338"/>
        <v>45443.469563769475</v>
      </c>
      <c r="C7190">
        <f t="shared" ca="1" si="336"/>
        <v>0</v>
      </c>
      <c r="D7190">
        <f t="shared" ca="1" si="337"/>
        <v>5443.4695637694749</v>
      </c>
    </row>
    <row r="7191" spans="2:4" x14ac:dyDescent="0.25">
      <c r="B7191">
        <f t="shared" ca="1" si="338"/>
        <v>50774.947086232409</v>
      </c>
      <c r="C7191">
        <f t="shared" ca="1" si="336"/>
        <v>0</v>
      </c>
      <c r="D7191">
        <f t="shared" ca="1" si="337"/>
        <v>10774.947086232409</v>
      </c>
    </row>
    <row r="7192" spans="2:4" x14ac:dyDescent="0.25">
      <c r="B7192">
        <f t="shared" ca="1" si="338"/>
        <v>42994.564872777752</v>
      </c>
      <c r="C7192">
        <f t="shared" ca="1" si="336"/>
        <v>0</v>
      </c>
      <c r="D7192">
        <f t="shared" ca="1" si="337"/>
        <v>2994.5648727777516</v>
      </c>
    </row>
    <row r="7193" spans="2:4" x14ac:dyDescent="0.25">
      <c r="B7193">
        <f t="shared" ca="1" si="338"/>
        <v>42677.539827119515</v>
      </c>
      <c r="C7193">
        <f t="shared" ca="1" si="336"/>
        <v>0</v>
      </c>
      <c r="D7193">
        <f t="shared" ca="1" si="337"/>
        <v>2677.5398271195154</v>
      </c>
    </row>
    <row r="7194" spans="2:4" x14ac:dyDescent="0.25">
      <c r="B7194">
        <f t="shared" ca="1" si="338"/>
        <v>46182.354495153617</v>
      </c>
      <c r="C7194">
        <f t="shared" ca="1" si="336"/>
        <v>0</v>
      </c>
      <c r="D7194">
        <f t="shared" ca="1" si="337"/>
        <v>6182.3544951536169</v>
      </c>
    </row>
    <row r="7195" spans="2:4" x14ac:dyDescent="0.25">
      <c r="B7195">
        <f t="shared" ca="1" si="338"/>
        <v>42209.288428046042</v>
      </c>
      <c r="C7195">
        <f t="shared" ca="1" si="336"/>
        <v>0</v>
      </c>
      <c r="D7195">
        <f t="shared" ca="1" si="337"/>
        <v>2209.2884280460421</v>
      </c>
    </row>
    <row r="7196" spans="2:4" x14ac:dyDescent="0.25">
      <c r="B7196">
        <f t="shared" ca="1" si="338"/>
        <v>41779.024340798896</v>
      </c>
      <c r="C7196">
        <f t="shared" ca="1" si="336"/>
        <v>0</v>
      </c>
      <c r="D7196">
        <f t="shared" ca="1" si="337"/>
        <v>1779.0243407988964</v>
      </c>
    </row>
    <row r="7197" spans="2:4" x14ac:dyDescent="0.25">
      <c r="B7197">
        <f t="shared" ca="1" si="338"/>
        <v>41925.738968700171</v>
      </c>
      <c r="C7197">
        <f t="shared" ca="1" si="336"/>
        <v>0</v>
      </c>
      <c r="D7197">
        <f t="shared" ca="1" si="337"/>
        <v>1925.7389687001705</v>
      </c>
    </row>
    <row r="7198" spans="2:4" x14ac:dyDescent="0.25">
      <c r="B7198">
        <f t="shared" ca="1" si="338"/>
        <v>47495.609881315933</v>
      </c>
      <c r="C7198">
        <f t="shared" ca="1" si="336"/>
        <v>0</v>
      </c>
      <c r="D7198">
        <f t="shared" ca="1" si="337"/>
        <v>7495.6098813159333</v>
      </c>
    </row>
    <row r="7199" spans="2:4" x14ac:dyDescent="0.25">
      <c r="B7199">
        <f t="shared" ca="1" si="338"/>
        <v>46316.390044948006</v>
      </c>
      <c r="C7199">
        <f t="shared" ca="1" si="336"/>
        <v>0</v>
      </c>
      <c r="D7199">
        <f t="shared" ca="1" si="337"/>
        <v>6316.3900449480061</v>
      </c>
    </row>
    <row r="7200" spans="2:4" x14ac:dyDescent="0.25">
      <c r="B7200">
        <f t="shared" ca="1" si="338"/>
        <v>40353.562401950781</v>
      </c>
      <c r="C7200">
        <f t="shared" ca="1" si="336"/>
        <v>0</v>
      </c>
      <c r="D7200">
        <f t="shared" ca="1" si="337"/>
        <v>353.56240195078135</v>
      </c>
    </row>
    <row r="7201" spans="2:4" x14ac:dyDescent="0.25">
      <c r="B7201">
        <f t="shared" ca="1" si="338"/>
        <v>43018.873517705062</v>
      </c>
      <c r="C7201">
        <f t="shared" ca="1" si="336"/>
        <v>0</v>
      </c>
      <c r="D7201">
        <f t="shared" ca="1" si="337"/>
        <v>3018.8735177050621</v>
      </c>
    </row>
    <row r="7202" spans="2:4" x14ac:dyDescent="0.25">
      <c r="B7202">
        <f t="shared" ca="1" si="338"/>
        <v>37858.927902048992</v>
      </c>
      <c r="C7202">
        <f t="shared" ca="1" si="336"/>
        <v>2141.0720979510079</v>
      </c>
      <c r="D7202">
        <f t="shared" ca="1" si="337"/>
        <v>0</v>
      </c>
    </row>
    <row r="7203" spans="2:4" x14ac:dyDescent="0.25">
      <c r="B7203">
        <f t="shared" ca="1" si="338"/>
        <v>42017.383608203956</v>
      </c>
      <c r="C7203">
        <f t="shared" ca="1" si="336"/>
        <v>0</v>
      </c>
      <c r="D7203">
        <f t="shared" ca="1" si="337"/>
        <v>2017.3836082039561</v>
      </c>
    </row>
    <row r="7204" spans="2:4" x14ac:dyDescent="0.25">
      <c r="B7204">
        <f t="shared" ca="1" si="338"/>
        <v>45641.8862641983</v>
      </c>
      <c r="C7204">
        <f t="shared" ca="1" si="336"/>
        <v>0</v>
      </c>
      <c r="D7204">
        <f t="shared" ca="1" si="337"/>
        <v>5641.8862641982996</v>
      </c>
    </row>
    <row r="7205" spans="2:4" x14ac:dyDescent="0.25">
      <c r="B7205">
        <f t="shared" ca="1" si="338"/>
        <v>39693.246679784097</v>
      </c>
      <c r="C7205">
        <f t="shared" ca="1" si="336"/>
        <v>306.75332021590293</v>
      </c>
      <c r="D7205">
        <f t="shared" ca="1" si="337"/>
        <v>0</v>
      </c>
    </row>
    <row r="7206" spans="2:4" x14ac:dyDescent="0.25">
      <c r="B7206">
        <f t="shared" ca="1" si="338"/>
        <v>45978.74542418788</v>
      </c>
      <c r="C7206">
        <f t="shared" ca="1" si="336"/>
        <v>0</v>
      </c>
      <c r="D7206">
        <f t="shared" ca="1" si="337"/>
        <v>5978.7454241878804</v>
      </c>
    </row>
    <row r="7207" spans="2:4" x14ac:dyDescent="0.25">
      <c r="B7207">
        <f t="shared" ca="1" si="338"/>
        <v>44504.603694815931</v>
      </c>
      <c r="C7207">
        <f t="shared" ca="1" si="336"/>
        <v>0</v>
      </c>
      <c r="D7207">
        <f t="shared" ca="1" si="337"/>
        <v>4504.6036948159308</v>
      </c>
    </row>
    <row r="7208" spans="2:4" x14ac:dyDescent="0.25">
      <c r="B7208">
        <f t="shared" ca="1" si="338"/>
        <v>38931.654918544715</v>
      </c>
      <c r="C7208">
        <f t="shared" ca="1" si="336"/>
        <v>1068.3450814552853</v>
      </c>
      <c r="D7208">
        <f t="shared" ca="1" si="337"/>
        <v>0</v>
      </c>
    </row>
    <row r="7209" spans="2:4" x14ac:dyDescent="0.25">
      <c r="B7209">
        <f t="shared" ca="1" si="338"/>
        <v>52729.223145694639</v>
      </c>
      <c r="C7209">
        <f t="shared" ca="1" si="336"/>
        <v>0</v>
      </c>
      <c r="D7209">
        <f t="shared" ca="1" si="337"/>
        <v>12729.223145694639</v>
      </c>
    </row>
    <row r="7210" spans="2:4" x14ac:dyDescent="0.25">
      <c r="B7210">
        <f t="shared" ca="1" si="338"/>
        <v>46024.763839762396</v>
      </c>
      <c r="C7210">
        <f t="shared" ca="1" si="336"/>
        <v>0</v>
      </c>
      <c r="D7210">
        <f t="shared" ca="1" si="337"/>
        <v>6024.7638397623959</v>
      </c>
    </row>
    <row r="7211" spans="2:4" x14ac:dyDescent="0.25">
      <c r="B7211">
        <f t="shared" ca="1" si="338"/>
        <v>49557.372018325703</v>
      </c>
      <c r="C7211">
        <f t="shared" ca="1" si="336"/>
        <v>0</v>
      </c>
      <c r="D7211">
        <f t="shared" ca="1" si="337"/>
        <v>9557.3720183257028</v>
      </c>
    </row>
    <row r="7212" spans="2:4" x14ac:dyDescent="0.25">
      <c r="B7212">
        <f t="shared" ca="1" si="338"/>
        <v>40873.795387209444</v>
      </c>
      <c r="C7212">
        <f t="shared" ca="1" si="336"/>
        <v>0</v>
      </c>
      <c r="D7212">
        <f t="shared" ca="1" si="337"/>
        <v>873.79538720944402</v>
      </c>
    </row>
    <row r="7213" spans="2:4" x14ac:dyDescent="0.25">
      <c r="B7213">
        <f t="shared" ca="1" si="338"/>
        <v>46372.962418927833</v>
      </c>
      <c r="C7213">
        <f t="shared" ca="1" si="336"/>
        <v>0</v>
      </c>
      <c r="D7213">
        <f t="shared" ca="1" si="337"/>
        <v>6372.9624189278329</v>
      </c>
    </row>
    <row r="7214" spans="2:4" x14ac:dyDescent="0.25">
      <c r="B7214">
        <f t="shared" ca="1" si="338"/>
        <v>47095.299906534106</v>
      </c>
      <c r="C7214">
        <f t="shared" ca="1" si="336"/>
        <v>0</v>
      </c>
      <c r="D7214">
        <f t="shared" ca="1" si="337"/>
        <v>7095.2999065341064</v>
      </c>
    </row>
    <row r="7215" spans="2:4" x14ac:dyDescent="0.25">
      <c r="B7215">
        <f t="shared" ca="1" si="338"/>
        <v>44652.617474641826</v>
      </c>
      <c r="C7215">
        <f t="shared" ca="1" si="336"/>
        <v>0</v>
      </c>
      <c r="D7215">
        <f t="shared" ca="1" si="337"/>
        <v>4652.6174746418255</v>
      </c>
    </row>
    <row r="7216" spans="2:4" x14ac:dyDescent="0.25">
      <c r="B7216">
        <f t="shared" ca="1" si="338"/>
        <v>53237.218020400149</v>
      </c>
      <c r="C7216">
        <f t="shared" ca="1" si="336"/>
        <v>0</v>
      </c>
      <c r="D7216">
        <f t="shared" ca="1" si="337"/>
        <v>13237.218020400149</v>
      </c>
    </row>
    <row r="7217" spans="2:4" x14ac:dyDescent="0.25">
      <c r="B7217">
        <f t="shared" ca="1" si="338"/>
        <v>42522.082864113647</v>
      </c>
      <c r="C7217">
        <f t="shared" ca="1" si="336"/>
        <v>0</v>
      </c>
      <c r="D7217">
        <f t="shared" ca="1" si="337"/>
        <v>2522.0828641136468</v>
      </c>
    </row>
    <row r="7218" spans="2:4" x14ac:dyDescent="0.25">
      <c r="B7218">
        <f t="shared" ca="1" si="338"/>
        <v>40517.298592445601</v>
      </c>
      <c r="C7218">
        <f t="shared" ca="1" si="336"/>
        <v>0</v>
      </c>
      <c r="D7218">
        <f t="shared" ca="1" si="337"/>
        <v>517.29859244560066</v>
      </c>
    </row>
    <row r="7219" spans="2:4" x14ac:dyDescent="0.25">
      <c r="B7219">
        <f t="shared" ca="1" si="338"/>
        <v>43701.183624694102</v>
      </c>
      <c r="C7219">
        <f t="shared" ca="1" si="336"/>
        <v>0</v>
      </c>
      <c r="D7219">
        <f t="shared" ca="1" si="337"/>
        <v>3701.183624694102</v>
      </c>
    </row>
    <row r="7220" spans="2:4" x14ac:dyDescent="0.25">
      <c r="B7220">
        <f t="shared" ca="1" si="338"/>
        <v>43409.879970845308</v>
      </c>
      <c r="C7220">
        <f t="shared" ca="1" si="336"/>
        <v>0</v>
      </c>
      <c r="D7220">
        <f t="shared" ca="1" si="337"/>
        <v>3409.879970845308</v>
      </c>
    </row>
    <row r="7221" spans="2:4" x14ac:dyDescent="0.25">
      <c r="B7221">
        <f t="shared" ca="1" si="338"/>
        <v>48851.651252048512</v>
      </c>
      <c r="C7221">
        <f t="shared" ca="1" si="336"/>
        <v>0</v>
      </c>
      <c r="D7221">
        <f t="shared" ca="1" si="337"/>
        <v>8851.6512520485121</v>
      </c>
    </row>
    <row r="7222" spans="2:4" x14ac:dyDescent="0.25">
      <c r="B7222">
        <f t="shared" ca="1" si="338"/>
        <v>50199.219839202364</v>
      </c>
      <c r="C7222">
        <f t="shared" ca="1" si="336"/>
        <v>0</v>
      </c>
      <c r="D7222">
        <f t="shared" ca="1" si="337"/>
        <v>10199.219839202364</v>
      </c>
    </row>
    <row r="7223" spans="2:4" x14ac:dyDescent="0.25">
      <c r="B7223">
        <f t="shared" ca="1" si="338"/>
        <v>46249.044820935895</v>
      </c>
      <c r="C7223">
        <f t="shared" ca="1" si="336"/>
        <v>0</v>
      </c>
      <c r="D7223">
        <f t="shared" ca="1" si="337"/>
        <v>6249.0448209358947</v>
      </c>
    </row>
    <row r="7224" spans="2:4" x14ac:dyDescent="0.25">
      <c r="B7224">
        <f t="shared" ca="1" si="338"/>
        <v>48678.41754482004</v>
      </c>
      <c r="C7224">
        <f t="shared" ca="1" si="336"/>
        <v>0</v>
      </c>
      <c r="D7224">
        <f t="shared" ca="1" si="337"/>
        <v>8678.4175448200403</v>
      </c>
    </row>
    <row r="7225" spans="2:4" x14ac:dyDescent="0.25">
      <c r="B7225">
        <f t="shared" ca="1" si="338"/>
        <v>49911.557426487088</v>
      </c>
      <c r="C7225">
        <f t="shared" ca="1" si="336"/>
        <v>0</v>
      </c>
      <c r="D7225">
        <f t="shared" ca="1" si="337"/>
        <v>9911.5574264870884</v>
      </c>
    </row>
    <row r="7226" spans="2:4" x14ac:dyDescent="0.25">
      <c r="B7226">
        <f t="shared" ca="1" si="338"/>
        <v>49927.644551496705</v>
      </c>
      <c r="C7226">
        <f t="shared" ca="1" si="336"/>
        <v>0</v>
      </c>
      <c r="D7226">
        <f t="shared" ca="1" si="337"/>
        <v>9927.6445514967054</v>
      </c>
    </row>
    <row r="7227" spans="2:4" x14ac:dyDescent="0.25">
      <c r="B7227">
        <f t="shared" ca="1" si="338"/>
        <v>41787.46157769698</v>
      </c>
      <c r="C7227">
        <f t="shared" ca="1" si="336"/>
        <v>0</v>
      </c>
      <c r="D7227">
        <f t="shared" ca="1" si="337"/>
        <v>1787.4615776969804</v>
      </c>
    </row>
    <row r="7228" spans="2:4" x14ac:dyDescent="0.25">
      <c r="B7228">
        <f t="shared" ca="1" si="338"/>
        <v>41232.833945383623</v>
      </c>
      <c r="C7228">
        <f t="shared" ca="1" si="336"/>
        <v>0</v>
      </c>
      <c r="D7228">
        <f t="shared" ca="1" si="337"/>
        <v>1232.8339453836234</v>
      </c>
    </row>
    <row r="7229" spans="2:4" x14ac:dyDescent="0.25">
      <c r="B7229">
        <f t="shared" ca="1" si="338"/>
        <v>41168.198321253913</v>
      </c>
      <c r="C7229">
        <f t="shared" ca="1" si="336"/>
        <v>0</v>
      </c>
      <c r="D7229">
        <f t="shared" ca="1" si="337"/>
        <v>1168.1983212539126</v>
      </c>
    </row>
    <row r="7230" spans="2:4" x14ac:dyDescent="0.25">
      <c r="B7230">
        <f t="shared" ca="1" si="338"/>
        <v>47325.489089172785</v>
      </c>
      <c r="C7230">
        <f t="shared" ca="1" si="336"/>
        <v>0</v>
      </c>
      <c r="D7230">
        <f t="shared" ca="1" si="337"/>
        <v>7325.4890891727846</v>
      </c>
    </row>
    <row r="7231" spans="2:4" x14ac:dyDescent="0.25">
      <c r="B7231">
        <f t="shared" ca="1" si="338"/>
        <v>48271.782811583442</v>
      </c>
      <c r="C7231">
        <f t="shared" ca="1" si="336"/>
        <v>0</v>
      </c>
      <c r="D7231">
        <f t="shared" ca="1" si="337"/>
        <v>8271.7828115834418</v>
      </c>
    </row>
    <row r="7232" spans="2:4" x14ac:dyDescent="0.25">
      <c r="B7232">
        <f t="shared" ca="1" si="338"/>
        <v>43097.229955909097</v>
      </c>
      <c r="C7232">
        <f t="shared" ca="1" si="336"/>
        <v>0</v>
      </c>
      <c r="D7232">
        <f t="shared" ca="1" si="337"/>
        <v>3097.229955909097</v>
      </c>
    </row>
    <row r="7233" spans="2:4" x14ac:dyDescent="0.25">
      <c r="B7233">
        <f t="shared" ca="1" si="338"/>
        <v>38197.078207932245</v>
      </c>
      <c r="C7233">
        <f t="shared" ca="1" si="336"/>
        <v>1802.9217920677547</v>
      </c>
      <c r="D7233">
        <f t="shared" ca="1" si="337"/>
        <v>0</v>
      </c>
    </row>
    <row r="7234" spans="2:4" x14ac:dyDescent="0.25">
      <c r="B7234">
        <f t="shared" ca="1" si="338"/>
        <v>43863.620102306202</v>
      </c>
      <c r="C7234">
        <f t="shared" ca="1" si="336"/>
        <v>0</v>
      </c>
      <c r="D7234">
        <f t="shared" ca="1" si="337"/>
        <v>3863.6201023062022</v>
      </c>
    </row>
    <row r="7235" spans="2:4" x14ac:dyDescent="0.25">
      <c r="B7235">
        <f t="shared" ca="1" si="338"/>
        <v>43633.032895693614</v>
      </c>
      <c r="C7235">
        <f t="shared" ca="1" si="336"/>
        <v>0</v>
      </c>
      <c r="D7235">
        <f t="shared" ca="1" si="337"/>
        <v>3633.0328956936137</v>
      </c>
    </row>
    <row r="7236" spans="2:4" x14ac:dyDescent="0.25">
      <c r="B7236">
        <f t="shared" ca="1" si="338"/>
        <v>45370.829636360315</v>
      </c>
      <c r="C7236">
        <f t="shared" ca="1" si="336"/>
        <v>0</v>
      </c>
      <c r="D7236">
        <f t="shared" ca="1" si="337"/>
        <v>5370.8296363603149</v>
      </c>
    </row>
    <row r="7237" spans="2:4" x14ac:dyDescent="0.25">
      <c r="B7237">
        <f t="shared" ca="1" si="338"/>
        <v>39376.424536643804</v>
      </c>
      <c r="C7237">
        <f t="shared" ca="1" si="336"/>
        <v>623.57546335619554</v>
      </c>
      <c r="D7237">
        <f t="shared" ca="1" si="337"/>
        <v>0</v>
      </c>
    </row>
    <row r="7238" spans="2:4" x14ac:dyDescent="0.25">
      <c r="B7238">
        <f t="shared" ca="1" si="338"/>
        <v>35736.3303174127</v>
      </c>
      <c r="C7238">
        <f t="shared" ca="1" si="336"/>
        <v>4263.6696825873005</v>
      </c>
      <c r="D7238">
        <f t="shared" ca="1" si="337"/>
        <v>0</v>
      </c>
    </row>
    <row r="7239" spans="2:4" x14ac:dyDescent="0.25">
      <c r="B7239">
        <f t="shared" ca="1" si="338"/>
        <v>56705.402521912431</v>
      </c>
      <c r="C7239">
        <f t="shared" ca="1" si="336"/>
        <v>0</v>
      </c>
      <c r="D7239">
        <f t="shared" ca="1" si="337"/>
        <v>16705.402521912431</v>
      </c>
    </row>
    <row r="7240" spans="2:4" x14ac:dyDescent="0.25">
      <c r="B7240">
        <f t="shared" ca="1" si="338"/>
        <v>46210.425599814276</v>
      </c>
      <c r="C7240">
        <f t="shared" ca="1" si="336"/>
        <v>0</v>
      </c>
      <c r="D7240">
        <f t="shared" ca="1" si="337"/>
        <v>6210.4255998142762</v>
      </c>
    </row>
    <row r="7241" spans="2:4" x14ac:dyDescent="0.25">
      <c r="B7241">
        <f t="shared" ca="1" si="338"/>
        <v>45213.102207387456</v>
      </c>
      <c r="C7241">
        <f t="shared" ca="1" si="336"/>
        <v>0</v>
      </c>
      <c r="D7241">
        <f t="shared" ca="1" si="337"/>
        <v>5213.1022073874556</v>
      </c>
    </row>
    <row r="7242" spans="2:4" x14ac:dyDescent="0.25">
      <c r="B7242">
        <f t="shared" ca="1" si="338"/>
        <v>49019.314866905232</v>
      </c>
      <c r="C7242">
        <f t="shared" ca="1" si="336"/>
        <v>0</v>
      </c>
      <c r="D7242">
        <f t="shared" ca="1" si="337"/>
        <v>9019.3148669052316</v>
      </c>
    </row>
    <row r="7243" spans="2:4" x14ac:dyDescent="0.25">
      <c r="B7243">
        <f t="shared" ca="1" si="338"/>
        <v>44075.310378948241</v>
      </c>
      <c r="C7243">
        <f t="shared" ca="1" si="336"/>
        <v>0</v>
      </c>
      <c r="D7243">
        <f t="shared" ca="1" si="337"/>
        <v>4075.3103789482411</v>
      </c>
    </row>
    <row r="7244" spans="2:4" x14ac:dyDescent="0.25">
      <c r="B7244">
        <f t="shared" ca="1" si="338"/>
        <v>46588.330953340432</v>
      </c>
      <c r="C7244">
        <f t="shared" ref="C7244:C7307" ca="1" si="339">IF(MAX($B$2-B7244)&lt;0,0,$B$2-B7244)</f>
        <v>0</v>
      </c>
      <c r="D7244">
        <f t="shared" ref="D7244:D7307" ca="1" si="340">IF(MAX(B7244-$B$2)&lt;0,0,B7244-$B$2)</f>
        <v>6588.3309533404317</v>
      </c>
    </row>
    <row r="7245" spans="2:4" x14ac:dyDescent="0.25">
      <c r="B7245">
        <f t="shared" ref="B7245:B7308" ca="1" si="341">$B$1*EXP((($B$4-($B$3^2)/2)*$B$5+$B$3*SQRT($B$5)*NORMSINV(RAND())))</f>
        <v>42102.94286068956</v>
      </c>
      <c r="C7245">
        <f t="shared" ca="1" si="339"/>
        <v>0</v>
      </c>
      <c r="D7245">
        <f t="shared" ca="1" si="340"/>
        <v>2102.9428606895599</v>
      </c>
    </row>
    <row r="7246" spans="2:4" x14ac:dyDescent="0.25">
      <c r="B7246">
        <f t="shared" ca="1" si="341"/>
        <v>44712.826023079971</v>
      </c>
      <c r="C7246">
        <f t="shared" ca="1" si="339"/>
        <v>0</v>
      </c>
      <c r="D7246">
        <f t="shared" ca="1" si="340"/>
        <v>4712.8260230799715</v>
      </c>
    </row>
    <row r="7247" spans="2:4" x14ac:dyDescent="0.25">
      <c r="B7247">
        <f t="shared" ca="1" si="341"/>
        <v>52710.368533567809</v>
      </c>
      <c r="C7247">
        <f t="shared" ca="1" si="339"/>
        <v>0</v>
      </c>
      <c r="D7247">
        <f t="shared" ca="1" si="340"/>
        <v>12710.368533567809</v>
      </c>
    </row>
    <row r="7248" spans="2:4" x14ac:dyDescent="0.25">
      <c r="B7248">
        <f t="shared" ca="1" si="341"/>
        <v>40197.971685319251</v>
      </c>
      <c r="C7248">
        <f t="shared" ca="1" si="339"/>
        <v>0</v>
      </c>
      <c r="D7248">
        <f t="shared" ca="1" si="340"/>
        <v>197.97168531925126</v>
      </c>
    </row>
    <row r="7249" spans="2:4" x14ac:dyDescent="0.25">
      <c r="B7249">
        <f t="shared" ca="1" si="341"/>
        <v>37025.082211426379</v>
      </c>
      <c r="C7249">
        <f t="shared" ca="1" si="339"/>
        <v>2974.9177885736208</v>
      </c>
      <c r="D7249">
        <f t="shared" ca="1" si="340"/>
        <v>0</v>
      </c>
    </row>
    <row r="7250" spans="2:4" x14ac:dyDescent="0.25">
      <c r="B7250">
        <f t="shared" ca="1" si="341"/>
        <v>37235.347500632888</v>
      </c>
      <c r="C7250">
        <f t="shared" ca="1" si="339"/>
        <v>2764.6524993671119</v>
      </c>
      <c r="D7250">
        <f t="shared" ca="1" si="340"/>
        <v>0</v>
      </c>
    </row>
    <row r="7251" spans="2:4" x14ac:dyDescent="0.25">
      <c r="B7251">
        <f t="shared" ca="1" si="341"/>
        <v>45111.797414049179</v>
      </c>
      <c r="C7251">
        <f t="shared" ca="1" si="339"/>
        <v>0</v>
      </c>
      <c r="D7251">
        <f t="shared" ca="1" si="340"/>
        <v>5111.7974140491788</v>
      </c>
    </row>
    <row r="7252" spans="2:4" x14ac:dyDescent="0.25">
      <c r="B7252">
        <f t="shared" ca="1" si="341"/>
        <v>39304.807167802079</v>
      </c>
      <c r="C7252">
        <f t="shared" ca="1" si="339"/>
        <v>695.19283219792123</v>
      </c>
      <c r="D7252">
        <f t="shared" ca="1" si="340"/>
        <v>0</v>
      </c>
    </row>
    <row r="7253" spans="2:4" x14ac:dyDescent="0.25">
      <c r="B7253">
        <f t="shared" ca="1" si="341"/>
        <v>50069.644983685037</v>
      </c>
      <c r="C7253">
        <f t="shared" ca="1" si="339"/>
        <v>0</v>
      </c>
      <c r="D7253">
        <f t="shared" ca="1" si="340"/>
        <v>10069.644983685037</v>
      </c>
    </row>
    <row r="7254" spans="2:4" x14ac:dyDescent="0.25">
      <c r="B7254">
        <f t="shared" ca="1" si="341"/>
        <v>43593.947031219235</v>
      </c>
      <c r="C7254">
        <f t="shared" ca="1" si="339"/>
        <v>0</v>
      </c>
      <c r="D7254">
        <f t="shared" ca="1" si="340"/>
        <v>3593.9470312192352</v>
      </c>
    </row>
    <row r="7255" spans="2:4" x14ac:dyDescent="0.25">
      <c r="B7255">
        <f t="shared" ca="1" si="341"/>
        <v>46316.974525263264</v>
      </c>
      <c r="C7255">
        <f t="shared" ca="1" si="339"/>
        <v>0</v>
      </c>
      <c r="D7255">
        <f t="shared" ca="1" si="340"/>
        <v>6316.9745252632638</v>
      </c>
    </row>
    <row r="7256" spans="2:4" x14ac:dyDescent="0.25">
      <c r="B7256">
        <f t="shared" ca="1" si="341"/>
        <v>37368.672685297155</v>
      </c>
      <c r="C7256">
        <f t="shared" ca="1" si="339"/>
        <v>2631.3273147028449</v>
      </c>
      <c r="D7256">
        <f t="shared" ca="1" si="340"/>
        <v>0</v>
      </c>
    </row>
    <row r="7257" spans="2:4" x14ac:dyDescent="0.25">
      <c r="B7257">
        <f t="shared" ca="1" si="341"/>
        <v>42642.570529380871</v>
      </c>
      <c r="C7257">
        <f t="shared" ca="1" si="339"/>
        <v>0</v>
      </c>
      <c r="D7257">
        <f t="shared" ca="1" si="340"/>
        <v>2642.5705293808714</v>
      </c>
    </row>
    <row r="7258" spans="2:4" x14ac:dyDescent="0.25">
      <c r="B7258">
        <f t="shared" ca="1" si="341"/>
        <v>42036.660698152555</v>
      </c>
      <c r="C7258">
        <f t="shared" ca="1" si="339"/>
        <v>0</v>
      </c>
      <c r="D7258">
        <f t="shared" ca="1" si="340"/>
        <v>2036.6606981525547</v>
      </c>
    </row>
    <row r="7259" spans="2:4" x14ac:dyDescent="0.25">
      <c r="B7259">
        <f t="shared" ca="1" si="341"/>
        <v>47721.986739448766</v>
      </c>
      <c r="C7259">
        <f t="shared" ca="1" si="339"/>
        <v>0</v>
      </c>
      <c r="D7259">
        <f t="shared" ca="1" si="340"/>
        <v>7721.9867394487665</v>
      </c>
    </row>
    <row r="7260" spans="2:4" x14ac:dyDescent="0.25">
      <c r="B7260">
        <f t="shared" ca="1" si="341"/>
        <v>47515.787712531499</v>
      </c>
      <c r="C7260">
        <f t="shared" ca="1" si="339"/>
        <v>0</v>
      </c>
      <c r="D7260">
        <f t="shared" ca="1" si="340"/>
        <v>7515.787712531499</v>
      </c>
    </row>
    <row r="7261" spans="2:4" x14ac:dyDescent="0.25">
      <c r="B7261">
        <f t="shared" ca="1" si="341"/>
        <v>46522.324188795916</v>
      </c>
      <c r="C7261">
        <f t="shared" ca="1" si="339"/>
        <v>0</v>
      </c>
      <c r="D7261">
        <f t="shared" ca="1" si="340"/>
        <v>6522.3241887959157</v>
      </c>
    </row>
    <row r="7262" spans="2:4" x14ac:dyDescent="0.25">
      <c r="B7262">
        <f t="shared" ca="1" si="341"/>
        <v>43470.659164406163</v>
      </c>
      <c r="C7262">
        <f t="shared" ca="1" si="339"/>
        <v>0</v>
      </c>
      <c r="D7262">
        <f t="shared" ca="1" si="340"/>
        <v>3470.6591644061627</v>
      </c>
    </row>
    <row r="7263" spans="2:4" x14ac:dyDescent="0.25">
      <c r="B7263">
        <f t="shared" ca="1" si="341"/>
        <v>38724.860057070946</v>
      </c>
      <c r="C7263">
        <f t="shared" ca="1" si="339"/>
        <v>1275.1399429290541</v>
      </c>
      <c r="D7263">
        <f t="shared" ca="1" si="340"/>
        <v>0</v>
      </c>
    </row>
    <row r="7264" spans="2:4" x14ac:dyDescent="0.25">
      <c r="B7264">
        <f t="shared" ca="1" si="341"/>
        <v>50034.476833251851</v>
      </c>
      <c r="C7264">
        <f t="shared" ca="1" si="339"/>
        <v>0</v>
      </c>
      <c r="D7264">
        <f t="shared" ca="1" si="340"/>
        <v>10034.476833251851</v>
      </c>
    </row>
    <row r="7265" spans="2:4" x14ac:dyDescent="0.25">
      <c r="B7265">
        <f t="shared" ca="1" si="341"/>
        <v>45955.165002104921</v>
      </c>
      <c r="C7265">
        <f t="shared" ca="1" si="339"/>
        <v>0</v>
      </c>
      <c r="D7265">
        <f t="shared" ca="1" si="340"/>
        <v>5955.1650021049209</v>
      </c>
    </row>
    <row r="7266" spans="2:4" x14ac:dyDescent="0.25">
      <c r="B7266">
        <f t="shared" ca="1" si="341"/>
        <v>41571.57630112036</v>
      </c>
      <c r="C7266">
        <f t="shared" ca="1" si="339"/>
        <v>0</v>
      </c>
      <c r="D7266">
        <f t="shared" ca="1" si="340"/>
        <v>1571.5763011203599</v>
      </c>
    </row>
    <row r="7267" spans="2:4" x14ac:dyDescent="0.25">
      <c r="B7267">
        <f t="shared" ca="1" si="341"/>
        <v>46256.127274421269</v>
      </c>
      <c r="C7267">
        <f t="shared" ca="1" si="339"/>
        <v>0</v>
      </c>
      <c r="D7267">
        <f t="shared" ca="1" si="340"/>
        <v>6256.1272744212692</v>
      </c>
    </row>
    <row r="7268" spans="2:4" x14ac:dyDescent="0.25">
      <c r="B7268">
        <f t="shared" ca="1" si="341"/>
        <v>43662.729529670374</v>
      </c>
      <c r="C7268">
        <f t="shared" ca="1" si="339"/>
        <v>0</v>
      </c>
      <c r="D7268">
        <f t="shared" ca="1" si="340"/>
        <v>3662.7295296703742</v>
      </c>
    </row>
    <row r="7269" spans="2:4" x14ac:dyDescent="0.25">
      <c r="B7269">
        <f t="shared" ca="1" si="341"/>
        <v>46602.795866859669</v>
      </c>
      <c r="C7269">
        <f t="shared" ca="1" si="339"/>
        <v>0</v>
      </c>
      <c r="D7269">
        <f t="shared" ca="1" si="340"/>
        <v>6602.7958668596693</v>
      </c>
    </row>
    <row r="7270" spans="2:4" x14ac:dyDescent="0.25">
      <c r="B7270">
        <f t="shared" ca="1" si="341"/>
        <v>42143.298811203713</v>
      </c>
      <c r="C7270">
        <f t="shared" ca="1" si="339"/>
        <v>0</v>
      </c>
      <c r="D7270">
        <f t="shared" ca="1" si="340"/>
        <v>2143.2988112037128</v>
      </c>
    </row>
    <row r="7271" spans="2:4" x14ac:dyDescent="0.25">
      <c r="B7271">
        <f t="shared" ca="1" si="341"/>
        <v>49951.858264245544</v>
      </c>
      <c r="C7271">
        <f t="shared" ca="1" si="339"/>
        <v>0</v>
      </c>
      <c r="D7271">
        <f t="shared" ca="1" si="340"/>
        <v>9951.858264245544</v>
      </c>
    </row>
    <row r="7272" spans="2:4" x14ac:dyDescent="0.25">
      <c r="B7272">
        <f t="shared" ca="1" si="341"/>
        <v>43286.770674474821</v>
      </c>
      <c r="C7272">
        <f t="shared" ca="1" si="339"/>
        <v>0</v>
      </c>
      <c r="D7272">
        <f t="shared" ca="1" si="340"/>
        <v>3286.7706744748211</v>
      </c>
    </row>
    <row r="7273" spans="2:4" x14ac:dyDescent="0.25">
      <c r="B7273">
        <f t="shared" ca="1" si="341"/>
        <v>50350.757286125991</v>
      </c>
      <c r="C7273">
        <f t="shared" ca="1" si="339"/>
        <v>0</v>
      </c>
      <c r="D7273">
        <f t="shared" ca="1" si="340"/>
        <v>10350.757286125991</v>
      </c>
    </row>
    <row r="7274" spans="2:4" x14ac:dyDescent="0.25">
      <c r="B7274">
        <f t="shared" ca="1" si="341"/>
        <v>41579.13395220934</v>
      </c>
      <c r="C7274">
        <f t="shared" ca="1" si="339"/>
        <v>0</v>
      </c>
      <c r="D7274">
        <f t="shared" ca="1" si="340"/>
        <v>1579.1339522093404</v>
      </c>
    </row>
    <row r="7275" spans="2:4" x14ac:dyDescent="0.25">
      <c r="B7275">
        <f t="shared" ca="1" si="341"/>
        <v>39654.95047172076</v>
      </c>
      <c r="C7275">
        <f t="shared" ca="1" si="339"/>
        <v>345.04952827923989</v>
      </c>
      <c r="D7275">
        <f t="shared" ca="1" si="340"/>
        <v>0</v>
      </c>
    </row>
    <row r="7276" spans="2:4" x14ac:dyDescent="0.25">
      <c r="B7276">
        <f t="shared" ca="1" si="341"/>
        <v>42471.351501563215</v>
      </c>
      <c r="C7276">
        <f t="shared" ca="1" si="339"/>
        <v>0</v>
      </c>
      <c r="D7276">
        <f t="shared" ca="1" si="340"/>
        <v>2471.3515015632147</v>
      </c>
    </row>
    <row r="7277" spans="2:4" x14ac:dyDescent="0.25">
      <c r="B7277">
        <f t="shared" ca="1" si="341"/>
        <v>41243.622598928523</v>
      </c>
      <c r="C7277">
        <f t="shared" ca="1" si="339"/>
        <v>0</v>
      </c>
      <c r="D7277">
        <f t="shared" ca="1" si="340"/>
        <v>1243.6225989285231</v>
      </c>
    </row>
    <row r="7278" spans="2:4" x14ac:dyDescent="0.25">
      <c r="B7278">
        <f t="shared" ca="1" si="341"/>
        <v>49298.321811900751</v>
      </c>
      <c r="C7278">
        <f t="shared" ca="1" si="339"/>
        <v>0</v>
      </c>
      <c r="D7278">
        <f t="shared" ca="1" si="340"/>
        <v>9298.3218119007506</v>
      </c>
    </row>
    <row r="7279" spans="2:4" x14ac:dyDescent="0.25">
      <c r="B7279">
        <f t="shared" ca="1" si="341"/>
        <v>55382.979561570428</v>
      </c>
      <c r="C7279">
        <f t="shared" ca="1" si="339"/>
        <v>0</v>
      </c>
      <c r="D7279">
        <f t="shared" ca="1" si="340"/>
        <v>15382.979561570428</v>
      </c>
    </row>
    <row r="7280" spans="2:4" x14ac:dyDescent="0.25">
      <c r="B7280">
        <f t="shared" ca="1" si="341"/>
        <v>48855.519320736006</v>
      </c>
      <c r="C7280">
        <f t="shared" ca="1" si="339"/>
        <v>0</v>
      </c>
      <c r="D7280">
        <f t="shared" ca="1" si="340"/>
        <v>8855.5193207360062</v>
      </c>
    </row>
    <row r="7281" spans="2:4" x14ac:dyDescent="0.25">
      <c r="B7281">
        <f t="shared" ca="1" si="341"/>
        <v>53060.01927397235</v>
      </c>
      <c r="C7281">
        <f t="shared" ca="1" si="339"/>
        <v>0</v>
      </c>
      <c r="D7281">
        <f t="shared" ca="1" si="340"/>
        <v>13060.01927397235</v>
      </c>
    </row>
    <row r="7282" spans="2:4" x14ac:dyDescent="0.25">
      <c r="B7282">
        <f t="shared" ca="1" si="341"/>
        <v>42978.970284792435</v>
      </c>
      <c r="C7282">
        <f t="shared" ca="1" si="339"/>
        <v>0</v>
      </c>
      <c r="D7282">
        <f t="shared" ca="1" si="340"/>
        <v>2978.9702847924345</v>
      </c>
    </row>
    <row r="7283" spans="2:4" x14ac:dyDescent="0.25">
      <c r="B7283">
        <f t="shared" ca="1" si="341"/>
        <v>53641.290357319507</v>
      </c>
      <c r="C7283">
        <f t="shared" ca="1" si="339"/>
        <v>0</v>
      </c>
      <c r="D7283">
        <f t="shared" ca="1" si="340"/>
        <v>13641.290357319507</v>
      </c>
    </row>
    <row r="7284" spans="2:4" x14ac:dyDescent="0.25">
      <c r="B7284">
        <f t="shared" ca="1" si="341"/>
        <v>48026.437731574973</v>
      </c>
      <c r="C7284">
        <f t="shared" ca="1" si="339"/>
        <v>0</v>
      </c>
      <c r="D7284">
        <f t="shared" ca="1" si="340"/>
        <v>8026.4377315749734</v>
      </c>
    </row>
    <row r="7285" spans="2:4" x14ac:dyDescent="0.25">
      <c r="B7285">
        <f t="shared" ca="1" si="341"/>
        <v>37497.392833698272</v>
      </c>
      <c r="C7285">
        <f t="shared" ca="1" si="339"/>
        <v>2502.6071663017283</v>
      </c>
      <c r="D7285">
        <f t="shared" ca="1" si="340"/>
        <v>0</v>
      </c>
    </row>
    <row r="7286" spans="2:4" x14ac:dyDescent="0.25">
      <c r="B7286">
        <f t="shared" ca="1" si="341"/>
        <v>49543.822988509193</v>
      </c>
      <c r="C7286">
        <f t="shared" ca="1" si="339"/>
        <v>0</v>
      </c>
      <c r="D7286">
        <f t="shared" ca="1" si="340"/>
        <v>9543.8229885091932</v>
      </c>
    </row>
    <row r="7287" spans="2:4" x14ac:dyDescent="0.25">
      <c r="B7287">
        <f t="shared" ca="1" si="341"/>
        <v>37047.099505105485</v>
      </c>
      <c r="C7287">
        <f t="shared" ca="1" si="339"/>
        <v>2952.9004948945148</v>
      </c>
      <c r="D7287">
        <f t="shared" ca="1" si="340"/>
        <v>0</v>
      </c>
    </row>
    <row r="7288" spans="2:4" x14ac:dyDescent="0.25">
      <c r="B7288">
        <f t="shared" ca="1" si="341"/>
        <v>39717.626071250525</v>
      </c>
      <c r="C7288">
        <f t="shared" ca="1" si="339"/>
        <v>282.37392874947545</v>
      </c>
      <c r="D7288">
        <f t="shared" ca="1" si="340"/>
        <v>0</v>
      </c>
    </row>
    <row r="7289" spans="2:4" x14ac:dyDescent="0.25">
      <c r="B7289">
        <f t="shared" ca="1" si="341"/>
        <v>42147.804187526039</v>
      </c>
      <c r="C7289">
        <f t="shared" ca="1" si="339"/>
        <v>0</v>
      </c>
      <c r="D7289">
        <f t="shared" ca="1" si="340"/>
        <v>2147.8041875260387</v>
      </c>
    </row>
    <row r="7290" spans="2:4" x14ac:dyDescent="0.25">
      <c r="B7290">
        <f t="shared" ca="1" si="341"/>
        <v>38807.560937575246</v>
      </c>
      <c r="C7290">
        <f t="shared" ca="1" si="339"/>
        <v>1192.4390624247535</v>
      </c>
      <c r="D7290">
        <f t="shared" ca="1" si="340"/>
        <v>0</v>
      </c>
    </row>
    <row r="7291" spans="2:4" x14ac:dyDescent="0.25">
      <c r="B7291">
        <f t="shared" ca="1" si="341"/>
        <v>44919.832126103895</v>
      </c>
      <c r="C7291">
        <f t="shared" ca="1" si="339"/>
        <v>0</v>
      </c>
      <c r="D7291">
        <f t="shared" ca="1" si="340"/>
        <v>4919.8321261038946</v>
      </c>
    </row>
    <row r="7292" spans="2:4" x14ac:dyDescent="0.25">
      <c r="B7292">
        <f t="shared" ca="1" si="341"/>
        <v>42826.127079506768</v>
      </c>
      <c r="C7292">
        <f t="shared" ca="1" si="339"/>
        <v>0</v>
      </c>
      <c r="D7292">
        <f t="shared" ca="1" si="340"/>
        <v>2826.1270795067685</v>
      </c>
    </row>
    <row r="7293" spans="2:4" x14ac:dyDescent="0.25">
      <c r="B7293">
        <f t="shared" ca="1" si="341"/>
        <v>40729.366586084856</v>
      </c>
      <c r="C7293">
        <f t="shared" ca="1" si="339"/>
        <v>0</v>
      </c>
      <c r="D7293">
        <f t="shared" ca="1" si="340"/>
        <v>729.36658608485595</v>
      </c>
    </row>
    <row r="7294" spans="2:4" x14ac:dyDescent="0.25">
      <c r="B7294">
        <f t="shared" ca="1" si="341"/>
        <v>39707.713666414071</v>
      </c>
      <c r="C7294">
        <f t="shared" ca="1" si="339"/>
        <v>292.28633358592924</v>
      </c>
      <c r="D7294">
        <f t="shared" ca="1" si="340"/>
        <v>0</v>
      </c>
    </row>
    <row r="7295" spans="2:4" x14ac:dyDescent="0.25">
      <c r="B7295">
        <f t="shared" ca="1" si="341"/>
        <v>52203.438517698254</v>
      </c>
      <c r="C7295">
        <f t="shared" ca="1" si="339"/>
        <v>0</v>
      </c>
      <c r="D7295">
        <f t="shared" ca="1" si="340"/>
        <v>12203.438517698254</v>
      </c>
    </row>
    <row r="7296" spans="2:4" x14ac:dyDescent="0.25">
      <c r="B7296">
        <f t="shared" ca="1" si="341"/>
        <v>53869.511985065787</v>
      </c>
      <c r="C7296">
        <f t="shared" ca="1" si="339"/>
        <v>0</v>
      </c>
      <c r="D7296">
        <f t="shared" ca="1" si="340"/>
        <v>13869.511985065787</v>
      </c>
    </row>
    <row r="7297" spans="2:4" x14ac:dyDescent="0.25">
      <c r="B7297">
        <f t="shared" ca="1" si="341"/>
        <v>44497.84776430716</v>
      </c>
      <c r="C7297">
        <f t="shared" ca="1" si="339"/>
        <v>0</v>
      </c>
      <c r="D7297">
        <f t="shared" ca="1" si="340"/>
        <v>4497.8477643071601</v>
      </c>
    </row>
    <row r="7298" spans="2:4" x14ac:dyDescent="0.25">
      <c r="B7298">
        <f t="shared" ca="1" si="341"/>
        <v>50600.990750547957</v>
      </c>
      <c r="C7298">
        <f t="shared" ca="1" si="339"/>
        <v>0</v>
      </c>
      <c r="D7298">
        <f t="shared" ca="1" si="340"/>
        <v>10600.990750547957</v>
      </c>
    </row>
    <row r="7299" spans="2:4" x14ac:dyDescent="0.25">
      <c r="B7299">
        <f t="shared" ca="1" si="341"/>
        <v>42687.785046918296</v>
      </c>
      <c r="C7299">
        <f t="shared" ca="1" si="339"/>
        <v>0</v>
      </c>
      <c r="D7299">
        <f t="shared" ca="1" si="340"/>
        <v>2687.7850469182958</v>
      </c>
    </row>
    <row r="7300" spans="2:4" x14ac:dyDescent="0.25">
      <c r="B7300">
        <f t="shared" ca="1" si="341"/>
        <v>48877.685682753741</v>
      </c>
      <c r="C7300">
        <f t="shared" ca="1" si="339"/>
        <v>0</v>
      </c>
      <c r="D7300">
        <f t="shared" ca="1" si="340"/>
        <v>8877.6856827537413</v>
      </c>
    </row>
    <row r="7301" spans="2:4" x14ac:dyDescent="0.25">
      <c r="B7301">
        <f t="shared" ca="1" si="341"/>
        <v>42412.372675378443</v>
      </c>
      <c r="C7301">
        <f t="shared" ca="1" si="339"/>
        <v>0</v>
      </c>
      <c r="D7301">
        <f t="shared" ca="1" si="340"/>
        <v>2412.3726753784431</v>
      </c>
    </row>
    <row r="7302" spans="2:4" x14ac:dyDescent="0.25">
      <c r="B7302">
        <f t="shared" ca="1" si="341"/>
        <v>50353.146308371608</v>
      </c>
      <c r="C7302">
        <f t="shared" ca="1" si="339"/>
        <v>0</v>
      </c>
      <c r="D7302">
        <f t="shared" ca="1" si="340"/>
        <v>10353.146308371608</v>
      </c>
    </row>
    <row r="7303" spans="2:4" x14ac:dyDescent="0.25">
      <c r="B7303">
        <f t="shared" ca="1" si="341"/>
        <v>39847.710548976815</v>
      </c>
      <c r="C7303">
        <f t="shared" ca="1" si="339"/>
        <v>152.28945102318539</v>
      </c>
      <c r="D7303">
        <f t="shared" ca="1" si="340"/>
        <v>0</v>
      </c>
    </row>
    <row r="7304" spans="2:4" x14ac:dyDescent="0.25">
      <c r="B7304">
        <f t="shared" ca="1" si="341"/>
        <v>45756.854394983988</v>
      </c>
      <c r="C7304">
        <f t="shared" ca="1" si="339"/>
        <v>0</v>
      </c>
      <c r="D7304">
        <f t="shared" ca="1" si="340"/>
        <v>5756.8543949839877</v>
      </c>
    </row>
    <row r="7305" spans="2:4" x14ac:dyDescent="0.25">
      <c r="B7305">
        <f t="shared" ca="1" si="341"/>
        <v>43555.761963192046</v>
      </c>
      <c r="C7305">
        <f t="shared" ca="1" si="339"/>
        <v>0</v>
      </c>
      <c r="D7305">
        <f t="shared" ca="1" si="340"/>
        <v>3555.7619631920461</v>
      </c>
    </row>
    <row r="7306" spans="2:4" x14ac:dyDescent="0.25">
      <c r="B7306">
        <f t="shared" ca="1" si="341"/>
        <v>41322.59506869709</v>
      </c>
      <c r="C7306">
        <f t="shared" ca="1" si="339"/>
        <v>0</v>
      </c>
      <c r="D7306">
        <f t="shared" ca="1" si="340"/>
        <v>1322.59506869709</v>
      </c>
    </row>
    <row r="7307" spans="2:4" x14ac:dyDescent="0.25">
      <c r="B7307">
        <f t="shared" ca="1" si="341"/>
        <v>55696.074387653884</v>
      </c>
      <c r="C7307">
        <f t="shared" ca="1" si="339"/>
        <v>0</v>
      </c>
      <c r="D7307">
        <f t="shared" ca="1" si="340"/>
        <v>15696.074387653884</v>
      </c>
    </row>
    <row r="7308" spans="2:4" x14ac:dyDescent="0.25">
      <c r="B7308">
        <f t="shared" ca="1" si="341"/>
        <v>40414.472774862552</v>
      </c>
      <c r="C7308">
        <f t="shared" ref="C7308:C7371" ca="1" si="342">IF(MAX($B$2-B7308)&lt;0,0,$B$2-B7308)</f>
        <v>0</v>
      </c>
      <c r="D7308">
        <f t="shared" ref="D7308:D7371" ca="1" si="343">IF(MAX(B7308-$B$2)&lt;0,0,B7308-$B$2)</f>
        <v>414.47277486255189</v>
      </c>
    </row>
    <row r="7309" spans="2:4" x14ac:dyDescent="0.25">
      <c r="B7309">
        <f t="shared" ref="B7309:B7372" ca="1" si="344">$B$1*EXP((($B$4-($B$3^2)/2)*$B$5+$B$3*SQRT($B$5)*NORMSINV(RAND())))</f>
        <v>39244.361383399213</v>
      </c>
      <c r="C7309">
        <f t="shared" ca="1" si="342"/>
        <v>755.63861660078692</v>
      </c>
      <c r="D7309">
        <f t="shared" ca="1" si="343"/>
        <v>0</v>
      </c>
    </row>
    <row r="7310" spans="2:4" x14ac:dyDescent="0.25">
      <c r="B7310">
        <f t="shared" ca="1" si="344"/>
        <v>40857.345865054063</v>
      </c>
      <c r="C7310">
        <f t="shared" ca="1" si="342"/>
        <v>0</v>
      </c>
      <c r="D7310">
        <f t="shared" ca="1" si="343"/>
        <v>857.34586505406332</v>
      </c>
    </row>
    <row r="7311" spans="2:4" x14ac:dyDescent="0.25">
      <c r="B7311">
        <f t="shared" ca="1" si="344"/>
        <v>54847.425676337902</v>
      </c>
      <c r="C7311">
        <f t="shared" ca="1" si="342"/>
        <v>0</v>
      </c>
      <c r="D7311">
        <f t="shared" ca="1" si="343"/>
        <v>14847.425676337902</v>
      </c>
    </row>
    <row r="7312" spans="2:4" x14ac:dyDescent="0.25">
      <c r="B7312">
        <f t="shared" ca="1" si="344"/>
        <v>49333.793242321852</v>
      </c>
      <c r="C7312">
        <f t="shared" ca="1" si="342"/>
        <v>0</v>
      </c>
      <c r="D7312">
        <f t="shared" ca="1" si="343"/>
        <v>9333.7932423218517</v>
      </c>
    </row>
    <row r="7313" spans="2:4" x14ac:dyDescent="0.25">
      <c r="B7313">
        <f t="shared" ca="1" si="344"/>
        <v>40747.787253191134</v>
      </c>
      <c r="C7313">
        <f t="shared" ca="1" si="342"/>
        <v>0</v>
      </c>
      <c r="D7313">
        <f t="shared" ca="1" si="343"/>
        <v>747.78725319113437</v>
      </c>
    </row>
    <row r="7314" spans="2:4" x14ac:dyDescent="0.25">
      <c r="B7314">
        <f t="shared" ca="1" si="344"/>
        <v>37081.588841664903</v>
      </c>
      <c r="C7314">
        <f t="shared" ca="1" si="342"/>
        <v>2918.4111583350968</v>
      </c>
      <c r="D7314">
        <f t="shared" ca="1" si="343"/>
        <v>0</v>
      </c>
    </row>
    <row r="7315" spans="2:4" x14ac:dyDescent="0.25">
      <c r="B7315">
        <f t="shared" ca="1" si="344"/>
        <v>39449.567285881363</v>
      </c>
      <c r="C7315">
        <f t="shared" ca="1" si="342"/>
        <v>550.4327141186368</v>
      </c>
      <c r="D7315">
        <f t="shared" ca="1" si="343"/>
        <v>0</v>
      </c>
    </row>
    <row r="7316" spans="2:4" x14ac:dyDescent="0.25">
      <c r="B7316">
        <f t="shared" ca="1" si="344"/>
        <v>40746.068662121477</v>
      </c>
      <c r="C7316">
        <f t="shared" ca="1" si="342"/>
        <v>0</v>
      </c>
      <c r="D7316">
        <f t="shared" ca="1" si="343"/>
        <v>746.06866212147725</v>
      </c>
    </row>
    <row r="7317" spans="2:4" x14ac:dyDescent="0.25">
      <c r="B7317">
        <f t="shared" ca="1" si="344"/>
        <v>44936.589602689164</v>
      </c>
      <c r="C7317">
        <f t="shared" ca="1" si="342"/>
        <v>0</v>
      </c>
      <c r="D7317">
        <f t="shared" ca="1" si="343"/>
        <v>4936.5896026891642</v>
      </c>
    </row>
    <row r="7318" spans="2:4" x14ac:dyDescent="0.25">
      <c r="B7318">
        <f t="shared" ca="1" si="344"/>
        <v>57157.639906481381</v>
      </c>
      <c r="C7318">
        <f t="shared" ca="1" si="342"/>
        <v>0</v>
      </c>
      <c r="D7318">
        <f t="shared" ca="1" si="343"/>
        <v>17157.639906481381</v>
      </c>
    </row>
    <row r="7319" spans="2:4" x14ac:dyDescent="0.25">
      <c r="B7319">
        <f t="shared" ca="1" si="344"/>
        <v>41370.241545142737</v>
      </c>
      <c r="C7319">
        <f t="shared" ca="1" si="342"/>
        <v>0</v>
      </c>
      <c r="D7319">
        <f t="shared" ca="1" si="343"/>
        <v>1370.2415451427369</v>
      </c>
    </row>
    <row r="7320" spans="2:4" x14ac:dyDescent="0.25">
      <c r="B7320">
        <f t="shared" ca="1" si="344"/>
        <v>42072.786044576103</v>
      </c>
      <c r="C7320">
        <f t="shared" ca="1" si="342"/>
        <v>0</v>
      </c>
      <c r="D7320">
        <f t="shared" ca="1" si="343"/>
        <v>2072.7860445761034</v>
      </c>
    </row>
    <row r="7321" spans="2:4" x14ac:dyDescent="0.25">
      <c r="B7321">
        <f t="shared" ca="1" si="344"/>
        <v>38863.352173772088</v>
      </c>
      <c r="C7321">
        <f t="shared" ca="1" si="342"/>
        <v>1136.6478262279124</v>
      </c>
      <c r="D7321">
        <f t="shared" ca="1" si="343"/>
        <v>0</v>
      </c>
    </row>
    <row r="7322" spans="2:4" x14ac:dyDescent="0.25">
      <c r="B7322">
        <f t="shared" ca="1" si="344"/>
        <v>42431.3519232611</v>
      </c>
      <c r="C7322">
        <f t="shared" ca="1" si="342"/>
        <v>0</v>
      </c>
      <c r="D7322">
        <f t="shared" ca="1" si="343"/>
        <v>2431.3519232610997</v>
      </c>
    </row>
    <row r="7323" spans="2:4" x14ac:dyDescent="0.25">
      <c r="B7323">
        <f t="shared" ca="1" si="344"/>
        <v>40380.523704277846</v>
      </c>
      <c r="C7323">
        <f t="shared" ca="1" si="342"/>
        <v>0</v>
      </c>
      <c r="D7323">
        <f t="shared" ca="1" si="343"/>
        <v>380.52370427784626</v>
      </c>
    </row>
    <row r="7324" spans="2:4" x14ac:dyDescent="0.25">
      <c r="B7324">
        <f t="shared" ca="1" si="344"/>
        <v>42216.937551838833</v>
      </c>
      <c r="C7324">
        <f t="shared" ca="1" si="342"/>
        <v>0</v>
      </c>
      <c r="D7324">
        <f t="shared" ca="1" si="343"/>
        <v>2216.9375518388333</v>
      </c>
    </row>
    <row r="7325" spans="2:4" x14ac:dyDescent="0.25">
      <c r="B7325">
        <f t="shared" ca="1" si="344"/>
        <v>47859.364293617386</v>
      </c>
      <c r="C7325">
        <f t="shared" ca="1" si="342"/>
        <v>0</v>
      </c>
      <c r="D7325">
        <f t="shared" ca="1" si="343"/>
        <v>7859.3642936173856</v>
      </c>
    </row>
    <row r="7326" spans="2:4" x14ac:dyDescent="0.25">
      <c r="B7326">
        <f t="shared" ca="1" si="344"/>
        <v>43900.180482234719</v>
      </c>
      <c r="C7326">
        <f t="shared" ca="1" si="342"/>
        <v>0</v>
      </c>
      <c r="D7326">
        <f t="shared" ca="1" si="343"/>
        <v>3900.1804822347185</v>
      </c>
    </row>
    <row r="7327" spans="2:4" x14ac:dyDescent="0.25">
      <c r="B7327">
        <f t="shared" ca="1" si="344"/>
        <v>47821.560913554094</v>
      </c>
      <c r="C7327">
        <f t="shared" ca="1" si="342"/>
        <v>0</v>
      </c>
      <c r="D7327">
        <f t="shared" ca="1" si="343"/>
        <v>7821.5609135540944</v>
      </c>
    </row>
    <row r="7328" spans="2:4" x14ac:dyDescent="0.25">
      <c r="B7328">
        <f t="shared" ca="1" si="344"/>
        <v>43635.126959020301</v>
      </c>
      <c r="C7328">
        <f t="shared" ca="1" si="342"/>
        <v>0</v>
      </c>
      <c r="D7328">
        <f t="shared" ca="1" si="343"/>
        <v>3635.126959020301</v>
      </c>
    </row>
    <row r="7329" spans="2:4" x14ac:dyDescent="0.25">
      <c r="B7329">
        <f t="shared" ca="1" si="344"/>
        <v>39872.861919121235</v>
      </c>
      <c r="C7329">
        <f t="shared" ca="1" si="342"/>
        <v>127.13808087876532</v>
      </c>
      <c r="D7329">
        <f t="shared" ca="1" si="343"/>
        <v>0</v>
      </c>
    </row>
    <row r="7330" spans="2:4" x14ac:dyDescent="0.25">
      <c r="B7330">
        <f t="shared" ca="1" si="344"/>
        <v>45181.091010086275</v>
      </c>
      <c r="C7330">
        <f t="shared" ca="1" si="342"/>
        <v>0</v>
      </c>
      <c r="D7330">
        <f t="shared" ca="1" si="343"/>
        <v>5181.0910100862748</v>
      </c>
    </row>
    <row r="7331" spans="2:4" x14ac:dyDescent="0.25">
      <c r="B7331">
        <f t="shared" ca="1" si="344"/>
        <v>53063.99347167142</v>
      </c>
      <c r="C7331">
        <f t="shared" ca="1" si="342"/>
        <v>0</v>
      </c>
      <c r="D7331">
        <f t="shared" ca="1" si="343"/>
        <v>13063.99347167142</v>
      </c>
    </row>
    <row r="7332" spans="2:4" x14ac:dyDescent="0.25">
      <c r="B7332">
        <f t="shared" ca="1" si="344"/>
        <v>43905.852580780178</v>
      </c>
      <c r="C7332">
        <f t="shared" ca="1" si="342"/>
        <v>0</v>
      </c>
      <c r="D7332">
        <f t="shared" ca="1" si="343"/>
        <v>3905.852580780178</v>
      </c>
    </row>
    <row r="7333" spans="2:4" x14ac:dyDescent="0.25">
      <c r="B7333">
        <f t="shared" ca="1" si="344"/>
        <v>45303.428476764457</v>
      </c>
      <c r="C7333">
        <f t="shared" ca="1" si="342"/>
        <v>0</v>
      </c>
      <c r="D7333">
        <f t="shared" ca="1" si="343"/>
        <v>5303.4284767644567</v>
      </c>
    </row>
    <row r="7334" spans="2:4" x14ac:dyDescent="0.25">
      <c r="B7334">
        <f t="shared" ca="1" si="344"/>
        <v>44538.557127861925</v>
      </c>
      <c r="C7334">
        <f t="shared" ca="1" si="342"/>
        <v>0</v>
      </c>
      <c r="D7334">
        <f t="shared" ca="1" si="343"/>
        <v>4538.5571278619245</v>
      </c>
    </row>
    <row r="7335" spans="2:4" x14ac:dyDescent="0.25">
      <c r="B7335">
        <f t="shared" ca="1" si="344"/>
        <v>37773.134283183172</v>
      </c>
      <c r="C7335">
        <f t="shared" ca="1" si="342"/>
        <v>2226.8657168168284</v>
      </c>
      <c r="D7335">
        <f t="shared" ca="1" si="343"/>
        <v>0</v>
      </c>
    </row>
    <row r="7336" spans="2:4" x14ac:dyDescent="0.25">
      <c r="B7336">
        <f t="shared" ca="1" si="344"/>
        <v>40816.972980423423</v>
      </c>
      <c r="C7336">
        <f t="shared" ca="1" si="342"/>
        <v>0</v>
      </c>
      <c r="D7336">
        <f t="shared" ca="1" si="343"/>
        <v>816.972980423423</v>
      </c>
    </row>
    <row r="7337" spans="2:4" x14ac:dyDescent="0.25">
      <c r="B7337">
        <f t="shared" ca="1" si="344"/>
        <v>43726.568435791392</v>
      </c>
      <c r="C7337">
        <f t="shared" ca="1" si="342"/>
        <v>0</v>
      </c>
      <c r="D7337">
        <f t="shared" ca="1" si="343"/>
        <v>3726.5684357913924</v>
      </c>
    </row>
    <row r="7338" spans="2:4" x14ac:dyDescent="0.25">
      <c r="B7338">
        <f t="shared" ca="1" si="344"/>
        <v>43959.84906978807</v>
      </c>
      <c r="C7338">
        <f t="shared" ca="1" si="342"/>
        <v>0</v>
      </c>
      <c r="D7338">
        <f t="shared" ca="1" si="343"/>
        <v>3959.8490697880698</v>
      </c>
    </row>
    <row r="7339" spans="2:4" x14ac:dyDescent="0.25">
      <c r="B7339">
        <f t="shared" ca="1" si="344"/>
        <v>42395.708546735208</v>
      </c>
      <c r="C7339">
        <f t="shared" ca="1" si="342"/>
        <v>0</v>
      </c>
      <c r="D7339">
        <f t="shared" ca="1" si="343"/>
        <v>2395.7085467352081</v>
      </c>
    </row>
    <row r="7340" spans="2:4" x14ac:dyDescent="0.25">
      <c r="B7340">
        <f t="shared" ca="1" si="344"/>
        <v>41091.258168310385</v>
      </c>
      <c r="C7340">
        <f t="shared" ca="1" si="342"/>
        <v>0</v>
      </c>
      <c r="D7340">
        <f t="shared" ca="1" si="343"/>
        <v>1091.2581683103854</v>
      </c>
    </row>
    <row r="7341" spans="2:4" x14ac:dyDescent="0.25">
      <c r="B7341">
        <f t="shared" ca="1" si="344"/>
        <v>44046.373342246399</v>
      </c>
      <c r="C7341">
        <f t="shared" ca="1" si="342"/>
        <v>0</v>
      </c>
      <c r="D7341">
        <f t="shared" ca="1" si="343"/>
        <v>4046.3733422463993</v>
      </c>
    </row>
    <row r="7342" spans="2:4" x14ac:dyDescent="0.25">
      <c r="B7342">
        <f t="shared" ca="1" si="344"/>
        <v>44446.079148669232</v>
      </c>
      <c r="C7342">
        <f t="shared" ca="1" si="342"/>
        <v>0</v>
      </c>
      <c r="D7342">
        <f t="shared" ca="1" si="343"/>
        <v>4446.0791486692324</v>
      </c>
    </row>
    <row r="7343" spans="2:4" x14ac:dyDescent="0.25">
      <c r="B7343">
        <f t="shared" ca="1" si="344"/>
        <v>45884.906551666099</v>
      </c>
      <c r="C7343">
        <f t="shared" ca="1" si="342"/>
        <v>0</v>
      </c>
      <c r="D7343">
        <f t="shared" ca="1" si="343"/>
        <v>5884.9065516660994</v>
      </c>
    </row>
    <row r="7344" spans="2:4" x14ac:dyDescent="0.25">
      <c r="B7344">
        <f t="shared" ca="1" si="344"/>
        <v>50997.988295149218</v>
      </c>
      <c r="C7344">
        <f t="shared" ca="1" si="342"/>
        <v>0</v>
      </c>
      <c r="D7344">
        <f t="shared" ca="1" si="343"/>
        <v>10997.988295149218</v>
      </c>
    </row>
    <row r="7345" spans="2:4" x14ac:dyDescent="0.25">
      <c r="B7345">
        <f t="shared" ca="1" si="344"/>
        <v>48319.712004537105</v>
      </c>
      <c r="C7345">
        <f t="shared" ca="1" si="342"/>
        <v>0</v>
      </c>
      <c r="D7345">
        <f t="shared" ca="1" si="343"/>
        <v>8319.7120045371048</v>
      </c>
    </row>
    <row r="7346" spans="2:4" x14ac:dyDescent="0.25">
      <c r="B7346">
        <f t="shared" ca="1" si="344"/>
        <v>48949.82652269426</v>
      </c>
      <c r="C7346">
        <f t="shared" ca="1" si="342"/>
        <v>0</v>
      </c>
      <c r="D7346">
        <f t="shared" ca="1" si="343"/>
        <v>8949.8265226942603</v>
      </c>
    </row>
    <row r="7347" spans="2:4" x14ac:dyDescent="0.25">
      <c r="B7347">
        <f t="shared" ca="1" si="344"/>
        <v>51780.890548442876</v>
      </c>
      <c r="C7347">
        <f t="shared" ca="1" si="342"/>
        <v>0</v>
      </c>
      <c r="D7347">
        <f t="shared" ca="1" si="343"/>
        <v>11780.890548442876</v>
      </c>
    </row>
    <row r="7348" spans="2:4" x14ac:dyDescent="0.25">
      <c r="B7348">
        <f t="shared" ca="1" si="344"/>
        <v>44689.716943796811</v>
      </c>
      <c r="C7348">
        <f t="shared" ca="1" si="342"/>
        <v>0</v>
      </c>
      <c r="D7348">
        <f t="shared" ca="1" si="343"/>
        <v>4689.7169437968114</v>
      </c>
    </row>
    <row r="7349" spans="2:4" x14ac:dyDescent="0.25">
      <c r="B7349">
        <f t="shared" ca="1" si="344"/>
        <v>47118.878495808021</v>
      </c>
      <c r="C7349">
        <f t="shared" ca="1" si="342"/>
        <v>0</v>
      </c>
      <c r="D7349">
        <f t="shared" ca="1" si="343"/>
        <v>7118.8784958080214</v>
      </c>
    </row>
    <row r="7350" spans="2:4" x14ac:dyDescent="0.25">
      <c r="B7350">
        <f t="shared" ca="1" si="344"/>
        <v>51879.731785326854</v>
      </c>
      <c r="C7350">
        <f t="shared" ca="1" si="342"/>
        <v>0</v>
      </c>
      <c r="D7350">
        <f t="shared" ca="1" si="343"/>
        <v>11879.731785326854</v>
      </c>
    </row>
    <row r="7351" spans="2:4" x14ac:dyDescent="0.25">
      <c r="B7351">
        <f t="shared" ca="1" si="344"/>
        <v>47379.080639060456</v>
      </c>
      <c r="C7351">
        <f t="shared" ca="1" si="342"/>
        <v>0</v>
      </c>
      <c r="D7351">
        <f t="shared" ca="1" si="343"/>
        <v>7379.0806390604557</v>
      </c>
    </row>
    <row r="7352" spans="2:4" x14ac:dyDescent="0.25">
      <c r="B7352">
        <f t="shared" ca="1" si="344"/>
        <v>37141.368536503607</v>
      </c>
      <c r="C7352">
        <f t="shared" ca="1" si="342"/>
        <v>2858.6314634963928</v>
      </c>
      <c r="D7352">
        <f t="shared" ca="1" si="343"/>
        <v>0</v>
      </c>
    </row>
    <row r="7353" spans="2:4" x14ac:dyDescent="0.25">
      <c r="B7353">
        <f t="shared" ca="1" si="344"/>
        <v>45029.614347532472</v>
      </c>
      <c r="C7353">
        <f t="shared" ca="1" si="342"/>
        <v>0</v>
      </c>
      <c r="D7353">
        <f t="shared" ca="1" si="343"/>
        <v>5029.6143475324716</v>
      </c>
    </row>
    <row r="7354" spans="2:4" x14ac:dyDescent="0.25">
      <c r="B7354">
        <f t="shared" ca="1" si="344"/>
        <v>55225.334878269059</v>
      </c>
      <c r="C7354">
        <f t="shared" ca="1" si="342"/>
        <v>0</v>
      </c>
      <c r="D7354">
        <f t="shared" ca="1" si="343"/>
        <v>15225.334878269059</v>
      </c>
    </row>
    <row r="7355" spans="2:4" x14ac:dyDescent="0.25">
      <c r="B7355">
        <f t="shared" ca="1" si="344"/>
        <v>36348.415726102357</v>
      </c>
      <c r="C7355">
        <f t="shared" ca="1" si="342"/>
        <v>3651.5842738976426</v>
      </c>
      <c r="D7355">
        <f t="shared" ca="1" si="343"/>
        <v>0</v>
      </c>
    </row>
    <row r="7356" spans="2:4" x14ac:dyDescent="0.25">
      <c r="B7356">
        <f t="shared" ca="1" si="344"/>
        <v>47857.802831337416</v>
      </c>
      <c r="C7356">
        <f t="shared" ca="1" si="342"/>
        <v>0</v>
      </c>
      <c r="D7356">
        <f t="shared" ca="1" si="343"/>
        <v>7857.8028313374161</v>
      </c>
    </row>
    <row r="7357" spans="2:4" x14ac:dyDescent="0.25">
      <c r="B7357">
        <f t="shared" ca="1" si="344"/>
        <v>46246.422671237517</v>
      </c>
      <c r="C7357">
        <f t="shared" ca="1" si="342"/>
        <v>0</v>
      </c>
      <c r="D7357">
        <f t="shared" ca="1" si="343"/>
        <v>6246.4226712375166</v>
      </c>
    </row>
    <row r="7358" spans="2:4" x14ac:dyDescent="0.25">
      <c r="B7358">
        <f t="shared" ca="1" si="344"/>
        <v>41431.967754330908</v>
      </c>
      <c r="C7358">
        <f t="shared" ca="1" si="342"/>
        <v>0</v>
      </c>
      <c r="D7358">
        <f t="shared" ca="1" si="343"/>
        <v>1431.9677543309081</v>
      </c>
    </row>
    <row r="7359" spans="2:4" x14ac:dyDescent="0.25">
      <c r="B7359">
        <f t="shared" ca="1" si="344"/>
        <v>49742.757496258229</v>
      </c>
      <c r="C7359">
        <f t="shared" ca="1" si="342"/>
        <v>0</v>
      </c>
      <c r="D7359">
        <f t="shared" ca="1" si="343"/>
        <v>9742.7574962582294</v>
      </c>
    </row>
    <row r="7360" spans="2:4" x14ac:dyDescent="0.25">
      <c r="B7360">
        <f t="shared" ca="1" si="344"/>
        <v>47349.737100862891</v>
      </c>
      <c r="C7360">
        <f t="shared" ca="1" si="342"/>
        <v>0</v>
      </c>
      <c r="D7360">
        <f t="shared" ca="1" si="343"/>
        <v>7349.7371008628907</v>
      </c>
    </row>
    <row r="7361" spans="2:4" x14ac:dyDescent="0.25">
      <c r="B7361">
        <f t="shared" ca="1" si="344"/>
        <v>49459.495086350835</v>
      </c>
      <c r="C7361">
        <f t="shared" ca="1" si="342"/>
        <v>0</v>
      </c>
      <c r="D7361">
        <f t="shared" ca="1" si="343"/>
        <v>9459.4950863508348</v>
      </c>
    </row>
    <row r="7362" spans="2:4" x14ac:dyDescent="0.25">
      <c r="B7362">
        <f t="shared" ca="1" si="344"/>
        <v>42762.737014005143</v>
      </c>
      <c r="C7362">
        <f t="shared" ca="1" si="342"/>
        <v>0</v>
      </c>
      <c r="D7362">
        <f t="shared" ca="1" si="343"/>
        <v>2762.7370140051426</v>
      </c>
    </row>
    <row r="7363" spans="2:4" x14ac:dyDescent="0.25">
      <c r="B7363">
        <f t="shared" ca="1" si="344"/>
        <v>50609.74240573102</v>
      </c>
      <c r="C7363">
        <f t="shared" ca="1" si="342"/>
        <v>0</v>
      </c>
      <c r="D7363">
        <f t="shared" ca="1" si="343"/>
        <v>10609.74240573102</v>
      </c>
    </row>
    <row r="7364" spans="2:4" x14ac:dyDescent="0.25">
      <c r="B7364">
        <f t="shared" ca="1" si="344"/>
        <v>41491.55088735163</v>
      </c>
      <c r="C7364">
        <f t="shared" ca="1" si="342"/>
        <v>0</v>
      </c>
      <c r="D7364">
        <f t="shared" ca="1" si="343"/>
        <v>1491.5508873516301</v>
      </c>
    </row>
    <row r="7365" spans="2:4" x14ac:dyDescent="0.25">
      <c r="B7365">
        <f t="shared" ca="1" si="344"/>
        <v>40822.837056254604</v>
      </c>
      <c r="C7365">
        <f t="shared" ca="1" si="342"/>
        <v>0</v>
      </c>
      <c r="D7365">
        <f t="shared" ca="1" si="343"/>
        <v>822.83705625460425</v>
      </c>
    </row>
    <row r="7366" spans="2:4" x14ac:dyDescent="0.25">
      <c r="B7366">
        <f t="shared" ca="1" si="344"/>
        <v>37097.539275893192</v>
      </c>
      <c r="C7366">
        <f t="shared" ca="1" si="342"/>
        <v>2902.4607241068079</v>
      </c>
      <c r="D7366">
        <f t="shared" ca="1" si="343"/>
        <v>0</v>
      </c>
    </row>
    <row r="7367" spans="2:4" x14ac:dyDescent="0.25">
      <c r="B7367">
        <f t="shared" ca="1" si="344"/>
        <v>39583.241426234497</v>
      </c>
      <c r="C7367">
        <f t="shared" ca="1" si="342"/>
        <v>416.75857376550266</v>
      </c>
      <c r="D7367">
        <f t="shared" ca="1" si="343"/>
        <v>0</v>
      </c>
    </row>
    <row r="7368" spans="2:4" x14ac:dyDescent="0.25">
      <c r="B7368">
        <f t="shared" ca="1" si="344"/>
        <v>43903.524901275152</v>
      </c>
      <c r="C7368">
        <f t="shared" ca="1" si="342"/>
        <v>0</v>
      </c>
      <c r="D7368">
        <f t="shared" ca="1" si="343"/>
        <v>3903.5249012751519</v>
      </c>
    </row>
    <row r="7369" spans="2:4" x14ac:dyDescent="0.25">
      <c r="B7369">
        <f t="shared" ca="1" si="344"/>
        <v>46985.461373258484</v>
      </c>
      <c r="C7369">
        <f t="shared" ca="1" si="342"/>
        <v>0</v>
      </c>
      <c r="D7369">
        <f t="shared" ca="1" si="343"/>
        <v>6985.4613732584839</v>
      </c>
    </row>
    <row r="7370" spans="2:4" x14ac:dyDescent="0.25">
      <c r="B7370">
        <f t="shared" ca="1" si="344"/>
        <v>54389.997248003368</v>
      </c>
      <c r="C7370">
        <f t="shared" ca="1" si="342"/>
        <v>0</v>
      </c>
      <c r="D7370">
        <f t="shared" ca="1" si="343"/>
        <v>14389.997248003368</v>
      </c>
    </row>
    <row r="7371" spans="2:4" x14ac:dyDescent="0.25">
      <c r="B7371">
        <f t="shared" ca="1" si="344"/>
        <v>47244.048770275323</v>
      </c>
      <c r="C7371">
        <f t="shared" ca="1" si="342"/>
        <v>0</v>
      </c>
      <c r="D7371">
        <f t="shared" ca="1" si="343"/>
        <v>7244.0487702753235</v>
      </c>
    </row>
    <row r="7372" spans="2:4" x14ac:dyDescent="0.25">
      <c r="B7372">
        <f t="shared" ca="1" si="344"/>
        <v>36059.796460589198</v>
      </c>
      <c r="C7372">
        <f t="shared" ref="C7372:C7435" ca="1" si="345">IF(MAX($B$2-B7372)&lt;0,0,$B$2-B7372)</f>
        <v>3940.2035394108025</v>
      </c>
      <c r="D7372">
        <f t="shared" ref="D7372:D7435" ca="1" si="346">IF(MAX(B7372-$B$2)&lt;0,0,B7372-$B$2)</f>
        <v>0</v>
      </c>
    </row>
    <row r="7373" spans="2:4" x14ac:dyDescent="0.25">
      <c r="B7373">
        <f t="shared" ref="B7373:B7436" ca="1" si="347">$B$1*EXP((($B$4-($B$3^2)/2)*$B$5+$B$3*SQRT($B$5)*NORMSINV(RAND())))</f>
        <v>38951.400888961369</v>
      </c>
      <c r="C7373">
        <f t="shared" ca="1" si="345"/>
        <v>1048.5991110386312</v>
      </c>
      <c r="D7373">
        <f t="shared" ca="1" si="346"/>
        <v>0</v>
      </c>
    </row>
    <row r="7374" spans="2:4" x14ac:dyDescent="0.25">
      <c r="B7374">
        <f t="shared" ca="1" si="347"/>
        <v>48248.057133937909</v>
      </c>
      <c r="C7374">
        <f t="shared" ca="1" si="345"/>
        <v>0</v>
      </c>
      <c r="D7374">
        <f t="shared" ca="1" si="346"/>
        <v>8248.0571339379094</v>
      </c>
    </row>
    <row r="7375" spans="2:4" x14ac:dyDescent="0.25">
      <c r="B7375">
        <f t="shared" ca="1" si="347"/>
        <v>41501.337853616475</v>
      </c>
      <c r="C7375">
        <f t="shared" ca="1" si="345"/>
        <v>0</v>
      </c>
      <c r="D7375">
        <f t="shared" ca="1" si="346"/>
        <v>1501.3378536164746</v>
      </c>
    </row>
    <row r="7376" spans="2:4" x14ac:dyDescent="0.25">
      <c r="B7376">
        <f t="shared" ca="1" si="347"/>
        <v>46007.268197428079</v>
      </c>
      <c r="C7376">
        <f t="shared" ca="1" si="345"/>
        <v>0</v>
      </c>
      <c r="D7376">
        <f t="shared" ca="1" si="346"/>
        <v>6007.2681974280786</v>
      </c>
    </row>
    <row r="7377" spans="2:4" x14ac:dyDescent="0.25">
      <c r="B7377">
        <f t="shared" ca="1" si="347"/>
        <v>41762.842034661873</v>
      </c>
      <c r="C7377">
        <f t="shared" ca="1" si="345"/>
        <v>0</v>
      </c>
      <c r="D7377">
        <f t="shared" ca="1" si="346"/>
        <v>1762.8420346618732</v>
      </c>
    </row>
    <row r="7378" spans="2:4" x14ac:dyDescent="0.25">
      <c r="B7378">
        <f t="shared" ca="1" si="347"/>
        <v>42650.322788746591</v>
      </c>
      <c r="C7378">
        <f t="shared" ca="1" si="345"/>
        <v>0</v>
      </c>
      <c r="D7378">
        <f t="shared" ca="1" si="346"/>
        <v>2650.322788746591</v>
      </c>
    </row>
    <row r="7379" spans="2:4" x14ac:dyDescent="0.25">
      <c r="B7379">
        <f t="shared" ca="1" si="347"/>
        <v>40383.354420126816</v>
      </c>
      <c r="C7379">
        <f t="shared" ca="1" si="345"/>
        <v>0</v>
      </c>
      <c r="D7379">
        <f t="shared" ca="1" si="346"/>
        <v>383.35442012681597</v>
      </c>
    </row>
    <row r="7380" spans="2:4" x14ac:dyDescent="0.25">
      <c r="B7380">
        <f t="shared" ca="1" si="347"/>
        <v>58271.047163054114</v>
      </c>
      <c r="C7380">
        <f t="shared" ca="1" si="345"/>
        <v>0</v>
      </c>
      <c r="D7380">
        <f t="shared" ca="1" si="346"/>
        <v>18271.047163054114</v>
      </c>
    </row>
    <row r="7381" spans="2:4" x14ac:dyDescent="0.25">
      <c r="B7381">
        <f t="shared" ca="1" si="347"/>
        <v>52210.594876082039</v>
      </c>
      <c r="C7381">
        <f t="shared" ca="1" si="345"/>
        <v>0</v>
      </c>
      <c r="D7381">
        <f t="shared" ca="1" si="346"/>
        <v>12210.594876082039</v>
      </c>
    </row>
    <row r="7382" spans="2:4" x14ac:dyDescent="0.25">
      <c r="B7382">
        <f t="shared" ca="1" si="347"/>
        <v>41000.978769582187</v>
      </c>
      <c r="C7382">
        <f t="shared" ca="1" si="345"/>
        <v>0</v>
      </c>
      <c r="D7382">
        <f t="shared" ca="1" si="346"/>
        <v>1000.9787695821869</v>
      </c>
    </row>
    <row r="7383" spans="2:4" x14ac:dyDescent="0.25">
      <c r="B7383">
        <f t="shared" ca="1" si="347"/>
        <v>43205.366519901356</v>
      </c>
      <c r="C7383">
        <f t="shared" ca="1" si="345"/>
        <v>0</v>
      </c>
      <c r="D7383">
        <f t="shared" ca="1" si="346"/>
        <v>3205.3665199013558</v>
      </c>
    </row>
    <row r="7384" spans="2:4" x14ac:dyDescent="0.25">
      <c r="B7384">
        <f t="shared" ca="1" si="347"/>
        <v>46336.222441108483</v>
      </c>
      <c r="C7384">
        <f t="shared" ca="1" si="345"/>
        <v>0</v>
      </c>
      <c r="D7384">
        <f t="shared" ca="1" si="346"/>
        <v>6336.2224411084826</v>
      </c>
    </row>
    <row r="7385" spans="2:4" x14ac:dyDescent="0.25">
      <c r="B7385">
        <f t="shared" ca="1" si="347"/>
        <v>39503.997252276895</v>
      </c>
      <c r="C7385">
        <f t="shared" ca="1" si="345"/>
        <v>496.00274772310513</v>
      </c>
      <c r="D7385">
        <f t="shared" ca="1" si="346"/>
        <v>0</v>
      </c>
    </row>
    <row r="7386" spans="2:4" x14ac:dyDescent="0.25">
      <c r="B7386">
        <f t="shared" ca="1" si="347"/>
        <v>44259.85845990089</v>
      </c>
      <c r="C7386">
        <f t="shared" ca="1" si="345"/>
        <v>0</v>
      </c>
      <c r="D7386">
        <f t="shared" ca="1" si="346"/>
        <v>4259.85845990089</v>
      </c>
    </row>
    <row r="7387" spans="2:4" x14ac:dyDescent="0.25">
      <c r="B7387">
        <f t="shared" ca="1" si="347"/>
        <v>38721.772014810813</v>
      </c>
      <c r="C7387">
        <f t="shared" ca="1" si="345"/>
        <v>1278.2279851891872</v>
      </c>
      <c r="D7387">
        <f t="shared" ca="1" si="346"/>
        <v>0</v>
      </c>
    </row>
    <row r="7388" spans="2:4" x14ac:dyDescent="0.25">
      <c r="B7388">
        <f t="shared" ca="1" si="347"/>
        <v>42416.722647997442</v>
      </c>
      <c r="C7388">
        <f t="shared" ca="1" si="345"/>
        <v>0</v>
      </c>
      <c r="D7388">
        <f t="shared" ca="1" si="346"/>
        <v>2416.7226479974415</v>
      </c>
    </row>
    <row r="7389" spans="2:4" x14ac:dyDescent="0.25">
      <c r="B7389">
        <f t="shared" ca="1" si="347"/>
        <v>36513.769259526285</v>
      </c>
      <c r="C7389">
        <f t="shared" ca="1" si="345"/>
        <v>3486.2307404737148</v>
      </c>
      <c r="D7389">
        <f t="shared" ca="1" si="346"/>
        <v>0</v>
      </c>
    </row>
    <row r="7390" spans="2:4" x14ac:dyDescent="0.25">
      <c r="B7390">
        <f t="shared" ca="1" si="347"/>
        <v>50426.164342855373</v>
      </c>
      <c r="C7390">
        <f t="shared" ca="1" si="345"/>
        <v>0</v>
      </c>
      <c r="D7390">
        <f t="shared" ca="1" si="346"/>
        <v>10426.164342855373</v>
      </c>
    </row>
    <row r="7391" spans="2:4" x14ac:dyDescent="0.25">
      <c r="B7391">
        <f t="shared" ca="1" si="347"/>
        <v>43380.852789748969</v>
      </c>
      <c r="C7391">
        <f t="shared" ca="1" si="345"/>
        <v>0</v>
      </c>
      <c r="D7391">
        <f t="shared" ca="1" si="346"/>
        <v>3380.8527897489694</v>
      </c>
    </row>
    <row r="7392" spans="2:4" x14ac:dyDescent="0.25">
      <c r="B7392">
        <f t="shared" ca="1" si="347"/>
        <v>43750.311397879508</v>
      </c>
      <c r="C7392">
        <f t="shared" ca="1" si="345"/>
        <v>0</v>
      </c>
      <c r="D7392">
        <f t="shared" ca="1" si="346"/>
        <v>3750.3113978795081</v>
      </c>
    </row>
    <row r="7393" spans="2:4" x14ac:dyDescent="0.25">
      <c r="B7393">
        <f t="shared" ca="1" si="347"/>
        <v>48046.636503109672</v>
      </c>
      <c r="C7393">
        <f t="shared" ca="1" si="345"/>
        <v>0</v>
      </c>
      <c r="D7393">
        <f t="shared" ca="1" si="346"/>
        <v>8046.636503109672</v>
      </c>
    </row>
    <row r="7394" spans="2:4" x14ac:dyDescent="0.25">
      <c r="B7394">
        <f t="shared" ca="1" si="347"/>
        <v>40504.45785616272</v>
      </c>
      <c r="C7394">
        <f t="shared" ca="1" si="345"/>
        <v>0</v>
      </c>
      <c r="D7394">
        <f t="shared" ca="1" si="346"/>
        <v>504.45785616272042</v>
      </c>
    </row>
    <row r="7395" spans="2:4" x14ac:dyDescent="0.25">
      <c r="B7395">
        <f t="shared" ca="1" si="347"/>
        <v>45496.272110637561</v>
      </c>
      <c r="C7395">
        <f t="shared" ca="1" si="345"/>
        <v>0</v>
      </c>
      <c r="D7395">
        <f t="shared" ca="1" si="346"/>
        <v>5496.2721106375611</v>
      </c>
    </row>
    <row r="7396" spans="2:4" x14ac:dyDescent="0.25">
      <c r="B7396">
        <f t="shared" ca="1" si="347"/>
        <v>44321.040746066508</v>
      </c>
      <c r="C7396">
        <f t="shared" ca="1" si="345"/>
        <v>0</v>
      </c>
      <c r="D7396">
        <f t="shared" ca="1" si="346"/>
        <v>4321.0407460665083</v>
      </c>
    </row>
    <row r="7397" spans="2:4" x14ac:dyDescent="0.25">
      <c r="B7397">
        <f t="shared" ca="1" si="347"/>
        <v>45622.054811176415</v>
      </c>
      <c r="C7397">
        <f t="shared" ca="1" si="345"/>
        <v>0</v>
      </c>
      <c r="D7397">
        <f t="shared" ca="1" si="346"/>
        <v>5622.0548111764147</v>
      </c>
    </row>
    <row r="7398" spans="2:4" x14ac:dyDescent="0.25">
      <c r="B7398">
        <f t="shared" ca="1" si="347"/>
        <v>42521.680755471258</v>
      </c>
      <c r="C7398">
        <f t="shared" ca="1" si="345"/>
        <v>0</v>
      </c>
      <c r="D7398">
        <f t="shared" ca="1" si="346"/>
        <v>2521.6807554712577</v>
      </c>
    </row>
    <row r="7399" spans="2:4" x14ac:dyDescent="0.25">
      <c r="B7399">
        <f t="shared" ca="1" si="347"/>
        <v>50826.359031394</v>
      </c>
      <c r="C7399">
        <f t="shared" ca="1" si="345"/>
        <v>0</v>
      </c>
      <c r="D7399">
        <f t="shared" ca="1" si="346"/>
        <v>10826.359031394</v>
      </c>
    </row>
    <row r="7400" spans="2:4" x14ac:dyDescent="0.25">
      <c r="B7400">
        <f t="shared" ca="1" si="347"/>
        <v>43356.422580593528</v>
      </c>
      <c r="C7400">
        <f t="shared" ca="1" si="345"/>
        <v>0</v>
      </c>
      <c r="D7400">
        <f t="shared" ca="1" si="346"/>
        <v>3356.4225805935275</v>
      </c>
    </row>
    <row r="7401" spans="2:4" x14ac:dyDescent="0.25">
      <c r="B7401">
        <f t="shared" ca="1" si="347"/>
        <v>46924.966253264211</v>
      </c>
      <c r="C7401">
        <f t="shared" ca="1" si="345"/>
        <v>0</v>
      </c>
      <c r="D7401">
        <f t="shared" ca="1" si="346"/>
        <v>6924.9662532642105</v>
      </c>
    </row>
    <row r="7402" spans="2:4" x14ac:dyDescent="0.25">
      <c r="B7402">
        <f t="shared" ca="1" si="347"/>
        <v>48445.90239983987</v>
      </c>
      <c r="C7402">
        <f t="shared" ca="1" si="345"/>
        <v>0</v>
      </c>
      <c r="D7402">
        <f t="shared" ca="1" si="346"/>
        <v>8445.9023998398698</v>
      </c>
    </row>
    <row r="7403" spans="2:4" x14ac:dyDescent="0.25">
      <c r="B7403">
        <f t="shared" ca="1" si="347"/>
        <v>52207.481624041713</v>
      </c>
      <c r="C7403">
        <f t="shared" ca="1" si="345"/>
        <v>0</v>
      </c>
      <c r="D7403">
        <f t="shared" ca="1" si="346"/>
        <v>12207.481624041713</v>
      </c>
    </row>
    <row r="7404" spans="2:4" x14ac:dyDescent="0.25">
      <c r="B7404">
        <f t="shared" ca="1" si="347"/>
        <v>41282.158277107294</v>
      </c>
      <c r="C7404">
        <f t="shared" ca="1" si="345"/>
        <v>0</v>
      </c>
      <c r="D7404">
        <f t="shared" ca="1" si="346"/>
        <v>1282.1582771072935</v>
      </c>
    </row>
    <row r="7405" spans="2:4" x14ac:dyDescent="0.25">
      <c r="B7405">
        <f t="shared" ca="1" si="347"/>
        <v>40790.881404644679</v>
      </c>
      <c r="C7405">
        <f t="shared" ca="1" si="345"/>
        <v>0</v>
      </c>
      <c r="D7405">
        <f t="shared" ca="1" si="346"/>
        <v>790.8814046446787</v>
      </c>
    </row>
    <row r="7406" spans="2:4" x14ac:dyDescent="0.25">
      <c r="B7406">
        <f t="shared" ca="1" si="347"/>
        <v>51833.434608312629</v>
      </c>
      <c r="C7406">
        <f t="shared" ca="1" si="345"/>
        <v>0</v>
      </c>
      <c r="D7406">
        <f t="shared" ca="1" si="346"/>
        <v>11833.434608312629</v>
      </c>
    </row>
    <row r="7407" spans="2:4" x14ac:dyDescent="0.25">
      <c r="B7407">
        <f t="shared" ca="1" si="347"/>
        <v>45524.169596748747</v>
      </c>
      <c r="C7407">
        <f t="shared" ca="1" si="345"/>
        <v>0</v>
      </c>
      <c r="D7407">
        <f t="shared" ca="1" si="346"/>
        <v>5524.1695967487467</v>
      </c>
    </row>
    <row r="7408" spans="2:4" x14ac:dyDescent="0.25">
      <c r="B7408">
        <f t="shared" ca="1" si="347"/>
        <v>44535.309818993104</v>
      </c>
      <c r="C7408">
        <f t="shared" ca="1" si="345"/>
        <v>0</v>
      </c>
      <c r="D7408">
        <f t="shared" ca="1" si="346"/>
        <v>4535.3098189931043</v>
      </c>
    </row>
    <row r="7409" spans="2:4" x14ac:dyDescent="0.25">
      <c r="B7409">
        <f t="shared" ca="1" si="347"/>
        <v>45188.633532491811</v>
      </c>
      <c r="C7409">
        <f t="shared" ca="1" si="345"/>
        <v>0</v>
      </c>
      <c r="D7409">
        <f t="shared" ca="1" si="346"/>
        <v>5188.6335324918109</v>
      </c>
    </row>
    <row r="7410" spans="2:4" x14ac:dyDescent="0.25">
      <c r="B7410">
        <f t="shared" ca="1" si="347"/>
        <v>44634.645319085161</v>
      </c>
      <c r="C7410">
        <f t="shared" ca="1" si="345"/>
        <v>0</v>
      </c>
      <c r="D7410">
        <f t="shared" ca="1" si="346"/>
        <v>4634.6453190851607</v>
      </c>
    </row>
    <row r="7411" spans="2:4" x14ac:dyDescent="0.25">
      <c r="B7411">
        <f t="shared" ca="1" si="347"/>
        <v>39868.280413901572</v>
      </c>
      <c r="C7411">
        <f t="shared" ca="1" si="345"/>
        <v>131.71958609842841</v>
      </c>
      <c r="D7411">
        <f t="shared" ca="1" si="346"/>
        <v>0</v>
      </c>
    </row>
    <row r="7412" spans="2:4" x14ac:dyDescent="0.25">
      <c r="B7412">
        <f t="shared" ca="1" si="347"/>
        <v>49805.634507228679</v>
      </c>
      <c r="C7412">
        <f t="shared" ca="1" si="345"/>
        <v>0</v>
      </c>
      <c r="D7412">
        <f t="shared" ca="1" si="346"/>
        <v>9805.6345072286786</v>
      </c>
    </row>
    <row r="7413" spans="2:4" x14ac:dyDescent="0.25">
      <c r="B7413">
        <f t="shared" ca="1" si="347"/>
        <v>53326.121349811256</v>
      </c>
      <c r="C7413">
        <f t="shared" ca="1" si="345"/>
        <v>0</v>
      </c>
      <c r="D7413">
        <f t="shared" ca="1" si="346"/>
        <v>13326.121349811256</v>
      </c>
    </row>
    <row r="7414" spans="2:4" x14ac:dyDescent="0.25">
      <c r="B7414">
        <f t="shared" ca="1" si="347"/>
        <v>50927.08726859514</v>
      </c>
      <c r="C7414">
        <f t="shared" ca="1" si="345"/>
        <v>0</v>
      </c>
      <c r="D7414">
        <f t="shared" ca="1" si="346"/>
        <v>10927.08726859514</v>
      </c>
    </row>
    <row r="7415" spans="2:4" x14ac:dyDescent="0.25">
      <c r="B7415">
        <f t="shared" ca="1" si="347"/>
        <v>48068.082874213142</v>
      </c>
      <c r="C7415">
        <f t="shared" ca="1" si="345"/>
        <v>0</v>
      </c>
      <c r="D7415">
        <f t="shared" ca="1" si="346"/>
        <v>8068.0828742131416</v>
      </c>
    </row>
    <row r="7416" spans="2:4" x14ac:dyDescent="0.25">
      <c r="B7416">
        <f t="shared" ca="1" si="347"/>
        <v>43259.546864256758</v>
      </c>
      <c r="C7416">
        <f t="shared" ca="1" si="345"/>
        <v>0</v>
      </c>
      <c r="D7416">
        <f t="shared" ca="1" si="346"/>
        <v>3259.5468642567575</v>
      </c>
    </row>
    <row r="7417" spans="2:4" x14ac:dyDescent="0.25">
      <c r="B7417">
        <f t="shared" ca="1" si="347"/>
        <v>46234.627391527843</v>
      </c>
      <c r="C7417">
        <f t="shared" ca="1" si="345"/>
        <v>0</v>
      </c>
      <c r="D7417">
        <f t="shared" ca="1" si="346"/>
        <v>6234.6273915278434</v>
      </c>
    </row>
    <row r="7418" spans="2:4" x14ac:dyDescent="0.25">
      <c r="B7418">
        <f t="shared" ca="1" si="347"/>
        <v>43522.119531439814</v>
      </c>
      <c r="C7418">
        <f t="shared" ca="1" si="345"/>
        <v>0</v>
      </c>
      <c r="D7418">
        <f t="shared" ca="1" si="346"/>
        <v>3522.1195314398137</v>
      </c>
    </row>
    <row r="7419" spans="2:4" x14ac:dyDescent="0.25">
      <c r="B7419">
        <f t="shared" ca="1" si="347"/>
        <v>53824.569652129241</v>
      </c>
      <c r="C7419">
        <f t="shared" ca="1" si="345"/>
        <v>0</v>
      </c>
      <c r="D7419">
        <f t="shared" ca="1" si="346"/>
        <v>13824.569652129241</v>
      </c>
    </row>
    <row r="7420" spans="2:4" x14ac:dyDescent="0.25">
      <c r="B7420">
        <f t="shared" ca="1" si="347"/>
        <v>43075.275910577147</v>
      </c>
      <c r="C7420">
        <f t="shared" ca="1" si="345"/>
        <v>0</v>
      </c>
      <c r="D7420">
        <f t="shared" ca="1" si="346"/>
        <v>3075.2759105771474</v>
      </c>
    </row>
    <row r="7421" spans="2:4" x14ac:dyDescent="0.25">
      <c r="B7421">
        <f t="shared" ca="1" si="347"/>
        <v>40994.438275507571</v>
      </c>
      <c r="C7421">
        <f t="shared" ca="1" si="345"/>
        <v>0</v>
      </c>
      <c r="D7421">
        <f t="shared" ca="1" si="346"/>
        <v>994.43827550757123</v>
      </c>
    </row>
    <row r="7422" spans="2:4" x14ac:dyDescent="0.25">
      <c r="B7422">
        <f t="shared" ca="1" si="347"/>
        <v>40720.924290170449</v>
      </c>
      <c r="C7422">
        <f t="shared" ca="1" si="345"/>
        <v>0</v>
      </c>
      <c r="D7422">
        <f t="shared" ca="1" si="346"/>
        <v>720.92429017044924</v>
      </c>
    </row>
    <row r="7423" spans="2:4" x14ac:dyDescent="0.25">
      <c r="B7423">
        <f t="shared" ca="1" si="347"/>
        <v>47760.37088690103</v>
      </c>
      <c r="C7423">
        <f t="shared" ca="1" si="345"/>
        <v>0</v>
      </c>
      <c r="D7423">
        <f t="shared" ca="1" si="346"/>
        <v>7760.3708869010297</v>
      </c>
    </row>
    <row r="7424" spans="2:4" x14ac:dyDescent="0.25">
      <c r="B7424">
        <f t="shared" ca="1" si="347"/>
        <v>43533.775012049853</v>
      </c>
      <c r="C7424">
        <f t="shared" ca="1" si="345"/>
        <v>0</v>
      </c>
      <c r="D7424">
        <f t="shared" ca="1" si="346"/>
        <v>3533.7750120498531</v>
      </c>
    </row>
    <row r="7425" spans="2:4" x14ac:dyDescent="0.25">
      <c r="B7425">
        <f t="shared" ca="1" si="347"/>
        <v>48492.984726923598</v>
      </c>
      <c r="C7425">
        <f t="shared" ca="1" si="345"/>
        <v>0</v>
      </c>
      <c r="D7425">
        <f t="shared" ca="1" si="346"/>
        <v>8492.9847269235979</v>
      </c>
    </row>
    <row r="7426" spans="2:4" x14ac:dyDescent="0.25">
      <c r="B7426">
        <f t="shared" ca="1" si="347"/>
        <v>42895.462647134547</v>
      </c>
      <c r="C7426">
        <f t="shared" ca="1" si="345"/>
        <v>0</v>
      </c>
      <c r="D7426">
        <f t="shared" ca="1" si="346"/>
        <v>2895.4626471345473</v>
      </c>
    </row>
    <row r="7427" spans="2:4" x14ac:dyDescent="0.25">
      <c r="B7427">
        <f t="shared" ca="1" si="347"/>
        <v>48401.102790577752</v>
      </c>
      <c r="C7427">
        <f t="shared" ca="1" si="345"/>
        <v>0</v>
      </c>
      <c r="D7427">
        <f t="shared" ca="1" si="346"/>
        <v>8401.1027905777519</v>
      </c>
    </row>
    <row r="7428" spans="2:4" x14ac:dyDescent="0.25">
      <c r="B7428">
        <f t="shared" ca="1" si="347"/>
        <v>39823.534037263729</v>
      </c>
      <c r="C7428">
        <f t="shared" ca="1" si="345"/>
        <v>176.46596273627074</v>
      </c>
      <c r="D7428">
        <f t="shared" ca="1" si="346"/>
        <v>0</v>
      </c>
    </row>
    <row r="7429" spans="2:4" x14ac:dyDescent="0.25">
      <c r="B7429">
        <f t="shared" ca="1" si="347"/>
        <v>53521.643882193144</v>
      </c>
      <c r="C7429">
        <f t="shared" ca="1" si="345"/>
        <v>0</v>
      </c>
      <c r="D7429">
        <f t="shared" ca="1" si="346"/>
        <v>13521.643882193144</v>
      </c>
    </row>
    <row r="7430" spans="2:4" x14ac:dyDescent="0.25">
      <c r="B7430">
        <f t="shared" ca="1" si="347"/>
        <v>43964.251054479217</v>
      </c>
      <c r="C7430">
        <f t="shared" ca="1" si="345"/>
        <v>0</v>
      </c>
      <c r="D7430">
        <f t="shared" ca="1" si="346"/>
        <v>3964.2510544792167</v>
      </c>
    </row>
    <row r="7431" spans="2:4" x14ac:dyDescent="0.25">
      <c r="B7431">
        <f t="shared" ca="1" si="347"/>
        <v>46467.576188431631</v>
      </c>
      <c r="C7431">
        <f t="shared" ca="1" si="345"/>
        <v>0</v>
      </c>
      <c r="D7431">
        <f t="shared" ca="1" si="346"/>
        <v>6467.5761884316307</v>
      </c>
    </row>
    <row r="7432" spans="2:4" x14ac:dyDescent="0.25">
      <c r="B7432">
        <f t="shared" ca="1" si="347"/>
        <v>39259.595901104753</v>
      </c>
      <c r="C7432">
        <f t="shared" ca="1" si="345"/>
        <v>740.40409889524744</v>
      </c>
      <c r="D7432">
        <f t="shared" ca="1" si="346"/>
        <v>0</v>
      </c>
    </row>
    <row r="7433" spans="2:4" x14ac:dyDescent="0.25">
      <c r="B7433">
        <f t="shared" ca="1" si="347"/>
        <v>40038.189130254323</v>
      </c>
      <c r="C7433">
        <f t="shared" ca="1" si="345"/>
        <v>0</v>
      </c>
      <c r="D7433">
        <f t="shared" ca="1" si="346"/>
        <v>38.189130254322663</v>
      </c>
    </row>
    <row r="7434" spans="2:4" x14ac:dyDescent="0.25">
      <c r="B7434">
        <f t="shared" ca="1" si="347"/>
        <v>37687.334521182333</v>
      </c>
      <c r="C7434">
        <f t="shared" ca="1" si="345"/>
        <v>2312.6654788176675</v>
      </c>
      <c r="D7434">
        <f t="shared" ca="1" si="346"/>
        <v>0</v>
      </c>
    </row>
    <row r="7435" spans="2:4" x14ac:dyDescent="0.25">
      <c r="B7435">
        <f t="shared" ca="1" si="347"/>
        <v>43345.712443296805</v>
      </c>
      <c r="C7435">
        <f t="shared" ca="1" si="345"/>
        <v>0</v>
      </c>
      <c r="D7435">
        <f t="shared" ca="1" si="346"/>
        <v>3345.7124432968048</v>
      </c>
    </row>
    <row r="7436" spans="2:4" x14ac:dyDescent="0.25">
      <c r="B7436">
        <f t="shared" ca="1" si="347"/>
        <v>46562.758533699169</v>
      </c>
      <c r="C7436">
        <f t="shared" ref="C7436:C7499" ca="1" si="348">IF(MAX($B$2-B7436)&lt;0,0,$B$2-B7436)</f>
        <v>0</v>
      </c>
      <c r="D7436">
        <f t="shared" ref="D7436:D7499" ca="1" si="349">IF(MAX(B7436-$B$2)&lt;0,0,B7436-$B$2)</f>
        <v>6562.7585336991688</v>
      </c>
    </row>
    <row r="7437" spans="2:4" x14ac:dyDescent="0.25">
      <c r="B7437">
        <f t="shared" ref="B7437:B7500" ca="1" si="350">$B$1*EXP((($B$4-($B$3^2)/2)*$B$5+$B$3*SQRT($B$5)*NORMSINV(RAND())))</f>
        <v>40063.890584919456</v>
      </c>
      <c r="C7437">
        <f t="shared" ca="1" si="348"/>
        <v>0</v>
      </c>
      <c r="D7437">
        <f t="shared" ca="1" si="349"/>
        <v>63.89058491945616</v>
      </c>
    </row>
    <row r="7438" spans="2:4" x14ac:dyDescent="0.25">
      <c r="B7438">
        <f t="shared" ca="1" si="350"/>
        <v>44260.526861410857</v>
      </c>
      <c r="C7438">
        <f t="shared" ca="1" si="348"/>
        <v>0</v>
      </c>
      <c r="D7438">
        <f t="shared" ca="1" si="349"/>
        <v>4260.5268614108572</v>
      </c>
    </row>
    <row r="7439" spans="2:4" x14ac:dyDescent="0.25">
      <c r="B7439">
        <f t="shared" ca="1" si="350"/>
        <v>42491.591706964442</v>
      </c>
      <c r="C7439">
        <f t="shared" ca="1" si="348"/>
        <v>0</v>
      </c>
      <c r="D7439">
        <f t="shared" ca="1" si="349"/>
        <v>2491.591706964442</v>
      </c>
    </row>
    <row r="7440" spans="2:4" x14ac:dyDescent="0.25">
      <c r="B7440">
        <f t="shared" ca="1" si="350"/>
        <v>53154.551468970501</v>
      </c>
      <c r="C7440">
        <f t="shared" ca="1" si="348"/>
        <v>0</v>
      </c>
      <c r="D7440">
        <f t="shared" ca="1" si="349"/>
        <v>13154.551468970501</v>
      </c>
    </row>
    <row r="7441" spans="2:4" x14ac:dyDescent="0.25">
      <c r="B7441">
        <f t="shared" ca="1" si="350"/>
        <v>41332.513610561378</v>
      </c>
      <c r="C7441">
        <f t="shared" ca="1" si="348"/>
        <v>0</v>
      </c>
      <c r="D7441">
        <f t="shared" ca="1" si="349"/>
        <v>1332.5136105613783</v>
      </c>
    </row>
    <row r="7442" spans="2:4" x14ac:dyDescent="0.25">
      <c r="B7442">
        <f t="shared" ca="1" si="350"/>
        <v>46818.211284636753</v>
      </c>
      <c r="C7442">
        <f t="shared" ca="1" si="348"/>
        <v>0</v>
      </c>
      <c r="D7442">
        <f t="shared" ca="1" si="349"/>
        <v>6818.2112846367527</v>
      </c>
    </row>
    <row r="7443" spans="2:4" x14ac:dyDescent="0.25">
      <c r="B7443">
        <f t="shared" ca="1" si="350"/>
        <v>47507.28788185514</v>
      </c>
      <c r="C7443">
        <f t="shared" ca="1" si="348"/>
        <v>0</v>
      </c>
      <c r="D7443">
        <f t="shared" ca="1" si="349"/>
        <v>7507.2878818551399</v>
      </c>
    </row>
    <row r="7444" spans="2:4" x14ac:dyDescent="0.25">
      <c r="B7444">
        <f t="shared" ca="1" si="350"/>
        <v>39299.058853229246</v>
      </c>
      <c r="C7444">
        <f t="shared" ca="1" si="348"/>
        <v>700.94114677075413</v>
      </c>
      <c r="D7444">
        <f t="shared" ca="1" si="349"/>
        <v>0</v>
      </c>
    </row>
    <row r="7445" spans="2:4" x14ac:dyDescent="0.25">
      <c r="B7445">
        <f t="shared" ca="1" si="350"/>
        <v>45906.228980294341</v>
      </c>
      <c r="C7445">
        <f t="shared" ca="1" si="348"/>
        <v>0</v>
      </c>
      <c r="D7445">
        <f t="shared" ca="1" si="349"/>
        <v>5906.2289802943415</v>
      </c>
    </row>
    <row r="7446" spans="2:4" x14ac:dyDescent="0.25">
      <c r="B7446">
        <f t="shared" ca="1" si="350"/>
        <v>42627.679609316503</v>
      </c>
      <c r="C7446">
        <f t="shared" ca="1" si="348"/>
        <v>0</v>
      </c>
      <c r="D7446">
        <f t="shared" ca="1" si="349"/>
        <v>2627.679609316503</v>
      </c>
    </row>
    <row r="7447" spans="2:4" x14ac:dyDescent="0.25">
      <c r="B7447">
        <f t="shared" ca="1" si="350"/>
        <v>45517.54189934364</v>
      </c>
      <c r="C7447">
        <f t="shared" ca="1" si="348"/>
        <v>0</v>
      </c>
      <c r="D7447">
        <f t="shared" ca="1" si="349"/>
        <v>5517.5418993436397</v>
      </c>
    </row>
    <row r="7448" spans="2:4" x14ac:dyDescent="0.25">
      <c r="B7448">
        <f t="shared" ca="1" si="350"/>
        <v>53303.682474509653</v>
      </c>
      <c r="C7448">
        <f t="shared" ca="1" si="348"/>
        <v>0</v>
      </c>
      <c r="D7448">
        <f t="shared" ca="1" si="349"/>
        <v>13303.682474509653</v>
      </c>
    </row>
    <row r="7449" spans="2:4" x14ac:dyDescent="0.25">
      <c r="B7449">
        <f t="shared" ca="1" si="350"/>
        <v>59391.950230229704</v>
      </c>
      <c r="C7449">
        <f t="shared" ca="1" si="348"/>
        <v>0</v>
      </c>
      <c r="D7449">
        <f t="shared" ca="1" si="349"/>
        <v>19391.950230229704</v>
      </c>
    </row>
    <row r="7450" spans="2:4" x14ac:dyDescent="0.25">
      <c r="B7450">
        <f t="shared" ca="1" si="350"/>
        <v>39453.776176580745</v>
      </c>
      <c r="C7450">
        <f t="shared" ca="1" si="348"/>
        <v>546.2238234192555</v>
      </c>
      <c r="D7450">
        <f t="shared" ca="1" si="349"/>
        <v>0</v>
      </c>
    </row>
    <row r="7451" spans="2:4" x14ac:dyDescent="0.25">
      <c r="B7451">
        <f t="shared" ca="1" si="350"/>
        <v>45645.804493873657</v>
      </c>
      <c r="C7451">
        <f t="shared" ca="1" si="348"/>
        <v>0</v>
      </c>
      <c r="D7451">
        <f t="shared" ca="1" si="349"/>
        <v>5645.8044938736566</v>
      </c>
    </row>
    <row r="7452" spans="2:4" x14ac:dyDescent="0.25">
      <c r="B7452">
        <f t="shared" ca="1" si="350"/>
        <v>41530.980006627186</v>
      </c>
      <c r="C7452">
        <f t="shared" ca="1" si="348"/>
        <v>0</v>
      </c>
      <c r="D7452">
        <f t="shared" ca="1" si="349"/>
        <v>1530.9800066271855</v>
      </c>
    </row>
    <row r="7453" spans="2:4" x14ac:dyDescent="0.25">
      <c r="B7453">
        <f t="shared" ca="1" si="350"/>
        <v>41320.907736722758</v>
      </c>
      <c r="C7453">
        <f t="shared" ca="1" si="348"/>
        <v>0</v>
      </c>
      <c r="D7453">
        <f t="shared" ca="1" si="349"/>
        <v>1320.9077367227583</v>
      </c>
    </row>
    <row r="7454" spans="2:4" x14ac:dyDescent="0.25">
      <c r="B7454">
        <f t="shared" ca="1" si="350"/>
        <v>44600.378908393424</v>
      </c>
      <c r="C7454">
        <f t="shared" ca="1" si="348"/>
        <v>0</v>
      </c>
      <c r="D7454">
        <f t="shared" ca="1" si="349"/>
        <v>4600.3789083934244</v>
      </c>
    </row>
    <row r="7455" spans="2:4" x14ac:dyDescent="0.25">
      <c r="B7455">
        <f t="shared" ca="1" si="350"/>
        <v>41603.418917597242</v>
      </c>
      <c r="C7455">
        <f t="shared" ca="1" si="348"/>
        <v>0</v>
      </c>
      <c r="D7455">
        <f t="shared" ca="1" si="349"/>
        <v>1603.4189175972424</v>
      </c>
    </row>
    <row r="7456" spans="2:4" x14ac:dyDescent="0.25">
      <c r="B7456">
        <f t="shared" ca="1" si="350"/>
        <v>55148.6405111598</v>
      </c>
      <c r="C7456">
        <f t="shared" ca="1" si="348"/>
        <v>0</v>
      </c>
      <c r="D7456">
        <f t="shared" ca="1" si="349"/>
        <v>15148.6405111598</v>
      </c>
    </row>
    <row r="7457" spans="2:4" x14ac:dyDescent="0.25">
      <c r="B7457">
        <f t="shared" ca="1" si="350"/>
        <v>44677.628759693951</v>
      </c>
      <c r="C7457">
        <f t="shared" ca="1" si="348"/>
        <v>0</v>
      </c>
      <c r="D7457">
        <f t="shared" ca="1" si="349"/>
        <v>4677.628759693951</v>
      </c>
    </row>
    <row r="7458" spans="2:4" x14ac:dyDescent="0.25">
      <c r="B7458">
        <f t="shared" ca="1" si="350"/>
        <v>44657.54968684815</v>
      </c>
      <c r="C7458">
        <f t="shared" ca="1" si="348"/>
        <v>0</v>
      </c>
      <c r="D7458">
        <f t="shared" ca="1" si="349"/>
        <v>4657.5496868481496</v>
      </c>
    </row>
    <row r="7459" spans="2:4" x14ac:dyDescent="0.25">
      <c r="B7459">
        <f t="shared" ca="1" si="350"/>
        <v>41812.573869436092</v>
      </c>
      <c r="C7459">
        <f t="shared" ca="1" si="348"/>
        <v>0</v>
      </c>
      <c r="D7459">
        <f t="shared" ca="1" si="349"/>
        <v>1812.5738694360916</v>
      </c>
    </row>
    <row r="7460" spans="2:4" x14ac:dyDescent="0.25">
      <c r="B7460">
        <f t="shared" ca="1" si="350"/>
        <v>47483.497352574275</v>
      </c>
      <c r="C7460">
        <f t="shared" ca="1" si="348"/>
        <v>0</v>
      </c>
      <c r="D7460">
        <f t="shared" ca="1" si="349"/>
        <v>7483.4973525742753</v>
      </c>
    </row>
    <row r="7461" spans="2:4" x14ac:dyDescent="0.25">
      <c r="B7461">
        <f t="shared" ca="1" si="350"/>
        <v>44817.011359523502</v>
      </c>
      <c r="C7461">
        <f t="shared" ca="1" si="348"/>
        <v>0</v>
      </c>
      <c r="D7461">
        <f t="shared" ca="1" si="349"/>
        <v>4817.0113595235016</v>
      </c>
    </row>
    <row r="7462" spans="2:4" x14ac:dyDescent="0.25">
      <c r="B7462">
        <f t="shared" ca="1" si="350"/>
        <v>43594.009341371755</v>
      </c>
      <c r="C7462">
        <f t="shared" ca="1" si="348"/>
        <v>0</v>
      </c>
      <c r="D7462">
        <f t="shared" ca="1" si="349"/>
        <v>3594.009341371755</v>
      </c>
    </row>
    <row r="7463" spans="2:4" x14ac:dyDescent="0.25">
      <c r="B7463">
        <f t="shared" ca="1" si="350"/>
        <v>40865.099261913412</v>
      </c>
      <c r="C7463">
        <f t="shared" ca="1" si="348"/>
        <v>0</v>
      </c>
      <c r="D7463">
        <f t="shared" ca="1" si="349"/>
        <v>865.09926191341219</v>
      </c>
    </row>
    <row r="7464" spans="2:4" x14ac:dyDescent="0.25">
      <c r="B7464">
        <f t="shared" ca="1" si="350"/>
        <v>47099.11467834597</v>
      </c>
      <c r="C7464">
        <f t="shared" ca="1" si="348"/>
        <v>0</v>
      </c>
      <c r="D7464">
        <f t="shared" ca="1" si="349"/>
        <v>7099.1146783459699</v>
      </c>
    </row>
    <row r="7465" spans="2:4" x14ac:dyDescent="0.25">
      <c r="B7465">
        <f t="shared" ca="1" si="350"/>
        <v>46659.991182652477</v>
      </c>
      <c r="C7465">
        <f t="shared" ca="1" si="348"/>
        <v>0</v>
      </c>
      <c r="D7465">
        <f t="shared" ca="1" si="349"/>
        <v>6659.9911826524767</v>
      </c>
    </row>
    <row r="7466" spans="2:4" x14ac:dyDescent="0.25">
      <c r="B7466">
        <f t="shared" ca="1" si="350"/>
        <v>50061.167622936016</v>
      </c>
      <c r="C7466">
        <f t="shared" ca="1" si="348"/>
        <v>0</v>
      </c>
      <c r="D7466">
        <f t="shared" ca="1" si="349"/>
        <v>10061.167622936016</v>
      </c>
    </row>
    <row r="7467" spans="2:4" x14ac:dyDescent="0.25">
      <c r="B7467">
        <f t="shared" ca="1" si="350"/>
        <v>42880.18564189961</v>
      </c>
      <c r="C7467">
        <f t="shared" ca="1" si="348"/>
        <v>0</v>
      </c>
      <c r="D7467">
        <f t="shared" ca="1" si="349"/>
        <v>2880.1856418996103</v>
      </c>
    </row>
    <row r="7468" spans="2:4" x14ac:dyDescent="0.25">
      <c r="B7468">
        <f t="shared" ca="1" si="350"/>
        <v>51772.714467536709</v>
      </c>
      <c r="C7468">
        <f t="shared" ca="1" si="348"/>
        <v>0</v>
      </c>
      <c r="D7468">
        <f t="shared" ca="1" si="349"/>
        <v>11772.714467536709</v>
      </c>
    </row>
    <row r="7469" spans="2:4" x14ac:dyDescent="0.25">
      <c r="B7469">
        <f t="shared" ca="1" si="350"/>
        <v>46652.211955457395</v>
      </c>
      <c r="C7469">
        <f t="shared" ca="1" si="348"/>
        <v>0</v>
      </c>
      <c r="D7469">
        <f t="shared" ca="1" si="349"/>
        <v>6652.2119554573947</v>
      </c>
    </row>
    <row r="7470" spans="2:4" x14ac:dyDescent="0.25">
      <c r="B7470">
        <f t="shared" ca="1" si="350"/>
        <v>47594.0595589281</v>
      </c>
      <c r="C7470">
        <f t="shared" ca="1" si="348"/>
        <v>0</v>
      </c>
      <c r="D7470">
        <f t="shared" ca="1" si="349"/>
        <v>7594.0595589281002</v>
      </c>
    </row>
    <row r="7471" spans="2:4" x14ac:dyDescent="0.25">
      <c r="B7471">
        <f t="shared" ca="1" si="350"/>
        <v>43563.531388087191</v>
      </c>
      <c r="C7471">
        <f t="shared" ca="1" si="348"/>
        <v>0</v>
      </c>
      <c r="D7471">
        <f t="shared" ca="1" si="349"/>
        <v>3563.5313880871909</v>
      </c>
    </row>
    <row r="7472" spans="2:4" x14ac:dyDescent="0.25">
      <c r="B7472">
        <f t="shared" ca="1" si="350"/>
        <v>42264.198229198184</v>
      </c>
      <c r="C7472">
        <f t="shared" ca="1" si="348"/>
        <v>0</v>
      </c>
      <c r="D7472">
        <f t="shared" ca="1" si="349"/>
        <v>2264.198229198184</v>
      </c>
    </row>
    <row r="7473" spans="2:4" x14ac:dyDescent="0.25">
      <c r="B7473">
        <f t="shared" ca="1" si="350"/>
        <v>43689.15490900982</v>
      </c>
      <c r="C7473">
        <f t="shared" ca="1" si="348"/>
        <v>0</v>
      </c>
      <c r="D7473">
        <f t="shared" ca="1" si="349"/>
        <v>3689.1549090098197</v>
      </c>
    </row>
    <row r="7474" spans="2:4" x14ac:dyDescent="0.25">
      <c r="B7474">
        <f t="shared" ca="1" si="350"/>
        <v>45958.257056605958</v>
      </c>
      <c r="C7474">
        <f t="shared" ca="1" si="348"/>
        <v>0</v>
      </c>
      <c r="D7474">
        <f t="shared" ca="1" si="349"/>
        <v>5958.2570566059585</v>
      </c>
    </row>
    <row r="7475" spans="2:4" x14ac:dyDescent="0.25">
      <c r="B7475">
        <f t="shared" ca="1" si="350"/>
        <v>47583.974949889249</v>
      </c>
      <c r="C7475">
        <f t="shared" ca="1" si="348"/>
        <v>0</v>
      </c>
      <c r="D7475">
        <f t="shared" ca="1" si="349"/>
        <v>7583.9749498892488</v>
      </c>
    </row>
    <row r="7476" spans="2:4" x14ac:dyDescent="0.25">
      <c r="B7476">
        <f t="shared" ca="1" si="350"/>
        <v>41061.196523542123</v>
      </c>
      <c r="C7476">
        <f t="shared" ca="1" si="348"/>
        <v>0</v>
      </c>
      <c r="D7476">
        <f t="shared" ca="1" si="349"/>
        <v>1061.196523542123</v>
      </c>
    </row>
    <row r="7477" spans="2:4" x14ac:dyDescent="0.25">
      <c r="B7477">
        <f t="shared" ca="1" si="350"/>
        <v>44408.603824213787</v>
      </c>
      <c r="C7477">
        <f t="shared" ca="1" si="348"/>
        <v>0</v>
      </c>
      <c r="D7477">
        <f t="shared" ca="1" si="349"/>
        <v>4408.6038242137874</v>
      </c>
    </row>
    <row r="7478" spans="2:4" x14ac:dyDescent="0.25">
      <c r="B7478">
        <f t="shared" ca="1" si="350"/>
        <v>49061.968529683349</v>
      </c>
      <c r="C7478">
        <f t="shared" ca="1" si="348"/>
        <v>0</v>
      </c>
      <c r="D7478">
        <f t="shared" ca="1" si="349"/>
        <v>9061.9685296833486</v>
      </c>
    </row>
    <row r="7479" spans="2:4" x14ac:dyDescent="0.25">
      <c r="B7479">
        <f t="shared" ca="1" si="350"/>
        <v>47186.911812924249</v>
      </c>
      <c r="C7479">
        <f t="shared" ca="1" si="348"/>
        <v>0</v>
      </c>
      <c r="D7479">
        <f t="shared" ca="1" si="349"/>
        <v>7186.9118129242488</v>
      </c>
    </row>
    <row r="7480" spans="2:4" x14ac:dyDescent="0.25">
      <c r="B7480">
        <f t="shared" ca="1" si="350"/>
        <v>46592.284784594143</v>
      </c>
      <c r="C7480">
        <f t="shared" ca="1" si="348"/>
        <v>0</v>
      </c>
      <c r="D7480">
        <f t="shared" ca="1" si="349"/>
        <v>6592.2847845941433</v>
      </c>
    </row>
    <row r="7481" spans="2:4" x14ac:dyDescent="0.25">
      <c r="B7481">
        <f t="shared" ca="1" si="350"/>
        <v>51512.543429766629</v>
      </c>
      <c r="C7481">
        <f t="shared" ca="1" si="348"/>
        <v>0</v>
      </c>
      <c r="D7481">
        <f t="shared" ca="1" si="349"/>
        <v>11512.543429766629</v>
      </c>
    </row>
    <row r="7482" spans="2:4" x14ac:dyDescent="0.25">
      <c r="B7482">
        <f t="shared" ca="1" si="350"/>
        <v>51468.561978949772</v>
      </c>
      <c r="C7482">
        <f t="shared" ca="1" si="348"/>
        <v>0</v>
      </c>
      <c r="D7482">
        <f t="shared" ca="1" si="349"/>
        <v>11468.561978949772</v>
      </c>
    </row>
    <row r="7483" spans="2:4" x14ac:dyDescent="0.25">
      <c r="B7483">
        <f t="shared" ca="1" si="350"/>
        <v>47580.040542491988</v>
      </c>
      <c r="C7483">
        <f t="shared" ca="1" si="348"/>
        <v>0</v>
      </c>
      <c r="D7483">
        <f t="shared" ca="1" si="349"/>
        <v>7580.0405424919882</v>
      </c>
    </row>
    <row r="7484" spans="2:4" x14ac:dyDescent="0.25">
      <c r="B7484">
        <f t="shared" ca="1" si="350"/>
        <v>49308.773039764164</v>
      </c>
      <c r="C7484">
        <f t="shared" ca="1" si="348"/>
        <v>0</v>
      </c>
      <c r="D7484">
        <f t="shared" ca="1" si="349"/>
        <v>9308.7730397641644</v>
      </c>
    </row>
    <row r="7485" spans="2:4" x14ac:dyDescent="0.25">
      <c r="B7485">
        <f t="shared" ca="1" si="350"/>
        <v>43867.433473938945</v>
      </c>
      <c r="C7485">
        <f t="shared" ca="1" si="348"/>
        <v>0</v>
      </c>
      <c r="D7485">
        <f t="shared" ca="1" si="349"/>
        <v>3867.4334739389451</v>
      </c>
    </row>
    <row r="7486" spans="2:4" x14ac:dyDescent="0.25">
      <c r="B7486">
        <f t="shared" ca="1" si="350"/>
        <v>52234.194070931124</v>
      </c>
      <c r="C7486">
        <f t="shared" ca="1" si="348"/>
        <v>0</v>
      </c>
      <c r="D7486">
        <f t="shared" ca="1" si="349"/>
        <v>12234.194070931124</v>
      </c>
    </row>
    <row r="7487" spans="2:4" x14ac:dyDescent="0.25">
      <c r="B7487">
        <f t="shared" ca="1" si="350"/>
        <v>52228.025164246828</v>
      </c>
      <c r="C7487">
        <f t="shared" ca="1" si="348"/>
        <v>0</v>
      </c>
      <c r="D7487">
        <f t="shared" ca="1" si="349"/>
        <v>12228.025164246828</v>
      </c>
    </row>
    <row r="7488" spans="2:4" x14ac:dyDescent="0.25">
      <c r="B7488">
        <f t="shared" ca="1" si="350"/>
        <v>45863.541294803872</v>
      </c>
      <c r="C7488">
        <f t="shared" ca="1" si="348"/>
        <v>0</v>
      </c>
      <c r="D7488">
        <f t="shared" ca="1" si="349"/>
        <v>5863.541294803872</v>
      </c>
    </row>
    <row r="7489" spans="2:4" x14ac:dyDescent="0.25">
      <c r="B7489">
        <f t="shared" ca="1" si="350"/>
        <v>42467.770763758483</v>
      </c>
      <c r="C7489">
        <f t="shared" ca="1" si="348"/>
        <v>0</v>
      </c>
      <c r="D7489">
        <f t="shared" ca="1" si="349"/>
        <v>2467.7707637584826</v>
      </c>
    </row>
    <row r="7490" spans="2:4" x14ac:dyDescent="0.25">
      <c r="B7490">
        <f t="shared" ca="1" si="350"/>
        <v>48606.713069004349</v>
      </c>
      <c r="C7490">
        <f t="shared" ca="1" si="348"/>
        <v>0</v>
      </c>
      <c r="D7490">
        <f t="shared" ca="1" si="349"/>
        <v>8606.7130690043487</v>
      </c>
    </row>
    <row r="7491" spans="2:4" x14ac:dyDescent="0.25">
      <c r="B7491">
        <f t="shared" ca="1" si="350"/>
        <v>44232.381756482726</v>
      </c>
      <c r="C7491">
        <f t="shared" ca="1" si="348"/>
        <v>0</v>
      </c>
      <c r="D7491">
        <f t="shared" ca="1" si="349"/>
        <v>4232.3817564827259</v>
      </c>
    </row>
    <row r="7492" spans="2:4" x14ac:dyDescent="0.25">
      <c r="B7492">
        <f t="shared" ca="1" si="350"/>
        <v>44660.661285792026</v>
      </c>
      <c r="C7492">
        <f t="shared" ca="1" si="348"/>
        <v>0</v>
      </c>
      <c r="D7492">
        <f t="shared" ca="1" si="349"/>
        <v>4660.6612857920263</v>
      </c>
    </row>
    <row r="7493" spans="2:4" x14ac:dyDescent="0.25">
      <c r="B7493">
        <f t="shared" ca="1" si="350"/>
        <v>46976.115048293053</v>
      </c>
      <c r="C7493">
        <f t="shared" ca="1" si="348"/>
        <v>0</v>
      </c>
      <c r="D7493">
        <f t="shared" ca="1" si="349"/>
        <v>6976.1150482930534</v>
      </c>
    </row>
    <row r="7494" spans="2:4" x14ac:dyDescent="0.25">
      <c r="B7494">
        <f t="shared" ca="1" si="350"/>
        <v>49392.307275862644</v>
      </c>
      <c r="C7494">
        <f t="shared" ca="1" si="348"/>
        <v>0</v>
      </c>
      <c r="D7494">
        <f t="shared" ca="1" si="349"/>
        <v>9392.307275862644</v>
      </c>
    </row>
    <row r="7495" spans="2:4" x14ac:dyDescent="0.25">
      <c r="B7495">
        <f t="shared" ca="1" si="350"/>
        <v>44918.402158243924</v>
      </c>
      <c r="C7495">
        <f t="shared" ca="1" si="348"/>
        <v>0</v>
      </c>
      <c r="D7495">
        <f t="shared" ca="1" si="349"/>
        <v>4918.4021582439236</v>
      </c>
    </row>
    <row r="7496" spans="2:4" x14ac:dyDescent="0.25">
      <c r="B7496">
        <f t="shared" ca="1" si="350"/>
        <v>45084.415946870053</v>
      </c>
      <c r="C7496">
        <f t="shared" ca="1" si="348"/>
        <v>0</v>
      </c>
      <c r="D7496">
        <f t="shared" ca="1" si="349"/>
        <v>5084.4159468700527</v>
      </c>
    </row>
    <row r="7497" spans="2:4" x14ac:dyDescent="0.25">
      <c r="B7497">
        <f t="shared" ca="1" si="350"/>
        <v>49182.068839793712</v>
      </c>
      <c r="C7497">
        <f t="shared" ca="1" si="348"/>
        <v>0</v>
      </c>
      <c r="D7497">
        <f t="shared" ca="1" si="349"/>
        <v>9182.068839793712</v>
      </c>
    </row>
    <row r="7498" spans="2:4" x14ac:dyDescent="0.25">
      <c r="B7498">
        <f t="shared" ca="1" si="350"/>
        <v>46965.566330788773</v>
      </c>
      <c r="C7498">
        <f t="shared" ca="1" si="348"/>
        <v>0</v>
      </c>
      <c r="D7498">
        <f t="shared" ca="1" si="349"/>
        <v>6965.5663307887735</v>
      </c>
    </row>
    <row r="7499" spans="2:4" x14ac:dyDescent="0.25">
      <c r="B7499">
        <f t="shared" ca="1" si="350"/>
        <v>40683.154200068544</v>
      </c>
      <c r="C7499">
        <f t="shared" ca="1" si="348"/>
        <v>0</v>
      </c>
      <c r="D7499">
        <f t="shared" ca="1" si="349"/>
        <v>683.15420006854401</v>
      </c>
    </row>
    <row r="7500" spans="2:4" x14ac:dyDescent="0.25">
      <c r="B7500">
        <f t="shared" ca="1" si="350"/>
        <v>51439.641355673441</v>
      </c>
      <c r="C7500">
        <f t="shared" ref="C7500:C7563" ca="1" si="351">IF(MAX($B$2-B7500)&lt;0,0,$B$2-B7500)</f>
        <v>0</v>
      </c>
      <c r="D7500">
        <f t="shared" ref="D7500:D7563" ca="1" si="352">IF(MAX(B7500-$B$2)&lt;0,0,B7500-$B$2)</f>
        <v>11439.641355673441</v>
      </c>
    </row>
    <row r="7501" spans="2:4" x14ac:dyDescent="0.25">
      <c r="B7501">
        <f t="shared" ref="B7501:B7564" ca="1" si="353">$B$1*EXP((($B$4-($B$3^2)/2)*$B$5+$B$3*SQRT($B$5)*NORMSINV(RAND())))</f>
        <v>50915.565038498629</v>
      </c>
      <c r="C7501">
        <f t="shared" ca="1" si="351"/>
        <v>0</v>
      </c>
      <c r="D7501">
        <f t="shared" ca="1" si="352"/>
        <v>10915.565038498629</v>
      </c>
    </row>
    <row r="7502" spans="2:4" x14ac:dyDescent="0.25">
      <c r="B7502">
        <f t="shared" ca="1" si="353"/>
        <v>46725.189502195783</v>
      </c>
      <c r="C7502">
        <f t="shared" ca="1" si="351"/>
        <v>0</v>
      </c>
      <c r="D7502">
        <f t="shared" ca="1" si="352"/>
        <v>6725.1895021957826</v>
      </c>
    </row>
    <row r="7503" spans="2:4" x14ac:dyDescent="0.25">
      <c r="B7503">
        <f t="shared" ca="1" si="353"/>
        <v>48863.645316919232</v>
      </c>
      <c r="C7503">
        <f t="shared" ca="1" si="351"/>
        <v>0</v>
      </c>
      <c r="D7503">
        <f t="shared" ca="1" si="352"/>
        <v>8863.6453169192318</v>
      </c>
    </row>
    <row r="7504" spans="2:4" x14ac:dyDescent="0.25">
      <c r="B7504">
        <f t="shared" ca="1" si="353"/>
        <v>47365.130548675268</v>
      </c>
      <c r="C7504">
        <f t="shared" ca="1" si="351"/>
        <v>0</v>
      </c>
      <c r="D7504">
        <f t="shared" ca="1" si="352"/>
        <v>7365.1305486752681</v>
      </c>
    </row>
    <row r="7505" spans="2:4" x14ac:dyDescent="0.25">
      <c r="B7505">
        <f t="shared" ca="1" si="353"/>
        <v>45037.910339190821</v>
      </c>
      <c r="C7505">
        <f t="shared" ca="1" si="351"/>
        <v>0</v>
      </c>
      <c r="D7505">
        <f t="shared" ca="1" si="352"/>
        <v>5037.9103391908211</v>
      </c>
    </row>
    <row r="7506" spans="2:4" x14ac:dyDescent="0.25">
      <c r="B7506">
        <f t="shared" ca="1" si="353"/>
        <v>43772.719096896762</v>
      </c>
      <c r="C7506">
        <f t="shared" ca="1" si="351"/>
        <v>0</v>
      </c>
      <c r="D7506">
        <f t="shared" ca="1" si="352"/>
        <v>3772.7190968967625</v>
      </c>
    </row>
    <row r="7507" spans="2:4" x14ac:dyDescent="0.25">
      <c r="B7507">
        <f t="shared" ca="1" si="353"/>
        <v>44080.677341629904</v>
      </c>
      <c r="C7507">
        <f t="shared" ca="1" si="351"/>
        <v>0</v>
      </c>
      <c r="D7507">
        <f t="shared" ca="1" si="352"/>
        <v>4080.6773416299038</v>
      </c>
    </row>
    <row r="7508" spans="2:4" x14ac:dyDescent="0.25">
      <c r="B7508">
        <f t="shared" ca="1" si="353"/>
        <v>49364.174746316137</v>
      </c>
      <c r="C7508">
        <f t="shared" ca="1" si="351"/>
        <v>0</v>
      </c>
      <c r="D7508">
        <f t="shared" ca="1" si="352"/>
        <v>9364.1747463161373</v>
      </c>
    </row>
    <row r="7509" spans="2:4" x14ac:dyDescent="0.25">
      <c r="B7509">
        <f t="shared" ca="1" si="353"/>
        <v>43954.90472059881</v>
      </c>
      <c r="C7509">
        <f t="shared" ca="1" si="351"/>
        <v>0</v>
      </c>
      <c r="D7509">
        <f t="shared" ca="1" si="352"/>
        <v>3954.9047205988099</v>
      </c>
    </row>
    <row r="7510" spans="2:4" x14ac:dyDescent="0.25">
      <c r="B7510">
        <f t="shared" ca="1" si="353"/>
        <v>50887.510159954669</v>
      </c>
      <c r="C7510">
        <f t="shared" ca="1" si="351"/>
        <v>0</v>
      </c>
      <c r="D7510">
        <f t="shared" ca="1" si="352"/>
        <v>10887.510159954669</v>
      </c>
    </row>
    <row r="7511" spans="2:4" x14ac:dyDescent="0.25">
      <c r="B7511">
        <f t="shared" ca="1" si="353"/>
        <v>52189.944573484434</v>
      </c>
      <c r="C7511">
        <f t="shared" ca="1" si="351"/>
        <v>0</v>
      </c>
      <c r="D7511">
        <f t="shared" ca="1" si="352"/>
        <v>12189.944573484434</v>
      </c>
    </row>
    <row r="7512" spans="2:4" x14ac:dyDescent="0.25">
      <c r="B7512">
        <f t="shared" ca="1" si="353"/>
        <v>52983.148819991344</v>
      </c>
      <c r="C7512">
        <f t="shared" ca="1" si="351"/>
        <v>0</v>
      </c>
      <c r="D7512">
        <f t="shared" ca="1" si="352"/>
        <v>12983.148819991344</v>
      </c>
    </row>
    <row r="7513" spans="2:4" x14ac:dyDescent="0.25">
      <c r="B7513">
        <f t="shared" ca="1" si="353"/>
        <v>50869.716195500696</v>
      </c>
      <c r="C7513">
        <f t="shared" ca="1" si="351"/>
        <v>0</v>
      </c>
      <c r="D7513">
        <f t="shared" ca="1" si="352"/>
        <v>10869.716195500696</v>
      </c>
    </row>
    <row r="7514" spans="2:4" x14ac:dyDescent="0.25">
      <c r="B7514">
        <f t="shared" ca="1" si="353"/>
        <v>42570.842168438649</v>
      </c>
      <c r="C7514">
        <f t="shared" ca="1" si="351"/>
        <v>0</v>
      </c>
      <c r="D7514">
        <f t="shared" ca="1" si="352"/>
        <v>2570.8421684386485</v>
      </c>
    </row>
    <row r="7515" spans="2:4" x14ac:dyDescent="0.25">
      <c r="B7515">
        <f t="shared" ca="1" si="353"/>
        <v>55289.045528771276</v>
      </c>
      <c r="C7515">
        <f t="shared" ca="1" si="351"/>
        <v>0</v>
      </c>
      <c r="D7515">
        <f t="shared" ca="1" si="352"/>
        <v>15289.045528771276</v>
      </c>
    </row>
    <row r="7516" spans="2:4" x14ac:dyDescent="0.25">
      <c r="B7516">
        <f t="shared" ca="1" si="353"/>
        <v>43820.340170226234</v>
      </c>
      <c r="C7516">
        <f t="shared" ca="1" si="351"/>
        <v>0</v>
      </c>
      <c r="D7516">
        <f t="shared" ca="1" si="352"/>
        <v>3820.3401702262345</v>
      </c>
    </row>
    <row r="7517" spans="2:4" x14ac:dyDescent="0.25">
      <c r="B7517">
        <f t="shared" ca="1" si="353"/>
        <v>48064.571553557085</v>
      </c>
      <c r="C7517">
        <f t="shared" ca="1" si="351"/>
        <v>0</v>
      </c>
      <c r="D7517">
        <f t="shared" ca="1" si="352"/>
        <v>8064.5715535570853</v>
      </c>
    </row>
    <row r="7518" spans="2:4" x14ac:dyDescent="0.25">
      <c r="B7518">
        <f t="shared" ca="1" si="353"/>
        <v>43674.185372574932</v>
      </c>
      <c r="C7518">
        <f t="shared" ca="1" si="351"/>
        <v>0</v>
      </c>
      <c r="D7518">
        <f t="shared" ca="1" si="352"/>
        <v>3674.1853725749315</v>
      </c>
    </row>
    <row r="7519" spans="2:4" x14ac:dyDescent="0.25">
      <c r="B7519">
        <f t="shared" ca="1" si="353"/>
        <v>41935.299508286444</v>
      </c>
      <c r="C7519">
        <f t="shared" ca="1" si="351"/>
        <v>0</v>
      </c>
      <c r="D7519">
        <f t="shared" ca="1" si="352"/>
        <v>1935.2995082864436</v>
      </c>
    </row>
    <row r="7520" spans="2:4" x14ac:dyDescent="0.25">
      <c r="B7520">
        <f t="shared" ca="1" si="353"/>
        <v>42761.481206053817</v>
      </c>
      <c r="C7520">
        <f t="shared" ca="1" si="351"/>
        <v>0</v>
      </c>
      <c r="D7520">
        <f t="shared" ca="1" si="352"/>
        <v>2761.481206053817</v>
      </c>
    </row>
    <row r="7521" spans="2:4" x14ac:dyDescent="0.25">
      <c r="B7521">
        <f t="shared" ca="1" si="353"/>
        <v>51807.257451497404</v>
      </c>
      <c r="C7521">
        <f t="shared" ca="1" si="351"/>
        <v>0</v>
      </c>
      <c r="D7521">
        <f t="shared" ca="1" si="352"/>
        <v>11807.257451497404</v>
      </c>
    </row>
    <row r="7522" spans="2:4" x14ac:dyDescent="0.25">
      <c r="B7522">
        <f t="shared" ca="1" si="353"/>
        <v>50215.096878794575</v>
      </c>
      <c r="C7522">
        <f t="shared" ca="1" si="351"/>
        <v>0</v>
      </c>
      <c r="D7522">
        <f t="shared" ca="1" si="352"/>
        <v>10215.096878794575</v>
      </c>
    </row>
    <row r="7523" spans="2:4" x14ac:dyDescent="0.25">
      <c r="B7523">
        <f t="shared" ca="1" si="353"/>
        <v>49389.352115945709</v>
      </c>
      <c r="C7523">
        <f t="shared" ca="1" si="351"/>
        <v>0</v>
      </c>
      <c r="D7523">
        <f t="shared" ca="1" si="352"/>
        <v>9389.3521159457086</v>
      </c>
    </row>
    <row r="7524" spans="2:4" x14ac:dyDescent="0.25">
      <c r="B7524">
        <f t="shared" ca="1" si="353"/>
        <v>39766.101475026924</v>
      </c>
      <c r="C7524">
        <f t="shared" ca="1" si="351"/>
        <v>233.89852497307584</v>
      </c>
      <c r="D7524">
        <f t="shared" ca="1" si="352"/>
        <v>0</v>
      </c>
    </row>
    <row r="7525" spans="2:4" x14ac:dyDescent="0.25">
      <c r="B7525">
        <f t="shared" ca="1" si="353"/>
        <v>45373.615370350039</v>
      </c>
      <c r="C7525">
        <f t="shared" ca="1" si="351"/>
        <v>0</v>
      </c>
      <c r="D7525">
        <f t="shared" ca="1" si="352"/>
        <v>5373.6153703500386</v>
      </c>
    </row>
    <row r="7526" spans="2:4" x14ac:dyDescent="0.25">
      <c r="B7526">
        <f t="shared" ca="1" si="353"/>
        <v>43566.438236212853</v>
      </c>
      <c r="C7526">
        <f t="shared" ca="1" si="351"/>
        <v>0</v>
      </c>
      <c r="D7526">
        <f t="shared" ca="1" si="352"/>
        <v>3566.4382362128526</v>
      </c>
    </row>
    <row r="7527" spans="2:4" x14ac:dyDescent="0.25">
      <c r="B7527">
        <f t="shared" ca="1" si="353"/>
        <v>37160.245500728219</v>
      </c>
      <c r="C7527">
        <f t="shared" ca="1" si="351"/>
        <v>2839.7544992717812</v>
      </c>
      <c r="D7527">
        <f t="shared" ca="1" si="352"/>
        <v>0</v>
      </c>
    </row>
    <row r="7528" spans="2:4" x14ac:dyDescent="0.25">
      <c r="B7528">
        <f t="shared" ca="1" si="353"/>
        <v>44227.378702299742</v>
      </c>
      <c r="C7528">
        <f t="shared" ca="1" si="351"/>
        <v>0</v>
      </c>
      <c r="D7528">
        <f t="shared" ca="1" si="352"/>
        <v>4227.3787022997421</v>
      </c>
    </row>
    <row r="7529" spans="2:4" x14ac:dyDescent="0.25">
      <c r="B7529">
        <f t="shared" ca="1" si="353"/>
        <v>45441.092247795488</v>
      </c>
      <c r="C7529">
        <f t="shared" ca="1" si="351"/>
        <v>0</v>
      </c>
      <c r="D7529">
        <f t="shared" ca="1" si="352"/>
        <v>5441.0922477954882</v>
      </c>
    </row>
    <row r="7530" spans="2:4" x14ac:dyDescent="0.25">
      <c r="B7530">
        <f t="shared" ca="1" si="353"/>
        <v>47534.284482082272</v>
      </c>
      <c r="C7530">
        <f t="shared" ca="1" si="351"/>
        <v>0</v>
      </c>
      <c r="D7530">
        <f t="shared" ca="1" si="352"/>
        <v>7534.284482082272</v>
      </c>
    </row>
    <row r="7531" spans="2:4" x14ac:dyDescent="0.25">
      <c r="B7531">
        <f t="shared" ca="1" si="353"/>
        <v>56961.673876749337</v>
      </c>
      <c r="C7531">
        <f t="shared" ca="1" si="351"/>
        <v>0</v>
      </c>
      <c r="D7531">
        <f t="shared" ca="1" si="352"/>
        <v>16961.673876749337</v>
      </c>
    </row>
    <row r="7532" spans="2:4" x14ac:dyDescent="0.25">
      <c r="B7532">
        <f t="shared" ca="1" si="353"/>
        <v>44552.888305082583</v>
      </c>
      <c r="C7532">
        <f t="shared" ca="1" si="351"/>
        <v>0</v>
      </c>
      <c r="D7532">
        <f t="shared" ca="1" si="352"/>
        <v>4552.8883050825825</v>
      </c>
    </row>
    <row r="7533" spans="2:4" x14ac:dyDescent="0.25">
      <c r="B7533">
        <f t="shared" ca="1" si="353"/>
        <v>48137.381063744142</v>
      </c>
      <c r="C7533">
        <f t="shared" ca="1" si="351"/>
        <v>0</v>
      </c>
      <c r="D7533">
        <f t="shared" ca="1" si="352"/>
        <v>8137.381063744142</v>
      </c>
    </row>
    <row r="7534" spans="2:4" x14ac:dyDescent="0.25">
      <c r="B7534">
        <f t="shared" ca="1" si="353"/>
        <v>46264.840254265604</v>
      </c>
      <c r="C7534">
        <f t="shared" ca="1" si="351"/>
        <v>0</v>
      </c>
      <c r="D7534">
        <f t="shared" ca="1" si="352"/>
        <v>6264.840254265604</v>
      </c>
    </row>
    <row r="7535" spans="2:4" x14ac:dyDescent="0.25">
      <c r="B7535">
        <f t="shared" ca="1" si="353"/>
        <v>44843.12838178243</v>
      </c>
      <c r="C7535">
        <f t="shared" ca="1" si="351"/>
        <v>0</v>
      </c>
      <c r="D7535">
        <f t="shared" ca="1" si="352"/>
        <v>4843.1283817824296</v>
      </c>
    </row>
    <row r="7536" spans="2:4" x14ac:dyDescent="0.25">
      <c r="B7536">
        <f t="shared" ca="1" si="353"/>
        <v>46155.188446926157</v>
      </c>
      <c r="C7536">
        <f t="shared" ca="1" si="351"/>
        <v>0</v>
      </c>
      <c r="D7536">
        <f t="shared" ca="1" si="352"/>
        <v>6155.1884469261568</v>
      </c>
    </row>
    <row r="7537" spans="2:4" x14ac:dyDescent="0.25">
      <c r="B7537">
        <f t="shared" ca="1" si="353"/>
        <v>50694.445347933448</v>
      </c>
      <c r="C7537">
        <f t="shared" ca="1" si="351"/>
        <v>0</v>
      </c>
      <c r="D7537">
        <f t="shared" ca="1" si="352"/>
        <v>10694.445347933448</v>
      </c>
    </row>
    <row r="7538" spans="2:4" x14ac:dyDescent="0.25">
      <c r="B7538">
        <f t="shared" ca="1" si="353"/>
        <v>41393.233172349333</v>
      </c>
      <c r="C7538">
        <f t="shared" ca="1" si="351"/>
        <v>0</v>
      </c>
      <c r="D7538">
        <f t="shared" ca="1" si="352"/>
        <v>1393.2331723493335</v>
      </c>
    </row>
    <row r="7539" spans="2:4" x14ac:dyDescent="0.25">
      <c r="B7539">
        <f t="shared" ca="1" si="353"/>
        <v>41796.285480760554</v>
      </c>
      <c r="C7539">
        <f t="shared" ca="1" si="351"/>
        <v>0</v>
      </c>
      <c r="D7539">
        <f t="shared" ca="1" si="352"/>
        <v>1796.2854807605545</v>
      </c>
    </row>
    <row r="7540" spans="2:4" x14ac:dyDescent="0.25">
      <c r="B7540">
        <f t="shared" ca="1" si="353"/>
        <v>43400.236228412767</v>
      </c>
      <c r="C7540">
        <f t="shared" ca="1" si="351"/>
        <v>0</v>
      </c>
      <c r="D7540">
        <f t="shared" ca="1" si="352"/>
        <v>3400.2362284127666</v>
      </c>
    </row>
    <row r="7541" spans="2:4" x14ac:dyDescent="0.25">
      <c r="B7541">
        <f t="shared" ca="1" si="353"/>
        <v>48106.157287128226</v>
      </c>
      <c r="C7541">
        <f t="shared" ca="1" si="351"/>
        <v>0</v>
      </c>
      <c r="D7541">
        <f t="shared" ca="1" si="352"/>
        <v>8106.157287128226</v>
      </c>
    </row>
    <row r="7542" spans="2:4" x14ac:dyDescent="0.25">
      <c r="B7542">
        <f t="shared" ca="1" si="353"/>
        <v>49305.272991063655</v>
      </c>
      <c r="C7542">
        <f t="shared" ca="1" si="351"/>
        <v>0</v>
      </c>
      <c r="D7542">
        <f t="shared" ca="1" si="352"/>
        <v>9305.2729910636554</v>
      </c>
    </row>
    <row r="7543" spans="2:4" x14ac:dyDescent="0.25">
      <c r="B7543">
        <f t="shared" ca="1" si="353"/>
        <v>44541.181820863116</v>
      </c>
      <c r="C7543">
        <f t="shared" ca="1" si="351"/>
        <v>0</v>
      </c>
      <c r="D7543">
        <f t="shared" ca="1" si="352"/>
        <v>4541.1818208631157</v>
      </c>
    </row>
    <row r="7544" spans="2:4" x14ac:dyDescent="0.25">
      <c r="B7544">
        <f t="shared" ca="1" si="353"/>
        <v>46704.429798591475</v>
      </c>
      <c r="C7544">
        <f t="shared" ca="1" si="351"/>
        <v>0</v>
      </c>
      <c r="D7544">
        <f t="shared" ca="1" si="352"/>
        <v>6704.4297985914745</v>
      </c>
    </row>
    <row r="7545" spans="2:4" x14ac:dyDescent="0.25">
      <c r="B7545">
        <f t="shared" ca="1" si="353"/>
        <v>45361.78683245516</v>
      </c>
      <c r="C7545">
        <f t="shared" ca="1" si="351"/>
        <v>0</v>
      </c>
      <c r="D7545">
        <f t="shared" ca="1" si="352"/>
        <v>5361.78683245516</v>
      </c>
    </row>
    <row r="7546" spans="2:4" x14ac:dyDescent="0.25">
      <c r="B7546">
        <f t="shared" ca="1" si="353"/>
        <v>45092.700010934939</v>
      </c>
      <c r="C7546">
        <f t="shared" ca="1" si="351"/>
        <v>0</v>
      </c>
      <c r="D7546">
        <f t="shared" ca="1" si="352"/>
        <v>5092.7000109349392</v>
      </c>
    </row>
    <row r="7547" spans="2:4" x14ac:dyDescent="0.25">
      <c r="B7547">
        <f t="shared" ca="1" si="353"/>
        <v>43028.709074132865</v>
      </c>
      <c r="C7547">
        <f t="shared" ca="1" si="351"/>
        <v>0</v>
      </c>
      <c r="D7547">
        <f t="shared" ca="1" si="352"/>
        <v>3028.7090741328648</v>
      </c>
    </row>
    <row r="7548" spans="2:4" x14ac:dyDescent="0.25">
      <c r="B7548">
        <f t="shared" ca="1" si="353"/>
        <v>39607.514450198818</v>
      </c>
      <c r="C7548">
        <f t="shared" ca="1" si="351"/>
        <v>392.48554980118206</v>
      </c>
      <c r="D7548">
        <f t="shared" ca="1" si="352"/>
        <v>0</v>
      </c>
    </row>
    <row r="7549" spans="2:4" x14ac:dyDescent="0.25">
      <c r="B7549">
        <f t="shared" ca="1" si="353"/>
        <v>40947.082467340864</v>
      </c>
      <c r="C7549">
        <f t="shared" ca="1" si="351"/>
        <v>0</v>
      </c>
      <c r="D7549">
        <f t="shared" ca="1" si="352"/>
        <v>947.08246734086424</v>
      </c>
    </row>
    <row r="7550" spans="2:4" x14ac:dyDescent="0.25">
      <c r="B7550">
        <f t="shared" ca="1" si="353"/>
        <v>46798.110875237617</v>
      </c>
      <c r="C7550">
        <f t="shared" ca="1" si="351"/>
        <v>0</v>
      </c>
      <c r="D7550">
        <f t="shared" ca="1" si="352"/>
        <v>6798.1108752376167</v>
      </c>
    </row>
    <row r="7551" spans="2:4" x14ac:dyDescent="0.25">
      <c r="B7551">
        <f t="shared" ca="1" si="353"/>
        <v>48072.176864354893</v>
      </c>
      <c r="C7551">
        <f t="shared" ca="1" si="351"/>
        <v>0</v>
      </c>
      <c r="D7551">
        <f t="shared" ca="1" si="352"/>
        <v>8072.176864354893</v>
      </c>
    </row>
    <row r="7552" spans="2:4" x14ac:dyDescent="0.25">
      <c r="B7552">
        <f t="shared" ca="1" si="353"/>
        <v>35311.020044434117</v>
      </c>
      <c r="C7552">
        <f t="shared" ca="1" si="351"/>
        <v>4688.9799555658828</v>
      </c>
      <c r="D7552">
        <f t="shared" ca="1" si="352"/>
        <v>0</v>
      </c>
    </row>
    <row r="7553" spans="2:4" x14ac:dyDescent="0.25">
      <c r="B7553">
        <f t="shared" ca="1" si="353"/>
        <v>51057.150971601579</v>
      </c>
      <c r="C7553">
        <f t="shared" ca="1" si="351"/>
        <v>0</v>
      </c>
      <c r="D7553">
        <f t="shared" ca="1" si="352"/>
        <v>11057.150971601579</v>
      </c>
    </row>
    <row r="7554" spans="2:4" x14ac:dyDescent="0.25">
      <c r="B7554">
        <f t="shared" ca="1" si="353"/>
        <v>50637.454371989865</v>
      </c>
      <c r="C7554">
        <f t="shared" ca="1" si="351"/>
        <v>0</v>
      </c>
      <c r="D7554">
        <f t="shared" ca="1" si="352"/>
        <v>10637.454371989865</v>
      </c>
    </row>
    <row r="7555" spans="2:4" x14ac:dyDescent="0.25">
      <c r="B7555">
        <f t="shared" ca="1" si="353"/>
        <v>44779.017128810243</v>
      </c>
      <c r="C7555">
        <f t="shared" ca="1" si="351"/>
        <v>0</v>
      </c>
      <c r="D7555">
        <f t="shared" ca="1" si="352"/>
        <v>4779.0171288102429</v>
      </c>
    </row>
    <row r="7556" spans="2:4" x14ac:dyDescent="0.25">
      <c r="B7556">
        <f t="shared" ca="1" si="353"/>
        <v>51073.713760903003</v>
      </c>
      <c r="C7556">
        <f t="shared" ca="1" si="351"/>
        <v>0</v>
      </c>
      <c r="D7556">
        <f t="shared" ca="1" si="352"/>
        <v>11073.713760903003</v>
      </c>
    </row>
    <row r="7557" spans="2:4" x14ac:dyDescent="0.25">
      <c r="B7557">
        <f t="shared" ca="1" si="353"/>
        <v>41949.542125219494</v>
      </c>
      <c r="C7557">
        <f t="shared" ca="1" si="351"/>
        <v>0</v>
      </c>
      <c r="D7557">
        <f t="shared" ca="1" si="352"/>
        <v>1949.5421252194938</v>
      </c>
    </row>
    <row r="7558" spans="2:4" x14ac:dyDescent="0.25">
      <c r="B7558">
        <f t="shared" ca="1" si="353"/>
        <v>46813.271488928163</v>
      </c>
      <c r="C7558">
        <f t="shared" ca="1" si="351"/>
        <v>0</v>
      </c>
      <c r="D7558">
        <f t="shared" ca="1" si="352"/>
        <v>6813.2714889281633</v>
      </c>
    </row>
    <row r="7559" spans="2:4" x14ac:dyDescent="0.25">
      <c r="B7559">
        <f t="shared" ca="1" si="353"/>
        <v>41898.372966114883</v>
      </c>
      <c r="C7559">
        <f t="shared" ca="1" si="351"/>
        <v>0</v>
      </c>
      <c r="D7559">
        <f t="shared" ca="1" si="352"/>
        <v>1898.3729661148827</v>
      </c>
    </row>
    <row r="7560" spans="2:4" x14ac:dyDescent="0.25">
      <c r="B7560">
        <f t="shared" ca="1" si="353"/>
        <v>44350.025498528943</v>
      </c>
      <c r="C7560">
        <f t="shared" ca="1" si="351"/>
        <v>0</v>
      </c>
      <c r="D7560">
        <f t="shared" ca="1" si="352"/>
        <v>4350.025498528943</v>
      </c>
    </row>
    <row r="7561" spans="2:4" x14ac:dyDescent="0.25">
      <c r="B7561">
        <f t="shared" ca="1" si="353"/>
        <v>42215.909355556607</v>
      </c>
      <c r="C7561">
        <f t="shared" ca="1" si="351"/>
        <v>0</v>
      </c>
      <c r="D7561">
        <f t="shared" ca="1" si="352"/>
        <v>2215.9093555566069</v>
      </c>
    </row>
    <row r="7562" spans="2:4" x14ac:dyDescent="0.25">
      <c r="B7562">
        <f t="shared" ca="1" si="353"/>
        <v>44895.879140694349</v>
      </c>
      <c r="C7562">
        <f t="shared" ca="1" si="351"/>
        <v>0</v>
      </c>
      <c r="D7562">
        <f t="shared" ca="1" si="352"/>
        <v>4895.8791406943492</v>
      </c>
    </row>
    <row r="7563" spans="2:4" x14ac:dyDescent="0.25">
      <c r="B7563">
        <f t="shared" ca="1" si="353"/>
        <v>46192.605882448639</v>
      </c>
      <c r="C7563">
        <f t="shared" ca="1" si="351"/>
        <v>0</v>
      </c>
      <c r="D7563">
        <f t="shared" ca="1" si="352"/>
        <v>6192.605882448639</v>
      </c>
    </row>
    <row r="7564" spans="2:4" x14ac:dyDescent="0.25">
      <c r="B7564">
        <f t="shared" ca="1" si="353"/>
        <v>37857.821902617106</v>
      </c>
      <c r="C7564">
        <f t="shared" ref="C7564:C7627" ca="1" si="354">IF(MAX($B$2-B7564)&lt;0,0,$B$2-B7564)</f>
        <v>2142.1780973828936</v>
      </c>
      <c r="D7564">
        <f t="shared" ref="D7564:D7627" ca="1" si="355">IF(MAX(B7564-$B$2)&lt;0,0,B7564-$B$2)</f>
        <v>0</v>
      </c>
    </row>
    <row r="7565" spans="2:4" x14ac:dyDescent="0.25">
      <c r="B7565">
        <f t="shared" ref="B7565:B7628" ca="1" si="356">$B$1*EXP((($B$4-($B$3^2)/2)*$B$5+$B$3*SQRT($B$5)*NORMSINV(RAND())))</f>
        <v>43745.803760908522</v>
      </c>
      <c r="C7565">
        <f t="shared" ca="1" si="354"/>
        <v>0</v>
      </c>
      <c r="D7565">
        <f t="shared" ca="1" si="355"/>
        <v>3745.8037609085222</v>
      </c>
    </row>
    <row r="7566" spans="2:4" x14ac:dyDescent="0.25">
      <c r="B7566">
        <f t="shared" ca="1" si="356"/>
        <v>47742.684826794211</v>
      </c>
      <c r="C7566">
        <f t="shared" ca="1" si="354"/>
        <v>0</v>
      </c>
      <c r="D7566">
        <f t="shared" ca="1" si="355"/>
        <v>7742.6848267942114</v>
      </c>
    </row>
    <row r="7567" spans="2:4" x14ac:dyDescent="0.25">
      <c r="B7567">
        <f t="shared" ca="1" si="356"/>
        <v>45850.186889022225</v>
      </c>
      <c r="C7567">
        <f t="shared" ca="1" si="354"/>
        <v>0</v>
      </c>
      <c r="D7567">
        <f t="shared" ca="1" si="355"/>
        <v>5850.1868890222249</v>
      </c>
    </row>
    <row r="7568" spans="2:4" x14ac:dyDescent="0.25">
      <c r="B7568">
        <f t="shared" ca="1" si="356"/>
        <v>38343.612271526246</v>
      </c>
      <c r="C7568">
        <f t="shared" ca="1" si="354"/>
        <v>1656.3877284737537</v>
      </c>
      <c r="D7568">
        <f t="shared" ca="1" si="355"/>
        <v>0</v>
      </c>
    </row>
    <row r="7569" spans="2:4" x14ac:dyDescent="0.25">
      <c r="B7569">
        <f t="shared" ca="1" si="356"/>
        <v>50501.428301258064</v>
      </c>
      <c r="C7569">
        <f t="shared" ca="1" si="354"/>
        <v>0</v>
      </c>
      <c r="D7569">
        <f t="shared" ca="1" si="355"/>
        <v>10501.428301258064</v>
      </c>
    </row>
    <row r="7570" spans="2:4" x14ac:dyDescent="0.25">
      <c r="B7570">
        <f t="shared" ca="1" si="356"/>
        <v>45443.761643242164</v>
      </c>
      <c r="C7570">
        <f t="shared" ca="1" si="354"/>
        <v>0</v>
      </c>
      <c r="D7570">
        <f t="shared" ca="1" si="355"/>
        <v>5443.7616432421637</v>
      </c>
    </row>
    <row r="7571" spans="2:4" x14ac:dyDescent="0.25">
      <c r="B7571">
        <f t="shared" ca="1" si="356"/>
        <v>44574.489233238266</v>
      </c>
      <c r="C7571">
        <f t="shared" ca="1" si="354"/>
        <v>0</v>
      </c>
      <c r="D7571">
        <f t="shared" ca="1" si="355"/>
        <v>4574.489233238266</v>
      </c>
    </row>
    <row r="7572" spans="2:4" x14ac:dyDescent="0.25">
      <c r="B7572">
        <f t="shared" ca="1" si="356"/>
        <v>51653.826697783043</v>
      </c>
      <c r="C7572">
        <f t="shared" ca="1" si="354"/>
        <v>0</v>
      </c>
      <c r="D7572">
        <f t="shared" ca="1" si="355"/>
        <v>11653.826697783043</v>
      </c>
    </row>
    <row r="7573" spans="2:4" x14ac:dyDescent="0.25">
      <c r="B7573">
        <f t="shared" ca="1" si="356"/>
        <v>52024.511765977521</v>
      </c>
      <c r="C7573">
        <f t="shared" ca="1" si="354"/>
        <v>0</v>
      </c>
      <c r="D7573">
        <f t="shared" ca="1" si="355"/>
        <v>12024.511765977521</v>
      </c>
    </row>
    <row r="7574" spans="2:4" x14ac:dyDescent="0.25">
      <c r="B7574">
        <f t="shared" ca="1" si="356"/>
        <v>49602.175120359665</v>
      </c>
      <c r="C7574">
        <f t="shared" ca="1" si="354"/>
        <v>0</v>
      </c>
      <c r="D7574">
        <f t="shared" ca="1" si="355"/>
        <v>9602.175120359665</v>
      </c>
    </row>
    <row r="7575" spans="2:4" x14ac:dyDescent="0.25">
      <c r="B7575">
        <f t="shared" ca="1" si="356"/>
        <v>40715.861193266661</v>
      </c>
      <c r="C7575">
        <f t="shared" ca="1" si="354"/>
        <v>0</v>
      </c>
      <c r="D7575">
        <f t="shared" ca="1" si="355"/>
        <v>715.86119326666085</v>
      </c>
    </row>
    <row r="7576" spans="2:4" x14ac:dyDescent="0.25">
      <c r="B7576">
        <f t="shared" ca="1" si="356"/>
        <v>47519.939420773902</v>
      </c>
      <c r="C7576">
        <f t="shared" ca="1" si="354"/>
        <v>0</v>
      </c>
      <c r="D7576">
        <f t="shared" ca="1" si="355"/>
        <v>7519.9394207739024</v>
      </c>
    </row>
    <row r="7577" spans="2:4" x14ac:dyDescent="0.25">
      <c r="B7577">
        <f t="shared" ca="1" si="356"/>
        <v>45631.626581134304</v>
      </c>
      <c r="C7577">
        <f t="shared" ca="1" si="354"/>
        <v>0</v>
      </c>
      <c r="D7577">
        <f t="shared" ca="1" si="355"/>
        <v>5631.6265811343037</v>
      </c>
    </row>
    <row r="7578" spans="2:4" x14ac:dyDescent="0.25">
      <c r="B7578">
        <f t="shared" ca="1" si="356"/>
        <v>46972.448494359385</v>
      </c>
      <c r="C7578">
        <f t="shared" ca="1" si="354"/>
        <v>0</v>
      </c>
      <c r="D7578">
        <f t="shared" ca="1" si="355"/>
        <v>6972.4484943593852</v>
      </c>
    </row>
    <row r="7579" spans="2:4" x14ac:dyDescent="0.25">
      <c r="B7579">
        <f t="shared" ca="1" si="356"/>
        <v>46070.568060709928</v>
      </c>
      <c r="C7579">
        <f t="shared" ca="1" si="354"/>
        <v>0</v>
      </c>
      <c r="D7579">
        <f t="shared" ca="1" si="355"/>
        <v>6070.5680607099275</v>
      </c>
    </row>
    <row r="7580" spans="2:4" x14ac:dyDescent="0.25">
      <c r="B7580">
        <f t="shared" ca="1" si="356"/>
        <v>54215.289478718347</v>
      </c>
      <c r="C7580">
        <f t="shared" ca="1" si="354"/>
        <v>0</v>
      </c>
      <c r="D7580">
        <f t="shared" ca="1" si="355"/>
        <v>14215.289478718347</v>
      </c>
    </row>
    <row r="7581" spans="2:4" x14ac:dyDescent="0.25">
      <c r="B7581">
        <f t="shared" ca="1" si="356"/>
        <v>51864.681375394721</v>
      </c>
      <c r="C7581">
        <f t="shared" ca="1" si="354"/>
        <v>0</v>
      </c>
      <c r="D7581">
        <f t="shared" ca="1" si="355"/>
        <v>11864.681375394721</v>
      </c>
    </row>
    <row r="7582" spans="2:4" x14ac:dyDescent="0.25">
      <c r="B7582">
        <f t="shared" ca="1" si="356"/>
        <v>49759.888180938251</v>
      </c>
      <c r="C7582">
        <f t="shared" ca="1" si="354"/>
        <v>0</v>
      </c>
      <c r="D7582">
        <f t="shared" ca="1" si="355"/>
        <v>9759.888180938251</v>
      </c>
    </row>
    <row r="7583" spans="2:4" x14ac:dyDescent="0.25">
      <c r="B7583">
        <f t="shared" ca="1" si="356"/>
        <v>45709.826551747647</v>
      </c>
      <c r="C7583">
        <f t="shared" ca="1" si="354"/>
        <v>0</v>
      </c>
      <c r="D7583">
        <f t="shared" ca="1" si="355"/>
        <v>5709.8265517476466</v>
      </c>
    </row>
    <row r="7584" spans="2:4" x14ac:dyDescent="0.25">
      <c r="B7584">
        <f t="shared" ca="1" si="356"/>
        <v>39050.667706847831</v>
      </c>
      <c r="C7584">
        <f t="shared" ca="1" si="354"/>
        <v>949.33229315216886</v>
      </c>
      <c r="D7584">
        <f t="shared" ca="1" si="355"/>
        <v>0</v>
      </c>
    </row>
    <row r="7585" spans="2:4" x14ac:dyDescent="0.25">
      <c r="B7585">
        <f t="shared" ca="1" si="356"/>
        <v>42081.820919375161</v>
      </c>
      <c r="C7585">
        <f t="shared" ca="1" si="354"/>
        <v>0</v>
      </c>
      <c r="D7585">
        <f t="shared" ca="1" si="355"/>
        <v>2081.8209193751609</v>
      </c>
    </row>
    <row r="7586" spans="2:4" x14ac:dyDescent="0.25">
      <c r="B7586">
        <f t="shared" ca="1" si="356"/>
        <v>47557.321278293035</v>
      </c>
      <c r="C7586">
        <f t="shared" ca="1" si="354"/>
        <v>0</v>
      </c>
      <c r="D7586">
        <f t="shared" ca="1" si="355"/>
        <v>7557.321278293035</v>
      </c>
    </row>
    <row r="7587" spans="2:4" x14ac:dyDescent="0.25">
      <c r="B7587">
        <f t="shared" ca="1" si="356"/>
        <v>54866.331260039413</v>
      </c>
      <c r="C7587">
        <f t="shared" ca="1" si="354"/>
        <v>0</v>
      </c>
      <c r="D7587">
        <f t="shared" ca="1" si="355"/>
        <v>14866.331260039413</v>
      </c>
    </row>
    <row r="7588" spans="2:4" x14ac:dyDescent="0.25">
      <c r="B7588">
        <f t="shared" ca="1" si="356"/>
        <v>45165.714830381927</v>
      </c>
      <c r="C7588">
        <f t="shared" ca="1" si="354"/>
        <v>0</v>
      </c>
      <c r="D7588">
        <f t="shared" ca="1" si="355"/>
        <v>5165.7148303819267</v>
      </c>
    </row>
    <row r="7589" spans="2:4" x14ac:dyDescent="0.25">
      <c r="B7589">
        <f t="shared" ca="1" si="356"/>
        <v>48163.031727249458</v>
      </c>
      <c r="C7589">
        <f t="shared" ca="1" si="354"/>
        <v>0</v>
      </c>
      <c r="D7589">
        <f t="shared" ca="1" si="355"/>
        <v>8163.0317272494576</v>
      </c>
    </row>
    <row r="7590" spans="2:4" x14ac:dyDescent="0.25">
      <c r="B7590">
        <f t="shared" ca="1" si="356"/>
        <v>48805.515073836163</v>
      </c>
      <c r="C7590">
        <f t="shared" ca="1" si="354"/>
        <v>0</v>
      </c>
      <c r="D7590">
        <f t="shared" ca="1" si="355"/>
        <v>8805.5150738361626</v>
      </c>
    </row>
    <row r="7591" spans="2:4" x14ac:dyDescent="0.25">
      <c r="B7591">
        <f t="shared" ca="1" si="356"/>
        <v>54007.118305366865</v>
      </c>
      <c r="C7591">
        <f t="shared" ca="1" si="354"/>
        <v>0</v>
      </c>
      <c r="D7591">
        <f t="shared" ca="1" si="355"/>
        <v>14007.118305366865</v>
      </c>
    </row>
    <row r="7592" spans="2:4" x14ac:dyDescent="0.25">
      <c r="B7592">
        <f t="shared" ca="1" si="356"/>
        <v>58879.555833429797</v>
      </c>
      <c r="C7592">
        <f t="shared" ca="1" si="354"/>
        <v>0</v>
      </c>
      <c r="D7592">
        <f t="shared" ca="1" si="355"/>
        <v>18879.555833429797</v>
      </c>
    </row>
    <row r="7593" spans="2:4" x14ac:dyDescent="0.25">
      <c r="B7593">
        <f t="shared" ca="1" si="356"/>
        <v>45073.149662469797</v>
      </c>
      <c r="C7593">
        <f t="shared" ca="1" si="354"/>
        <v>0</v>
      </c>
      <c r="D7593">
        <f t="shared" ca="1" si="355"/>
        <v>5073.1496624697975</v>
      </c>
    </row>
    <row r="7594" spans="2:4" x14ac:dyDescent="0.25">
      <c r="B7594">
        <f t="shared" ca="1" si="356"/>
        <v>46993.763963671605</v>
      </c>
      <c r="C7594">
        <f t="shared" ca="1" si="354"/>
        <v>0</v>
      </c>
      <c r="D7594">
        <f t="shared" ca="1" si="355"/>
        <v>6993.7639636716049</v>
      </c>
    </row>
    <row r="7595" spans="2:4" x14ac:dyDescent="0.25">
      <c r="B7595">
        <f t="shared" ca="1" si="356"/>
        <v>41028.369205430528</v>
      </c>
      <c r="C7595">
        <f t="shared" ca="1" si="354"/>
        <v>0</v>
      </c>
      <c r="D7595">
        <f t="shared" ca="1" si="355"/>
        <v>1028.3692054305284</v>
      </c>
    </row>
    <row r="7596" spans="2:4" x14ac:dyDescent="0.25">
      <c r="B7596">
        <f t="shared" ca="1" si="356"/>
        <v>42825.201435717579</v>
      </c>
      <c r="C7596">
        <f t="shared" ca="1" si="354"/>
        <v>0</v>
      </c>
      <c r="D7596">
        <f t="shared" ca="1" si="355"/>
        <v>2825.2014357175794</v>
      </c>
    </row>
    <row r="7597" spans="2:4" x14ac:dyDescent="0.25">
      <c r="B7597">
        <f t="shared" ca="1" si="356"/>
        <v>41770.159732247455</v>
      </c>
      <c r="C7597">
        <f t="shared" ca="1" si="354"/>
        <v>0</v>
      </c>
      <c r="D7597">
        <f t="shared" ca="1" si="355"/>
        <v>1770.1597322474554</v>
      </c>
    </row>
    <row r="7598" spans="2:4" x14ac:dyDescent="0.25">
      <c r="B7598">
        <f t="shared" ca="1" si="356"/>
        <v>46988.168113241678</v>
      </c>
      <c r="C7598">
        <f t="shared" ca="1" si="354"/>
        <v>0</v>
      </c>
      <c r="D7598">
        <f t="shared" ca="1" si="355"/>
        <v>6988.1681132416779</v>
      </c>
    </row>
    <row r="7599" spans="2:4" x14ac:dyDescent="0.25">
      <c r="B7599">
        <f t="shared" ca="1" si="356"/>
        <v>38911.584440289706</v>
      </c>
      <c r="C7599">
        <f t="shared" ca="1" si="354"/>
        <v>1088.4155597102945</v>
      </c>
      <c r="D7599">
        <f t="shared" ca="1" si="355"/>
        <v>0</v>
      </c>
    </row>
    <row r="7600" spans="2:4" x14ac:dyDescent="0.25">
      <c r="B7600">
        <f t="shared" ca="1" si="356"/>
        <v>45776.547571727213</v>
      </c>
      <c r="C7600">
        <f t="shared" ca="1" si="354"/>
        <v>0</v>
      </c>
      <c r="D7600">
        <f t="shared" ca="1" si="355"/>
        <v>5776.5475717272129</v>
      </c>
    </row>
    <row r="7601" spans="2:4" x14ac:dyDescent="0.25">
      <c r="B7601">
        <f t="shared" ca="1" si="356"/>
        <v>38071.614222523902</v>
      </c>
      <c r="C7601">
        <f t="shared" ca="1" si="354"/>
        <v>1928.3857774760982</v>
      </c>
      <c r="D7601">
        <f t="shared" ca="1" si="355"/>
        <v>0</v>
      </c>
    </row>
    <row r="7602" spans="2:4" x14ac:dyDescent="0.25">
      <c r="B7602">
        <f t="shared" ca="1" si="356"/>
        <v>49086.702072420012</v>
      </c>
      <c r="C7602">
        <f t="shared" ca="1" si="354"/>
        <v>0</v>
      </c>
      <c r="D7602">
        <f t="shared" ca="1" si="355"/>
        <v>9086.702072420012</v>
      </c>
    </row>
    <row r="7603" spans="2:4" x14ac:dyDescent="0.25">
      <c r="B7603">
        <f t="shared" ca="1" si="356"/>
        <v>45414.512119740852</v>
      </c>
      <c r="C7603">
        <f t="shared" ca="1" si="354"/>
        <v>0</v>
      </c>
      <c r="D7603">
        <f t="shared" ca="1" si="355"/>
        <v>5414.5121197408516</v>
      </c>
    </row>
    <row r="7604" spans="2:4" x14ac:dyDescent="0.25">
      <c r="B7604">
        <f t="shared" ca="1" si="356"/>
        <v>42015.738851898532</v>
      </c>
      <c r="C7604">
        <f t="shared" ca="1" si="354"/>
        <v>0</v>
      </c>
      <c r="D7604">
        <f t="shared" ca="1" si="355"/>
        <v>2015.7388518985317</v>
      </c>
    </row>
    <row r="7605" spans="2:4" x14ac:dyDescent="0.25">
      <c r="B7605">
        <f t="shared" ca="1" si="356"/>
        <v>46466.898824551536</v>
      </c>
      <c r="C7605">
        <f t="shared" ca="1" si="354"/>
        <v>0</v>
      </c>
      <c r="D7605">
        <f t="shared" ca="1" si="355"/>
        <v>6466.8988245515357</v>
      </c>
    </row>
    <row r="7606" spans="2:4" x14ac:dyDescent="0.25">
      <c r="B7606">
        <f t="shared" ca="1" si="356"/>
        <v>42153.699476855239</v>
      </c>
      <c r="C7606">
        <f t="shared" ca="1" si="354"/>
        <v>0</v>
      </c>
      <c r="D7606">
        <f t="shared" ca="1" si="355"/>
        <v>2153.6994768552395</v>
      </c>
    </row>
    <row r="7607" spans="2:4" x14ac:dyDescent="0.25">
      <c r="B7607">
        <f t="shared" ca="1" si="356"/>
        <v>31851.192106066603</v>
      </c>
      <c r="C7607">
        <f t="shared" ca="1" si="354"/>
        <v>8148.8078939333973</v>
      </c>
      <c r="D7607">
        <f t="shared" ca="1" si="355"/>
        <v>0</v>
      </c>
    </row>
    <row r="7608" spans="2:4" x14ac:dyDescent="0.25">
      <c r="B7608">
        <f t="shared" ca="1" si="356"/>
        <v>40939.92871898559</v>
      </c>
      <c r="C7608">
        <f t="shared" ca="1" si="354"/>
        <v>0</v>
      </c>
      <c r="D7608">
        <f t="shared" ca="1" si="355"/>
        <v>939.92871898558951</v>
      </c>
    </row>
    <row r="7609" spans="2:4" x14ac:dyDescent="0.25">
      <c r="B7609">
        <f t="shared" ca="1" si="356"/>
        <v>44512.897576462048</v>
      </c>
      <c r="C7609">
        <f t="shared" ca="1" si="354"/>
        <v>0</v>
      </c>
      <c r="D7609">
        <f t="shared" ca="1" si="355"/>
        <v>4512.8975764620482</v>
      </c>
    </row>
    <row r="7610" spans="2:4" x14ac:dyDescent="0.25">
      <c r="B7610">
        <f t="shared" ca="1" si="356"/>
        <v>47993.306518084595</v>
      </c>
      <c r="C7610">
        <f t="shared" ca="1" si="354"/>
        <v>0</v>
      </c>
      <c r="D7610">
        <f t="shared" ca="1" si="355"/>
        <v>7993.3065180845952</v>
      </c>
    </row>
    <row r="7611" spans="2:4" x14ac:dyDescent="0.25">
      <c r="B7611">
        <f t="shared" ca="1" si="356"/>
        <v>44659.327354307541</v>
      </c>
      <c r="C7611">
        <f t="shared" ca="1" si="354"/>
        <v>0</v>
      </c>
      <c r="D7611">
        <f t="shared" ca="1" si="355"/>
        <v>4659.3273543075411</v>
      </c>
    </row>
    <row r="7612" spans="2:4" x14ac:dyDescent="0.25">
      <c r="B7612">
        <f t="shared" ca="1" si="356"/>
        <v>48461.62816634115</v>
      </c>
      <c r="C7612">
        <f t="shared" ca="1" si="354"/>
        <v>0</v>
      </c>
      <c r="D7612">
        <f t="shared" ca="1" si="355"/>
        <v>8461.6281663411501</v>
      </c>
    </row>
    <row r="7613" spans="2:4" x14ac:dyDescent="0.25">
      <c r="B7613">
        <f t="shared" ca="1" si="356"/>
        <v>44386.706966839942</v>
      </c>
      <c r="C7613">
        <f t="shared" ca="1" si="354"/>
        <v>0</v>
      </c>
      <c r="D7613">
        <f t="shared" ca="1" si="355"/>
        <v>4386.7069668399417</v>
      </c>
    </row>
    <row r="7614" spans="2:4" x14ac:dyDescent="0.25">
      <c r="B7614">
        <f t="shared" ca="1" si="356"/>
        <v>37339.553759939226</v>
      </c>
      <c r="C7614">
        <f t="shared" ca="1" si="354"/>
        <v>2660.4462400607736</v>
      </c>
      <c r="D7614">
        <f t="shared" ca="1" si="355"/>
        <v>0</v>
      </c>
    </row>
    <row r="7615" spans="2:4" x14ac:dyDescent="0.25">
      <c r="B7615">
        <f t="shared" ca="1" si="356"/>
        <v>53188.624303114419</v>
      </c>
      <c r="C7615">
        <f t="shared" ca="1" si="354"/>
        <v>0</v>
      </c>
      <c r="D7615">
        <f t="shared" ca="1" si="355"/>
        <v>13188.624303114419</v>
      </c>
    </row>
    <row r="7616" spans="2:4" x14ac:dyDescent="0.25">
      <c r="B7616">
        <f t="shared" ca="1" si="356"/>
        <v>51726.912115896135</v>
      </c>
      <c r="C7616">
        <f t="shared" ca="1" si="354"/>
        <v>0</v>
      </c>
      <c r="D7616">
        <f t="shared" ca="1" si="355"/>
        <v>11726.912115896135</v>
      </c>
    </row>
    <row r="7617" spans="2:4" x14ac:dyDescent="0.25">
      <c r="B7617">
        <f t="shared" ca="1" si="356"/>
        <v>37606.538992321592</v>
      </c>
      <c r="C7617">
        <f t="shared" ca="1" si="354"/>
        <v>2393.4610076784084</v>
      </c>
      <c r="D7617">
        <f t="shared" ca="1" si="355"/>
        <v>0</v>
      </c>
    </row>
    <row r="7618" spans="2:4" x14ac:dyDescent="0.25">
      <c r="B7618">
        <f t="shared" ca="1" si="356"/>
        <v>47728.447969535955</v>
      </c>
      <c r="C7618">
        <f t="shared" ca="1" si="354"/>
        <v>0</v>
      </c>
      <c r="D7618">
        <f t="shared" ca="1" si="355"/>
        <v>7728.4479695359551</v>
      </c>
    </row>
    <row r="7619" spans="2:4" x14ac:dyDescent="0.25">
      <c r="B7619">
        <f t="shared" ca="1" si="356"/>
        <v>39893.231856324266</v>
      </c>
      <c r="C7619">
        <f t="shared" ca="1" si="354"/>
        <v>106.76814367573388</v>
      </c>
      <c r="D7619">
        <f t="shared" ca="1" si="355"/>
        <v>0</v>
      </c>
    </row>
    <row r="7620" spans="2:4" x14ac:dyDescent="0.25">
      <c r="B7620">
        <f t="shared" ca="1" si="356"/>
        <v>44234.789547730456</v>
      </c>
      <c r="C7620">
        <f t="shared" ca="1" si="354"/>
        <v>0</v>
      </c>
      <c r="D7620">
        <f t="shared" ca="1" si="355"/>
        <v>4234.7895477304555</v>
      </c>
    </row>
    <row r="7621" spans="2:4" x14ac:dyDescent="0.25">
      <c r="B7621">
        <f t="shared" ca="1" si="356"/>
        <v>56026.668592176029</v>
      </c>
      <c r="C7621">
        <f t="shared" ca="1" si="354"/>
        <v>0</v>
      </c>
      <c r="D7621">
        <f t="shared" ca="1" si="355"/>
        <v>16026.668592176029</v>
      </c>
    </row>
    <row r="7622" spans="2:4" x14ac:dyDescent="0.25">
      <c r="B7622">
        <f t="shared" ca="1" si="356"/>
        <v>51133.909508009478</v>
      </c>
      <c r="C7622">
        <f t="shared" ca="1" si="354"/>
        <v>0</v>
      </c>
      <c r="D7622">
        <f t="shared" ca="1" si="355"/>
        <v>11133.909508009478</v>
      </c>
    </row>
    <row r="7623" spans="2:4" x14ac:dyDescent="0.25">
      <c r="B7623">
        <f t="shared" ca="1" si="356"/>
        <v>44307.881932040604</v>
      </c>
      <c r="C7623">
        <f t="shared" ca="1" si="354"/>
        <v>0</v>
      </c>
      <c r="D7623">
        <f t="shared" ca="1" si="355"/>
        <v>4307.8819320406037</v>
      </c>
    </row>
    <row r="7624" spans="2:4" x14ac:dyDescent="0.25">
      <c r="B7624">
        <f t="shared" ca="1" si="356"/>
        <v>48777.439617596021</v>
      </c>
      <c r="C7624">
        <f t="shared" ca="1" si="354"/>
        <v>0</v>
      </c>
      <c r="D7624">
        <f t="shared" ca="1" si="355"/>
        <v>8777.439617596021</v>
      </c>
    </row>
    <row r="7625" spans="2:4" x14ac:dyDescent="0.25">
      <c r="B7625">
        <f t="shared" ca="1" si="356"/>
        <v>49817.295048855631</v>
      </c>
      <c r="C7625">
        <f t="shared" ca="1" si="354"/>
        <v>0</v>
      </c>
      <c r="D7625">
        <f t="shared" ca="1" si="355"/>
        <v>9817.2950488556307</v>
      </c>
    </row>
    <row r="7626" spans="2:4" x14ac:dyDescent="0.25">
      <c r="B7626">
        <f t="shared" ca="1" si="356"/>
        <v>43578.726674465484</v>
      </c>
      <c r="C7626">
        <f t="shared" ca="1" si="354"/>
        <v>0</v>
      </c>
      <c r="D7626">
        <f t="shared" ca="1" si="355"/>
        <v>3578.7266744654844</v>
      </c>
    </row>
    <row r="7627" spans="2:4" x14ac:dyDescent="0.25">
      <c r="B7627">
        <f t="shared" ca="1" si="356"/>
        <v>43159.234944574047</v>
      </c>
      <c r="C7627">
        <f t="shared" ca="1" si="354"/>
        <v>0</v>
      </c>
      <c r="D7627">
        <f t="shared" ca="1" si="355"/>
        <v>3159.2349445740474</v>
      </c>
    </row>
    <row r="7628" spans="2:4" x14ac:dyDescent="0.25">
      <c r="B7628">
        <f t="shared" ca="1" si="356"/>
        <v>39069.967717255044</v>
      </c>
      <c r="C7628">
        <f t="shared" ref="C7628:C7691" ca="1" si="357">IF(MAX($B$2-B7628)&lt;0,0,$B$2-B7628)</f>
        <v>930.03228274495632</v>
      </c>
      <c r="D7628">
        <f t="shared" ref="D7628:D7691" ca="1" si="358">IF(MAX(B7628-$B$2)&lt;0,0,B7628-$B$2)</f>
        <v>0</v>
      </c>
    </row>
    <row r="7629" spans="2:4" x14ac:dyDescent="0.25">
      <c r="B7629">
        <f t="shared" ref="B7629:B7692" ca="1" si="359">$B$1*EXP((($B$4-($B$3^2)/2)*$B$5+$B$3*SQRT($B$5)*NORMSINV(RAND())))</f>
        <v>47348.349665176829</v>
      </c>
      <c r="C7629">
        <f t="shared" ca="1" si="357"/>
        <v>0</v>
      </c>
      <c r="D7629">
        <f t="shared" ca="1" si="358"/>
        <v>7348.3496651768291</v>
      </c>
    </row>
    <row r="7630" spans="2:4" x14ac:dyDescent="0.25">
      <c r="B7630">
        <f t="shared" ca="1" si="359"/>
        <v>43973.179562756646</v>
      </c>
      <c r="C7630">
        <f t="shared" ca="1" si="357"/>
        <v>0</v>
      </c>
      <c r="D7630">
        <f t="shared" ca="1" si="358"/>
        <v>3973.1795627566462</v>
      </c>
    </row>
    <row r="7631" spans="2:4" x14ac:dyDescent="0.25">
      <c r="B7631">
        <f t="shared" ca="1" si="359"/>
        <v>47460.248120194614</v>
      </c>
      <c r="C7631">
        <f t="shared" ca="1" si="357"/>
        <v>0</v>
      </c>
      <c r="D7631">
        <f t="shared" ca="1" si="358"/>
        <v>7460.2481201946139</v>
      </c>
    </row>
    <row r="7632" spans="2:4" x14ac:dyDescent="0.25">
      <c r="B7632">
        <f t="shared" ca="1" si="359"/>
        <v>39316.151126441437</v>
      </c>
      <c r="C7632">
        <f t="shared" ca="1" si="357"/>
        <v>683.84887355856335</v>
      </c>
      <c r="D7632">
        <f t="shared" ca="1" si="358"/>
        <v>0</v>
      </c>
    </row>
    <row r="7633" spans="2:4" x14ac:dyDescent="0.25">
      <c r="B7633">
        <f t="shared" ca="1" si="359"/>
        <v>48013.148977066172</v>
      </c>
      <c r="C7633">
        <f t="shared" ca="1" si="357"/>
        <v>0</v>
      </c>
      <c r="D7633">
        <f t="shared" ca="1" si="358"/>
        <v>8013.1489770661719</v>
      </c>
    </row>
    <row r="7634" spans="2:4" x14ac:dyDescent="0.25">
      <c r="B7634">
        <f t="shared" ca="1" si="359"/>
        <v>44754.423738179205</v>
      </c>
      <c r="C7634">
        <f t="shared" ca="1" si="357"/>
        <v>0</v>
      </c>
      <c r="D7634">
        <f t="shared" ca="1" si="358"/>
        <v>4754.4237381792045</v>
      </c>
    </row>
    <row r="7635" spans="2:4" x14ac:dyDescent="0.25">
      <c r="B7635">
        <f t="shared" ca="1" si="359"/>
        <v>43842.606029498995</v>
      </c>
      <c r="C7635">
        <f t="shared" ca="1" si="357"/>
        <v>0</v>
      </c>
      <c r="D7635">
        <f t="shared" ca="1" si="358"/>
        <v>3842.6060294989948</v>
      </c>
    </row>
    <row r="7636" spans="2:4" x14ac:dyDescent="0.25">
      <c r="B7636">
        <f t="shared" ca="1" si="359"/>
        <v>46948.822213165571</v>
      </c>
      <c r="C7636">
        <f t="shared" ca="1" si="357"/>
        <v>0</v>
      </c>
      <c r="D7636">
        <f t="shared" ca="1" si="358"/>
        <v>6948.8222131655712</v>
      </c>
    </row>
    <row r="7637" spans="2:4" x14ac:dyDescent="0.25">
      <c r="B7637">
        <f t="shared" ca="1" si="359"/>
        <v>45568.559755770504</v>
      </c>
      <c r="C7637">
        <f t="shared" ca="1" si="357"/>
        <v>0</v>
      </c>
      <c r="D7637">
        <f t="shared" ca="1" si="358"/>
        <v>5568.5597557705041</v>
      </c>
    </row>
    <row r="7638" spans="2:4" x14ac:dyDescent="0.25">
      <c r="B7638">
        <f t="shared" ca="1" si="359"/>
        <v>52332.551448332037</v>
      </c>
      <c r="C7638">
        <f t="shared" ca="1" si="357"/>
        <v>0</v>
      </c>
      <c r="D7638">
        <f t="shared" ca="1" si="358"/>
        <v>12332.551448332037</v>
      </c>
    </row>
    <row r="7639" spans="2:4" x14ac:dyDescent="0.25">
      <c r="B7639">
        <f t="shared" ca="1" si="359"/>
        <v>39292.239736197786</v>
      </c>
      <c r="C7639">
        <f t="shared" ca="1" si="357"/>
        <v>707.76026380221447</v>
      </c>
      <c r="D7639">
        <f t="shared" ca="1" si="358"/>
        <v>0</v>
      </c>
    </row>
    <row r="7640" spans="2:4" x14ac:dyDescent="0.25">
      <c r="B7640">
        <f t="shared" ca="1" si="359"/>
        <v>56158.826497597664</v>
      </c>
      <c r="C7640">
        <f t="shared" ca="1" si="357"/>
        <v>0</v>
      </c>
      <c r="D7640">
        <f t="shared" ca="1" si="358"/>
        <v>16158.826497597664</v>
      </c>
    </row>
    <row r="7641" spans="2:4" x14ac:dyDescent="0.25">
      <c r="B7641">
        <f t="shared" ca="1" si="359"/>
        <v>51147.390395066286</v>
      </c>
      <c r="C7641">
        <f t="shared" ca="1" si="357"/>
        <v>0</v>
      </c>
      <c r="D7641">
        <f t="shared" ca="1" si="358"/>
        <v>11147.390395066286</v>
      </c>
    </row>
    <row r="7642" spans="2:4" x14ac:dyDescent="0.25">
      <c r="B7642">
        <f t="shared" ca="1" si="359"/>
        <v>52573.530600519989</v>
      </c>
      <c r="C7642">
        <f t="shared" ca="1" si="357"/>
        <v>0</v>
      </c>
      <c r="D7642">
        <f t="shared" ca="1" si="358"/>
        <v>12573.530600519989</v>
      </c>
    </row>
    <row r="7643" spans="2:4" x14ac:dyDescent="0.25">
      <c r="B7643">
        <f t="shared" ca="1" si="359"/>
        <v>41743.529687988346</v>
      </c>
      <c r="C7643">
        <f t="shared" ca="1" si="357"/>
        <v>0</v>
      </c>
      <c r="D7643">
        <f t="shared" ca="1" si="358"/>
        <v>1743.5296879883463</v>
      </c>
    </row>
    <row r="7644" spans="2:4" x14ac:dyDescent="0.25">
      <c r="B7644">
        <f t="shared" ca="1" si="359"/>
        <v>42976.948488446113</v>
      </c>
      <c r="C7644">
        <f t="shared" ca="1" si="357"/>
        <v>0</v>
      </c>
      <c r="D7644">
        <f t="shared" ca="1" si="358"/>
        <v>2976.9484884461126</v>
      </c>
    </row>
    <row r="7645" spans="2:4" x14ac:dyDescent="0.25">
      <c r="B7645">
        <f t="shared" ca="1" si="359"/>
        <v>44290.108491644482</v>
      </c>
      <c r="C7645">
        <f t="shared" ca="1" si="357"/>
        <v>0</v>
      </c>
      <c r="D7645">
        <f t="shared" ca="1" si="358"/>
        <v>4290.1084916444815</v>
      </c>
    </row>
    <row r="7646" spans="2:4" x14ac:dyDescent="0.25">
      <c r="B7646">
        <f t="shared" ca="1" si="359"/>
        <v>45710.261041962221</v>
      </c>
      <c r="C7646">
        <f t="shared" ca="1" si="357"/>
        <v>0</v>
      </c>
      <c r="D7646">
        <f t="shared" ca="1" si="358"/>
        <v>5710.2610419622215</v>
      </c>
    </row>
    <row r="7647" spans="2:4" x14ac:dyDescent="0.25">
      <c r="B7647">
        <f t="shared" ca="1" si="359"/>
        <v>50814.490462788366</v>
      </c>
      <c r="C7647">
        <f t="shared" ca="1" si="357"/>
        <v>0</v>
      </c>
      <c r="D7647">
        <f t="shared" ca="1" si="358"/>
        <v>10814.490462788366</v>
      </c>
    </row>
    <row r="7648" spans="2:4" x14ac:dyDescent="0.25">
      <c r="B7648">
        <f t="shared" ca="1" si="359"/>
        <v>46874.576501863419</v>
      </c>
      <c r="C7648">
        <f t="shared" ca="1" si="357"/>
        <v>0</v>
      </c>
      <c r="D7648">
        <f t="shared" ca="1" si="358"/>
        <v>6874.5765018634193</v>
      </c>
    </row>
    <row r="7649" spans="2:4" x14ac:dyDescent="0.25">
      <c r="B7649">
        <f t="shared" ca="1" si="359"/>
        <v>49893.402484795421</v>
      </c>
      <c r="C7649">
        <f t="shared" ca="1" si="357"/>
        <v>0</v>
      </c>
      <c r="D7649">
        <f t="shared" ca="1" si="358"/>
        <v>9893.4024847954206</v>
      </c>
    </row>
    <row r="7650" spans="2:4" x14ac:dyDescent="0.25">
      <c r="B7650">
        <f t="shared" ca="1" si="359"/>
        <v>44449.487626323156</v>
      </c>
      <c r="C7650">
        <f t="shared" ca="1" si="357"/>
        <v>0</v>
      </c>
      <c r="D7650">
        <f t="shared" ca="1" si="358"/>
        <v>4449.4876263231563</v>
      </c>
    </row>
    <row r="7651" spans="2:4" x14ac:dyDescent="0.25">
      <c r="B7651">
        <f t="shared" ca="1" si="359"/>
        <v>46999.142569088413</v>
      </c>
      <c r="C7651">
        <f t="shared" ca="1" si="357"/>
        <v>0</v>
      </c>
      <c r="D7651">
        <f t="shared" ca="1" si="358"/>
        <v>6999.1425690884134</v>
      </c>
    </row>
    <row r="7652" spans="2:4" x14ac:dyDescent="0.25">
      <c r="B7652">
        <f t="shared" ca="1" si="359"/>
        <v>37958.548993133947</v>
      </c>
      <c r="C7652">
        <f t="shared" ca="1" si="357"/>
        <v>2041.4510068660529</v>
      </c>
      <c r="D7652">
        <f t="shared" ca="1" si="358"/>
        <v>0</v>
      </c>
    </row>
    <row r="7653" spans="2:4" x14ac:dyDescent="0.25">
      <c r="B7653">
        <f t="shared" ca="1" si="359"/>
        <v>46211.887959752385</v>
      </c>
      <c r="C7653">
        <f t="shared" ca="1" si="357"/>
        <v>0</v>
      </c>
      <c r="D7653">
        <f t="shared" ca="1" si="358"/>
        <v>6211.8879597523846</v>
      </c>
    </row>
    <row r="7654" spans="2:4" x14ac:dyDescent="0.25">
      <c r="B7654">
        <f t="shared" ca="1" si="359"/>
        <v>43588.127794206288</v>
      </c>
      <c r="C7654">
        <f t="shared" ca="1" si="357"/>
        <v>0</v>
      </c>
      <c r="D7654">
        <f t="shared" ca="1" si="358"/>
        <v>3588.1277942062879</v>
      </c>
    </row>
    <row r="7655" spans="2:4" x14ac:dyDescent="0.25">
      <c r="B7655">
        <f t="shared" ca="1" si="359"/>
        <v>46480.760864690223</v>
      </c>
      <c r="C7655">
        <f t="shared" ca="1" si="357"/>
        <v>0</v>
      </c>
      <c r="D7655">
        <f t="shared" ca="1" si="358"/>
        <v>6480.7608646902227</v>
      </c>
    </row>
    <row r="7656" spans="2:4" x14ac:dyDescent="0.25">
      <c r="B7656">
        <f t="shared" ca="1" si="359"/>
        <v>40547.664490194547</v>
      </c>
      <c r="C7656">
        <f t="shared" ca="1" si="357"/>
        <v>0</v>
      </c>
      <c r="D7656">
        <f t="shared" ca="1" si="358"/>
        <v>547.6644901945474</v>
      </c>
    </row>
    <row r="7657" spans="2:4" x14ac:dyDescent="0.25">
      <c r="B7657">
        <f t="shared" ca="1" si="359"/>
        <v>47766.168500852291</v>
      </c>
      <c r="C7657">
        <f t="shared" ca="1" si="357"/>
        <v>0</v>
      </c>
      <c r="D7657">
        <f t="shared" ca="1" si="358"/>
        <v>7766.1685008522909</v>
      </c>
    </row>
    <row r="7658" spans="2:4" x14ac:dyDescent="0.25">
      <c r="B7658">
        <f t="shared" ca="1" si="359"/>
        <v>46332.43202885268</v>
      </c>
      <c r="C7658">
        <f t="shared" ca="1" si="357"/>
        <v>0</v>
      </c>
      <c r="D7658">
        <f t="shared" ca="1" si="358"/>
        <v>6332.4320288526797</v>
      </c>
    </row>
    <row r="7659" spans="2:4" x14ac:dyDescent="0.25">
      <c r="B7659">
        <f t="shared" ca="1" si="359"/>
        <v>46579.60831123923</v>
      </c>
      <c r="C7659">
        <f t="shared" ca="1" si="357"/>
        <v>0</v>
      </c>
      <c r="D7659">
        <f t="shared" ca="1" si="358"/>
        <v>6579.6083112392298</v>
      </c>
    </row>
    <row r="7660" spans="2:4" x14ac:dyDescent="0.25">
      <c r="B7660">
        <f t="shared" ca="1" si="359"/>
        <v>39977.885604964838</v>
      </c>
      <c r="C7660">
        <f t="shared" ca="1" si="357"/>
        <v>22.114395035161579</v>
      </c>
      <c r="D7660">
        <f t="shared" ca="1" si="358"/>
        <v>0</v>
      </c>
    </row>
    <row r="7661" spans="2:4" x14ac:dyDescent="0.25">
      <c r="B7661">
        <f t="shared" ca="1" si="359"/>
        <v>47490.527820741874</v>
      </c>
      <c r="C7661">
        <f t="shared" ca="1" si="357"/>
        <v>0</v>
      </c>
      <c r="D7661">
        <f t="shared" ca="1" si="358"/>
        <v>7490.5278207418742</v>
      </c>
    </row>
    <row r="7662" spans="2:4" x14ac:dyDescent="0.25">
      <c r="B7662">
        <f t="shared" ca="1" si="359"/>
        <v>45498.15632566416</v>
      </c>
      <c r="C7662">
        <f t="shared" ca="1" si="357"/>
        <v>0</v>
      </c>
      <c r="D7662">
        <f t="shared" ca="1" si="358"/>
        <v>5498.1563256641602</v>
      </c>
    </row>
    <row r="7663" spans="2:4" x14ac:dyDescent="0.25">
      <c r="B7663">
        <f t="shared" ca="1" si="359"/>
        <v>48481.075556435622</v>
      </c>
      <c r="C7663">
        <f t="shared" ca="1" si="357"/>
        <v>0</v>
      </c>
      <c r="D7663">
        <f t="shared" ca="1" si="358"/>
        <v>8481.0755564356223</v>
      </c>
    </row>
    <row r="7664" spans="2:4" x14ac:dyDescent="0.25">
      <c r="B7664">
        <f t="shared" ca="1" si="359"/>
        <v>47642.066132999586</v>
      </c>
      <c r="C7664">
        <f t="shared" ca="1" si="357"/>
        <v>0</v>
      </c>
      <c r="D7664">
        <f t="shared" ca="1" si="358"/>
        <v>7642.0661329995855</v>
      </c>
    </row>
    <row r="7665" spans="2:4" x14ac:dyDescent="0.25">
      <c r="B7665">
        <f t="shared" ca="1" si="359"/>
        <v>52856.955896993612</v>
      </c>
      <c r="C7665">
        <f t="shared" ca="1" si="357"/>
        <v>0</v>
      </c>
      <c r="D7665">
        <f t="shared" ca="1" si="358"/>
        <v>12856.955896993612</v>
      </c>
    </row>
    <row r="7666" spans="2:4" x14ac:dyDescent="0.25">
      <c r="B7666">
        <f t="shared" ca="1" si="359"/>
        <v>44621.211847562176</v>
      </c>
      <c r="C7666">
        <f t="shared" ca="1" si="357"/>
        <v>0</v>
      </c>
      <c r="D7666">
        <f t="shared" ca="1" si="358"/>
        <v>4621.2118475621755</v>
      </c>
    </row>
    <row r="7667" spans="2:4" x14ac:dyDescent="0.25">
      <c r="B7667">
        <f t="shared" ca="1" si="359"/>
        <v>43761.338646751035</v>
      </c>
      <c r="C7667">
        <f t="shared" ca="1" si="357"/>
        <v>0</v>
      </c>
      <c r="D7667">
        <f t="shared" ca="1" si="358"/>
        <v>3761.3386467510354</v>
      </c>
    </row>
    <row r="7668" spans="2:4" x14ac:dyDescent="0.25">
      <c r="B7668">
        <f t="shared" ca="1" si="359"/>
        <v>42123.564112773674</v>
      </c>
      <c r="C7668">
        <f t="shared" ca="1" si="357"/>
        <v>0</v>
      </c>
      <c r="D7668">
        <f t="shared" ca="1" si="358"/>
        <v>2123.5641127736744</v>
      </c>
    </row>
    <row r="7669" spans="2:4" x14ac:dyDescent="0.25">
      <c r="B7669">
        <f t="shared" ca="1" si="359"/>
        <v>45367.293817642101</v>
      </c>
      <c r="C7669">
        <f t="shared" ca="1" si="357"/>
        <v>0</v>
      </c>
      <c r="D7669">
        <f t="shared" ca="1" si="358"/>
        <v>5367.2938176421012</v>
      </c>
    </row>
    <row r="7670" spans="2:4" x14ac:dyDescent="0.25">
      <c r="B7670">
        <f t="shared" ca="1" si="359"/>
        <v>44426.555983497165</v>
      </c>
      <c r="C7670">
        <f t="shared" ca="1" si="357"/>
        <v>0</v>
      </c>
      <c r="D7670">
        <f t="shared" ca="1" si="358"/>
        <v>4426.5559834971646</v>
      </c>
    </row>
    <row r="7671" spans="2:4" x14ac:dyDescent="0.25">
      <c r="B7671">
        <f t="shared" ca="1" si="359"/>
        <v>41628.446149528543</v>
      </c>
      <c r="C7671">
        <f t="shared" ca="1" si="357"/>
        <v>0</v>
      </c>
      <c r="D7671">
        <f t="shared" ca="1" si="358"/>
        <v>1628.4461495285432</v>
      </c>
    </row>
    <row r="7672" spans="2:4" x14ac:dyDescent="0.25">
      <c r="B7672">
        <f t="shared" ca="1" si="359"/>
        <v>48669.847814253444</v>
      </c>
      <c r="C7672">
        <f t="shared" ca="1" si="357"/>
        <v>0</v>
      </c>
      <c r="D7672">
        <f t="shared" ca="1" si="358"/>
        <v>8669.8478142534441</v>
      </c>
    </row>
    <row r="7673" spans="2:4" x14ac:dyDescent="0.25">
      <c r="B7673">
        <f t="shared" ca="1" si="359"/>
        <v>48260.393656230022</v>
      </c>
      <c r="C7673">
        <f t="shared" ca="1" si="357"/>
        <v>0</v>
      </c>
      <c r="D7673">
        <f t="shared" ca="1" si="358"/>
        <v>8260.3936562300223</v>
      </c>
    </row>
    <row r="7674" spans="2:4" x14ac:dyDescent="0.25">
      <c r="B7674">
        <f t="shared" ca="1" si="359"/>
        <v>47126.467365899625</v>
      </c>
      <c r="C7674">
        <f t="shared" ca="1" si="357"/>
        <v>0</v>
      </c>
      <c r="D7674">
        <f t="shared" ca="1" si="358"/>
        <v>7126.4673658996253</v>
      </c>
    </row>
    <row r="7675" spans="2:4" x14ac:dyDescent="0.25">
      <c r="B7675">
        <f t="shared" ca="1" si="359"/>
        <v>46819.80250726622</v>
      </c>
      <c r="C7675">
        <f t="shared" ca="1" si="357"/>
        <v>0</v>
      </c>
      <c r="D7675">
        <f t="shared" ca="1" si="358"/>
        <v>6819.8025072662203</v>
      </c>
    </row>
    <row r="7676" spans="2:4" x14ac:dyDescent="0.25">
      <c r="B7676">
        <f t="shared" ca="1" si="359"/>
        <v>49579.666880535144</v>
      </c>
      <c r="C7676">
        <f t="shared" ca="1" si="357"/>
        <v>0</v>
      </c>
      <c r="D7676">
        <f t="shared" ca="1" si="358"/>
        <v>9579.6668805351437</v>
      </c>
    </row>
    <row r="7677" spans="2:4" x14ac:dyDescent="0.25">
      <c r="B7677">
        <f t="shared" ca="1" si="359"/>
        <v>40423.225170952726</v>
      </c>
      <c r="C7677">
        <f t="shared" ca="1" si="357"/>
        <v>0</v>
      </c>
      <c r="D7677">
        <f t="shared" ca="1" si="358"/>
        <v>423.22517095272633</v>
      </c>
    </row>
    <row r="7678" spans="2:4" x14ac:dyDescent="0.25">
      <c r="B7678">
        <f t="shared" ca="1" si="359"/>
        <v>52977.298979339961</v>
      </c>
      <c r="C7678">
        <f t="shared" ca="1" si="357"/>
        <v>0</v>
      </c>
      <c r="D7678">
        <f t="shared" ca="1" si="358"/>
        <v>12977.298979339961</v>
      </c>
    </row>
    <row r="7679" spans="2:4" x14ac:dyDescent="0.25">
      <c r="B7679">
        <f t="shared" ca="1" si="359"/>
        <v>48511.800136369631</v>
      </c>
      <c r="C7679">
        <f t="shared" ca="1" si="357"/>
        <v>0</v>
      </c>
      <c r="D7679">
        <f t="shared" ca="1" si="358"/>
        <v>8511.8001363696312</v>
      </c>
    </row>
    <row r="7680" spans="2:4" x14ac:dyDescent="0.25">
      <c r="B7680">
        <f t="shared" ca="1" si="359"/>
        <v>49309.897842579187</v>
      </c>
      <c r="C7680">
        <f t="shared" ca="1" si="357"/>
        <v>0</v>
      </c>
      <c r="D7680">
        <f t="shared" ca="1" si="358"/>
        <v>9309.8978425791865</v>
      </c>
    </row>
    <row r="7681" spans="2:4" x14ac:dyDescent="0.25">
      <c r="B7681">
        <f t="shared" ca="1" si="359"/>
        <v>45757.388071745707</v>
      </c>
      <c r="C7681">
        <f t="shared" ca="1" si="357"/>
        <v>0</v>
      </c>
      <c r="D7681">
        <f t="shared" ca="1" si="358"/>
        <v>5757.3880717457068</v>
      </c>
    </row>
    <row r="7682" spans="2:4" x14ac:dyDescent="0.25">
      <c r="B7682">
        <f t="shared" ca="1" si="359"/>
        <v>42658.977917922923</v>
      </c>
      <c r="C7682">
        <f t="shared" ca="1" si="357"/>
        <v>0</v>
      </c>
      <c r="D7682">
        <f t="shared" ca="1" si="358"/>
        <v>2658.9779179229226</v>
      </c>
    </row>
    <row r="7683" spans="2:4" x14ac:dyDescent="0.25">
      <c r="B7683">
        <f t="shared" ca="1" si="359"/>
        <v>42538.062385788093</v>
      </c>
      <c r="C7683">
        <f t="shared" ca="1" si="357"/>
        <v>0</v>
      </c>
      <c r="D7683">
        <f t="shared" ca="1" si="358"/>
        <v>2538.0623857880928</v>
      </c>
    </row>
    <row r="7684" spans="2:4" x14ac:dyDescent="0.25">
      <c r="B7684">
        <f t="shared" ca="1" si="359"/>
        <v>38761.631935714839</v>
      </c>
      <c r="C7684">
        <f t="shared" ca="1" si="357"/>
        <v>1238.3680642851614</v>
      </c>
      <c r="D7684">
        <f t="shared" ca="1" si="358"/>
        <v>0</v>
      </c>
    </row>
    <row r="7685" spans="2:4" x14ac:dyDescent="0.25">
      <c r="B7685">
        <f t="shared" ca="1" si="359"/>
        <v>43324.328528840619</v>
      </c>
      <c r="C7685">
        <f t="shared" ca="1" si="357"/>
        <v>0</v>
      </c>
      <c r="D7685">
        <f t="shared" ca="1" si="358"/>
        <v>3324.3285288406187</v>
      </c>
    </row>
    <row r="7686" spans="2:4" x14ac:dyDescent="0.25">
      <c r="B7686">
        <f t="shared" ca="1" si="359"/>
        <v>44597.320290730466</v>
      </c>
      <c r="C7686">
        <f t="shared" ca="1" si="357"/>
        <v>0</v>
      </c>
      <c r="D7686">
        <f t="shared" ca="1" si="358"/>
        <v>4597.3202907304658</v>
      </c>
    </row>
    <row r="7687" spans="2:4" x14ac:dyDescent="0.25">
      <c r="B7687">
        <f t="shared" ca="1" si="359"/>
        <v>45590.094564895873</v>
      </c>
      <c r="C7687">
        <f t="shared" ca="1" si="357"/>
        <v>0</v>
      </c>
      <c r="D7687">
        <f t="shared" ca="1" si="358"/>
        <v>5590.0945648958732</v>
      </c>
    </row>
    <row r="7688" spans="2:4" x14ac:dyDescent="0.25">
      <c r="B7688">
        <f t="shared" ca="1" si="359"/>
        <v>35459.270189291623</v>
      </c>
      <c r="C7688">
        <f t="shared" ca="1" si="357"/>
        <v>4540.729810708377</v>
      </c>
      <c r="D7688">
        <f t="shared" ca="1" si="358"/>
        <v>0</v>
      </c>
    </row>
    <row r="7689" spans="2:4" x14ac:dyDescent="0.25">
      <c r="B7689">
        <f t="shared" ca="1" si="359"/>
        <v>41937.222530931293</v>
      </c>
      <c r="C7689">
        <f t="shared" ca="1" si="357"/>
        <v>0</v>
      </c>
      <c r="D7689">
        <f t="shared" ca="1" si="358"/>
        <v>1937.2225309312926</v>
      </c>
    </row>
    <row r="7690" spans="2:4" x14ac:dyDescent="0.25">
      <c r="B7690">
        <f t="shared" ca="1" si="359"/>
        <v>43025.866437598808</v>
      </c>
      <c r="C7690">
        <f t="shared" ca="1" si="357"/>
        <v>0</v>
      </c>
      <c r="D7690">
        <f t="shared" ca="1" si="358"/>
        <v>3025.8664375988083</v>
      </c>
    </row>
    <row r="7691" spans="2:4" x14ac:dyDescent="0.25">
      <c r="B7691">
        <f t="shared" ca="1" si="359"/>
        <v>40554.614224481556</v>
      </c>
      <c r="C7691">
        <f t="shared" ca="1" si="357"/>
        <v>0</v>
      </c>
      <c r="D7691">
        <f t="shared" ca="1" si="358"/>
        <v>554.61422448155645</v>
      </c>
    </row>
    <row r="7692" spans="2:4" x14ac:dyDescent="0.25">
      <c r="B7692">
        <f t="shared" ca="1" si="359"/>
        <v>36346.148168961437</v>
      </c>
      <c r="C7692">
        <f t="shared" ref="C7692:C7755" ca="1" si="360">IF(MAX($B$2-B7692)&lt;0,0,$B$2-B7692)</f>
        <v>3653.8518310385625</v>
      </c>
      <c r="D7692">
        <f t="shared" ref="D7692:D7755" ca="1" si="361">IF(MAX(B7692-$B$2)&lt;0,0,B7692-$B$2)</f>
        <v>0</v>
      </c>
    </row>
    <row r="7693" spans="2:4" x14ac:dyDescent="0.25">
      <c r="B7693">
        <f t="shared" ref="B7693:B7756" ca="1" si="362">$B$1*EXP((($B$4-($B$3^2)/2)*$B$5+$B$3*SQRT($B$5)*NORMSINV(RAND())))</f>
        <v>43715.001738090396</v>
      </c>
      <c r="C7693">
        <f t="shared" ca="1" si="360"/>
        <v>0</v>
      </c>
      <c r="D7693">
        <f t="shared" ca="1" si="361"/>
        <v>3715.0017380903955</v>
      </c>
    </row>
    <row r="7694" spans="2:4" x14ac:dyDescent="0.25">
      <c r="B7694">
        <f t="shared" ca="1" si="362"/>
        <v>46355.009649268941</v>
      </c>
      <c r="C7694">
        <f t="shared" ca="1" si="360"/>
        <v>0</v>
      </c>
      <c r="D7694">
        <f t="shared" ca="1" si="361"/>
        <v>6355.0096492689408</v>
      </c>
    </row>
    <row r="7695" spans="2:4" x14ac:dyDescent="0.25">
      <c r="B7695">
        <f t="shared" ca="1" si="362"/>
        <v>45658.970808836166</v>
      </c>
      <c r="C7695">
        <f t="shared" ca="1" si="360"/>
        <v>0</v>
      </c>
      <c r="D7695">
        <f t="shared" ca="1" si="361"/>
        <v>5658.9708088361658</v>
      </c>
    </row>
    <row r="7696" spans="2:4" x14ac:dyDescent="0.25">
      <c r="B7696">
        <f t="shared" ca="1" si="362"/>
        <v>44955.314354906463</v>
      </c>
      <c r="C7696">
        <f t="shared" ca="1" si="360"/>
        <v>0</v>
      </c>
      <c r="D7696">
        <f t="shared" ca="1" si="361"/>
        <v>4955.3143549064625</v>
      </c>
    </row>
    <row r="7697" spans="2:4" x14ac:dyDescent="0.25">
      <c r="B7697">
        <f t="shared" ca="1" si="362"/>
        <v>43333.546010764672</v>
      </c>
      <c r="C7697">
        <f t="shared" ca="1" si="360"/>
        <v>0</v>
      </c>
      <c r="D7697">
        <f t="shared" ca="1" si="361"/>
        <v>3333.5460107646722</v>
      </c>
    </row>
    <row r="7698" spans="2:4" x14ac:dyDescent="0.25">
      <c r="B7698">
        <f t="shared" ca="1" si="362"/>
        <v>42803.857405173323</v>
      </c>
      <c r="C7698">
        <f t="shared" ca="1" si="360"/>
        <v>0</v>
      </c>
      <c r="D7698">
        <f t="shared" ca="1" si="361"/>
        <v>2803.8574051733231</v>
      </c>
    </row>
    <row r="7699" spans="2:4" x14ac:dyDescent="0.25">
      <c r="B7699">
        <f t="shared" ca="1" si="362"/>
        <v>37796.753217559271</v>
      </c>
      <c r="C7699">
        <f t="shared" ca="1" si="360"/>
        <v>2203.2467824407286</v>
      </c>
      <c r="D7699">
        <f t="shared" ca="1" si="361"/>
        <v>0</v>
      </c>
    </row>
    <row r="7700" spans="2:4" x14ac:dyDescent="0.25">
      <c r="B7700">
        <f t="shared" ca="1" si="362"/>
        <v>49100.277828394457</v>
      </c>
      <c r="C7700">
        <f t="shared" ca="1" si="360"/>
        <v>0</v>
      </c>
      <c r="D7700">
        <f t="shared" ca="1" si="361"/>
        <v>9100.2778283944572</v>
      </c>
    </row>
    <row r="7701" spans="2:4" x14ac:dyDescent="0.25">
      <c r="B7701">
        <f t="shared" ca="1" si="362"/>
        <v>41439.83880807049</v>
      </c>
      <c r="C7701">
        <f t="shared" ca="1" si="360"/>
        <v>0</v>
      </c>
      <c r="D7701">
        <f t="shared" ca="1" si="361"/>
        <v>1439.8388080704899</v>
      </c>
    </row>
    <row r="7702" spans="2:4" x14ac:dyDescent="0.25">
      <c r="B7702">
        <f t="shared" ca="1" si="362"/>
        <v>44034.1589595736</v>
      </c>
      <c r="C7702">
        <f t="shared" ca="1" si="360"/>
        <v>0</v>
      </c>
      <c r="D7702">
        <f t="shared" ca="1" si="361"/>
        <v>4034.1589595736004</v>
      </c>
    </row>
    <row r="7703" spans="2:4" x14ac:dyDescent="0.25">
      <c r="B7703">
        <f t="shared" ca="1" si="362"/>
        <v>42799.564759508597</v>
      </c>
      <c r="C7703">
        <f t="shared" ca="1" si="360"/>
        <v>0</v>
      </c>
      <c r="D7703">
        <f t="shared" ca="1" si="361"/>
        <v>2799.5647595085975</v>
      </c>
    </row>
    <row r="7704" spans="2:4" x14ac:dyDescent="0.25">
      <c r="B7704">
        <f t="shared" ca="1" si="362"/>
        <v>51289.637304011856</v>
      </c>
      <c r="C7704">
        <f t="shared" ca="1" si="360"/>
        <v>0</v>
      </c>
      <c r="D7704">
        <f t="shared" ca="1" si="361"/>
        <v>11289.637304011856</v>
      </c>
    </row>
    <row r="7705" spans="2:4" x14ac:dyDescent="0.25">
      <c r="B7705">
        <f t="shared" ca="1" si="362"/>
        <v>38889.231930460162</v>
      </c>
      <c r="C7705">
        <f t="shared" ca="1" si="360"/>
        <v>1110.7680695398376</v>
      </c>
      <c r="D7705">
        <f t="shared" ca="1" si="361"/>
        <v>0</v>
      </c>
    </row>
    <row r="7706" spans="2:4" x14ac:dyDescent="0.25">
      <c r="B7706">
        <f t="shared" ca="1" si="362"/>
        <v>50243.268628655525</v>
      </c>
      <c r="C7706">
        <f t="shared" ca="1" si="360"/>
        <v>0</v>
      </c>
      <c r="D7706">
        <f t="shared" ca="1" si="361"/>
        <v>10243.268628655525</v>
      </c>
    </row>
    <row r="7707" spans="2:4" x14ac:dyDescent="0.25">
      <c r="B7707">
        <f t="shared" ca="1" si="362"/>
        <v>42402.81888937793</v>
      </c>
      <c r="C7707">
        <f t="shared" ca="1" si="360"/>
        <v>0</v>
      </c>
      <c r="D7707">
        <f t="shared" ca="1" si="361"/>
        <v>2402.8188893779297</v>
      </c>
    </row>
    <row r="7708" spans="2:4" x14ac:dyDescent="0.25">
      <c r="B7708">
        <f t="shared" ca="1" si="362"/>
        <v>41926.716013284073</v>
      </c>
      <c r="C7708">
        <f t="shared" ca="1" si="360"/>
        <v>0</v>
      </c>
      <c r="D7708">
        <f t="shared" ca="1" si="361"/>
        <v>1926.7160132840727</v>
      </c>
    </row>
    <row r="7709" spans="2:4" x14ac:dyDescent="0.25">
      <c r="B7709">
        <f t="shared" ca="1" si="362"/>
        <v>46891.414991339785</v>
      </c>
      <c r="C7709">
        <f t="shared" ca="1" si="360"/>
        <v>0</v>
      </c>
      <c r="D7709">
        <f t="shared" ca="1" si="361"/>
        <v>6891.414991339785</v>
      </c>
    </row>
    <row r="7710" spans="2:4" x14ac:dyDescent="0.25">
      <c r="B7710">
        <f t="shared" ca="1" si="362"/>
        <v>43569.166100016402</v>
      </c>
      <c r="C7710">
        <f t="shared" ca="1" si="360"/>
        <v>0</v>
      </c>
      <c r="D7710">
        <f t="shared" ca="1" si="361"/>
        <v>3569.1661000164022</v>
      </c>
    </row>
    <row r="7711" spans="2:4" x14ac:dyDescent="0.25">
      <c r="B7711">
        <f t="shared" ca="1" si="362"/>
        <v>54469.090224704807</v>
      </c>
      <c r="C7711">
        <f t="shared" ca="1" si="360"/>
        <v>0</v>
      </c>
      <c r="D7711">
        <f t="shared" ca="1" si="361"/>
        <v>14469.090224704807</v>
      </c>
    </row>
    <row r="7712" spans="2:4" x14ac:dyDescent="0.25">
      <c r="B7712">
        <f t="shared" ca="1" si="362"/>
        <v>42461.075666985482</v>
      </c>
      <c r="C7712">
        <f t="shared" ca="1" si="360"/>
        <v>0</v>
      </c>
      <c r="D7712">
        <f t="shared" ca="1" si="361"/>
        <v>2461.0756669854818</v>
      </c>
    </row>
    <row r="7713" spans="2:4" x14ac:dyDescent="0.25">
      <c r="B7713">
        <f t="shared" ca="1" si="362"/>
        <v>41111.507198208841</v>
      </c>
      <c r="C7713">
        <f t="shared" ca="1" si="360"/>
        <v>0</v>
      </c>
      <c r="D7713">
        <f t="shared" ca="1" si="361"/>
        <v>1111.5071982088411</v>
      </c>
    </row>
    <row r="7714" spans="2:4" x14ac:dyDescent="0.25">
      <c r="B7714">
        <f t="shared" ca="1" si="362"/>
        <v>45596.520449750009</v>
      </c>
      <c r="C7714">
        <f t="shared" ca="1" si="360"/>
        <v>0</v>
      </c>
      <c r="D7714">
        <f t="shared" ca="1" si="361"/>
        <v>5596.520449750009</v>
      </c>
    </row>
    <row r="7715" spans="2:4" x14ac:dyDescent="0.25">
      <c r="B7715">
        <f t="shared" ca="1" si="362"/>
        <v>59795.491694954522</v>
      </c>
      <c r="C7715">
        <f t="shared" ca="1" si="360"/>
        <v>0</v>
      </c>
      <c r="D7715">
        <f t="shared" ca="1" si="361"/>
        <v>19795.491694954522</v>
      </c>
    </row>
    <row r="7716" spans="2:4" x14ac:dyDescent="0.25">
      <c r="B7716">
        <f t="shared" ca="1" si="362"/>
        <v>43320.726902553964</v>
      </c>
      <c r="C7716">
        <f t="shared" ca="1" si="360"/>
        <v>0</v>
      </c>
      <c r="D7716">
        <f t="shared" ca="1" si="361"/>
        <v>3320.7269025539645</v>
      </c>
    </row>
    <row r="7717" spans="2:4" x14ac:dyDescent="0.25">
      <c r="B7717">
        <f t="shared" ca="1" si="362"/>
        <v>42320.511349108936</v>
      </c>
      <c r="C7717">
        <f t="shared" ca="1" si="360"/>
        <v>0</v>
      </c>
      <c r="D7717">
        <f t="shared" ca="1" si="361"/>
        <v>2320.511349108936</v>
      </c>
    </row>
    <row r="7718" spans="2:4" x14ac:dyDescent="0.25">
      <c r="B7718">
        <f t="shared" ca="1" si="362"/>
        <v>42588.300832142399</v>
      </c>
      <c r="C7718">
        <f t="shared" ca="1" si="360"/>
        <v>0</v>
      </c>
      <c r="D7718">
        <f t="shared" ca="1" si="361"/>
        <v>2588.3008321423986</v>
      </c>
    </row>
    <row r="7719" spans="2:4" x14ac:dyDescent="0.25">
      <c r="B7719">
        <f t="shared" ca="1" si="362"/>
        <v>44026.046103778317</v>
      </c>
      <c r="C7719">
        <f t="shared" ca="1" si="360"/>
        <v>0</v>
      </c>
      <c r="D7719">
        <f t="shared" ca="1" si="361"/>
        <v>4026.046103778317</v>
      </c>
    </row>
    <row r="7720" spans="2:4" x14ac:dyDescent="0.25">
      <c r="B7720">
        <f t="shared" ca="1" si="362"/>
        <v>48345.134591327522</v>
      </c>
      <c r="C7720">
        <f t="shared" ca="1" si="360"/>
        <v>0</v>
      </c>
      <c r="D7720">
        <f t="shared" ca="1" si="361"/>
        <v>8345.1345913275218</v>
      </c>
    </row>
    <row r="7721" spans="2:4" x14ac:dyDescent="0.25">
      <c r="B7721">
        <f t="shared" ca="1" si="362"/>
        <v>43876.267338829748</v>
      </c>
      <c r="C7721">
        <f t="shared" ca="1" si="360"/>
        <v>0</v>
      </c>
      <c r="D7721">
        <f t="shared" ca="1" si="361"/>
        <v>3876.267338829748</v>
      </c>
    </row>
    <row r="7722" spans="2:4" x14ac:dyDescent="0.25">
      <c r="B7722">
        <f t="shared" ca="1" si="362"/>
        <v>57660.208891023409</v>
      </c>
      <c r="C7722">
        <f t="shared" ca="1" si="360"/>
        <v>0</v>
      </c>
      <c r="D7722">
        <f t="shared" ca="1" si="361"/>
        <v>17660.208891023409</v>
      </c>
    </row>
    <row r="7723" spans="2:4" x14ac:dyDescent="0.25">
      <c r="B7723">
        <f t="shared" ca="1" si="362"/>
        <v>45383.930743602046</v>
      </c>
      <c r="C7723">
        <f t="shared" ca="1" si="360"/>
        <v>0</v>
      </c>
      <c r="D7723">
        <f t="shared" ca="1" si="361"/>
        <v>5383.9307436020463</v>
      </c>
    </row>
    <row r="7724" spans="2:4" x14ac:dyDescent="0.25">
      <c r="B7724">
        <f t="shared" ca="1" si="362"/>
        <v>48915.809827525081</v>
      </c>
      <c r="C7724">
        <f t="shared" ca="1" si="360"/>
        <v>0</v>
      </c>
      <c r="D7724">
        <f t="shared" ca="1" si="361"/>
        <v>8915.8098275250813</v>
      </c>
    </row>
    <row r="7725" spans="2:4" x14ac:dyDescent="0.25">
      <c r="B7725">
        <f t="shared" ca="1" si="362"/>
        <v>47817.629784877761</v>
      </c>
      <c r="C7725">
        <f t="shared" ca="1" si="360"/>
        <v>0</v>
      </c>
      <c r="D7725">
        <f t="shared" ca="1" si="361"/>
        <v>7817.6297848777613</v>
      </c>
    </row>
    <row r="7726" spans="2:4" x14ac:dyDescent="0.25">
      <c r="B7726">
        <f t="shared" ca="1" si="362"/>
        <v>41829.012438196391</v>
      </c>
      <c r="C7726">
        <f t="shared" ca="1" si="360"/>
        <v>0</v>
      </c>
      <c r="D7726">
        <f t="shared" ca="1" si="361"/>
        <v>1829.0124381963906</v>
      </c>
    </row>
    <row r="7727" spans="2:4" x14ac:dyDescent="0.25">
      <c r="B7727">
        <f t="shared" ca="1" si="362"/>
        <v>41587.566636606323</v>
      </c>
      <c r="C7727">
        <f t="shared" ca="1" si="360"/>
        <v>0</v>
      </c>
      <c r="D7727">
        <f t="shared" ca="1" si="361"/>
        <v>1587.5666366063233</v>
      </c>
    </row>
    <row r="7728" spans="2:4" x14ac:dyDescent="0.25">
      <c r="B7728">
        <f t="shared" ca="1" si="362"/>
        <v>45808.765960431825</v>
      </c>
      <c r="C7728">
        <f t="shared" ca="1" si="360"/>
        <v>0</v>
      </c>
      <c r="D7728">
        <f t="shared" ca="1" si="361"/>
        <v>5808.7659604318251</v>
      </c>
    </row>
    <row r="7729" spans="2:4" x14ac:dyDescent="0.25">
      <c r="B7729">
        <f t="shared" ca="1" si="362"/>
        <v>52855.665411308255</v>
      </c>
      <c r="C7729">
        <f t="shared" ca="1" si="360"/>
        <v>0</v>
      </c>
      <c r="D7729">
        <f t="shared" ca="1" si="361"/>
        <v>12855.665411308255</v>
      </c>
    </row>
    <row r="7730" spans="2:4" x14ac:dyDescent="0.25">
      <c r="B7730">
        <f t="shared" ca="1" si="362"/>
        <v>47528.08657569674</v>
      </c>
      <c r="C7730">
        <f t="shared" ca="1" si="360"/>
        <v>0</v>
      </c>
      <c r="D7730">
        <f t="shared" ca="1" si="361"/>
        <v>7528.0865756967396</v>
      </c>
    </row>
    <row r="7731" spans="2:4" x14ac:dyDescent="0.25">
      <c r="B7731">
        <f t="shared" ca="1" si="362"/>
        <v>47261.346662390184</v>
      </c>
      <c r="C7731">
        <f t="shared" ca="1" si="360"/>
        <v>0</v>
      </c>
      <c r="D7731">
        <f t="shared" ca="1" si="361"/>
        <v>7261.3466623901841</v>
      </c>
    </row>
    <row r="7732" spans="2:4" x14ac:dyDescent="0.25">
      <c r="B7732">
        <f t="shared" ca="1" si="362"/>
        <v>48541.21432741906</v>
      </c>
      <c r="C7732">
        <f t="shared" ca="1" si="360"/>
        <v>0</v>
      </c>
      <c r="D7732">
        <f t="shared" ca="1" si="361"/>
        <v>8541.2143274190603</v>
      </c>
    </row>
    <row r="7733" spans="2:4" x14ac:dyDescent="0.25">
      <c r="B7733">
        <f t="shared" ca="1" si="362"/>
        <v>50687.63307158625</v>
      </c>
      <c r="C7733">
        <f t="shared" ca="1" si="360"/>
        <v>0</v>
      </c>
      <c r="D7733">
        <f t="shared" ca="1" si="361"/>
        <v>10687.63307158625</v>
      </c>
    </row>
    <row r="7734" spans="2:4" x14ac:dyDescent="0.25">
      <c r="B7734">
        <f t="shared" ca="1" si="362"/>
        <v>50397.822859283733</v>
      </c>
      <c r="C7734">
        <f t="shared" ca="1" si="360"/>
        <v>0</v>
      </c>
      <c r="D7734">
        <f t="shared" ca="1" si="361"/>
        <v>10397.822859283733</v>
      </c>
    </row>
    <row r="7735" spans="2:4" x14ac:dyDescent="0.25">
      <c r="B7735">
        <f t="shared" ca="1" si="362"/>
        <v>38884.202019636141</v>
      </c>
      <c r="C7735">
        <f t="shared" ca="1" si="360"/>
        <v>1115.7979803638591</v>
      </c>
      <c r="D7735">
        <f t="shared" ca="1" si="361"/>
        <v>0</v>
      </c>
    </row>
    <row r="7736" spans="2:4" x14ac:dyDescent="0.25">
      <c r="B7736">
        <f t="shared" ca="1" si="362"/>
        <v>47851.851446568297</v>
      </c>
      <c r="C7736">
        <f t="shared" ca="1" si="360"/>
        <v>0</v>
      </c>
      <c r="D7736">
        <f t="shared" ca="1" si="361"/>
        <v>7851.8514465682965</v>
      </c>
    </row>
    <row r="7737" spans="2:4" x14ac:dyDescent="0.25">
      <c r="B7737">
        <f t="shared" ca="1" si="362"/>
        <v>40729.676001972912</v>
      </c>
      <c r="C7737">
        <f t="shared" ca="1" si="360"/>
        <v>0</v>
      </c>
      <c r="D7737">
        <f t="shared" ca="1" si="361"/>
        <v>729.67600197291176</v>
      </c>
    </row>
    <row r="7738" spans="2:4" x14ac:dyDescent="0.25">
      <c r="B7738">
        <f t="shared" ca="1" si="362"/>
        <v>43467.940910304475</v>
      </c>
      <c r="C7738">
        <f t="shared" ca="1" si="360"/>
        <v>0</v>
      </c>
      <c r="D7738">
        <f t="shared" ca="1" si="361"/>
        <v>3467.9409103044745</v>
      </c>
    </row>
    <row r="7739" spans="2:4" x14ac:dyDescent="0.25">
      <c r="B7739">
        <f t="shared" ca="1" si="362"/>
        <v>38715.617625035848</v>
      </c>
      <c r="C7739">
        <f t="shared" ca="1" si="360"/>
        <v>1284.3823749641524</v>
      </c>
      <c r="D7739">
        <f t="shared" ca="1" si="361"/>
        <v>0</v>
      </c>
    </row>
    <row r="7740" spans="2:4" x14ac:dyDescent="0.25">
      <c r="B7740">
        <f t="shared" ca="1" si="362"/>
        <v>54841.823779319071</v>
      </c>
      <c r="C7740">
        <f t="shared" ca="1" si="360"/>
        <v>0</v>
      </c>
      <c r="D7740">
        <f t="shared" ca="1" si="361"/>
        <v>14841.823779319071</v>
      </c>
    </row>
    <row r="7741" spans="2:4" x14ac:dyDescent="0.25">
      <c r="B7741">
        <f t="shared" ca="1" si="362"/>
        <v>42861.327733591454</v>
      </c>
      <c r="C7741">
        <f t="shared" ca="1" si="360"/>
        <v>0</v>
      </c>
      <c r="D7741">
        <f t="shared" ca="1" si="361"/>
        <v>2861.3277335914536</v>
      </c>
    </row>
    <row r="7742" spans="2:4" x14ac:dyDescent="0.25">
      <c r="B7742">
        <f t="shared" ca="1" si="362"/>
        <v>55349.14497594953</v>
      </c>
      <c r="C7742">
        <f t="shared" ca="1" si="360"/>
        <v>0</v>
      </c>
      <c r="D7742">
        <f t="shared" ca="1" si="361"/>
        <v>15349.14497594953</v>
      </c>
    </row>
    <row r="7743" spans="2:4" x14ac:dyDescent="0.25">
      <c r="B7743">
        <f t="shared" ca="1" si="362"/>
        <v>42468.168247915804</v>
      </c>
      <c r="C7743">
        <f t="shared" ca="1" si="360"/>
        <v>0</v>
      </c>
      <c r="D7743">
        <f t="shared" ca="1" si="361"/>
        <v>2468.1682479158044</v>
      </c>
    </row>
    <row r="7744" spans="2:4" x14ac:dyDescent="0.25">
      <c r="B7744">
        <f t="shared" ca="1" si="362"/>
        <v>46205.011695361667</v>
      </c>
      <c r="C7744">
        <f t="shared" ca="1" si="360"/>
        <v>0</v>
      </c>
      <c r="D7744">
        <f t="shared" ca="1" si="361"/>
        <v>6205.0116953616671</v>
      </c>
    </row>
    <row r="7745" spans="2:4" x14ac:dyDescent="0.25">
      <c r="B7745">
        <f t="shared" ca="1" si="362"/>
        <v>53231.578984356609</v>
      </c>
      <c r="C7745">
        <f t="shared" ca="1" si="360"/>
        <v>0</v>
      </c>
      <c r="D7745">
        <f t="shared" ca="1" si="361"/>
        <v>13231.578984356609</v>
      </c>
    </row>
    <row r="7746" spans="2:4" x14ac:dyDescent="0.25">
      <c r="B7746">
        <f t="shared" ca="1" si="362"/>
        <v>46954.173232402602</v>
      </c>
      <c r="C7746">
        <f t="shared" ca="1" si="360"/>
        <v>0</v>
      </c>
      <c r="D7746">
        <f t="shared" ca="1" si="361"/>
        <v>6954.1732324026016</v>
      </c>
    </row>
    <row r="7747" spans="2:4" x14ac:dyDescent="0.25">
      <c r="B7747">
        <f t="shared" ca="1" si="362"/>
        <v>47234.508354677222</v>
      </c>
      <c r="C7747">
        <f t="shared" ca="1" si="360"/>
        <v>0</v>
      </c>
      <c r="D7747">
        <f t="shared" ca="1" si="361"/>
        <v>7234.5083546772221</v>
      </c>
    </row>
    <row r="7748" spans="2:4" x14ac:dyDescent="0.25">
      <c r="B7748">
        <f t="shared" ca="1" si="362"/>
        <v>62671.431056925147</v>
      </c>
      <c r="C7748">
        <f t="shared" ca="1" si="360"/>
        <v>0</v>
      </c>
      <c r="D7748">
        <f t="shared" ca="1" si="361"/>
        <v>22671.431056925147</v>
      </c>
    </row>
    <row r="7749" spans="2:4" x14ac:dyDescent="0.25">
      <c r="B7749">
        <f t="shared" ca="1" si="362"/>
        <v>39944.117159121546</v>
      </c>
      <c r="C7749">
        <f t="shared" ca="1" si="360"/>
        <v>55.882840878453862</v>
      </c>
      <c r="D7749">
        <f t="shared" ca="1" si="361"/>
        <v>0</v>
      </c>
    </row>
    <row r="7750" spans="2:4" x14ac:dyDescent="0.25">
      <c r="B7750">
        <f t="shared" ca="1" si="362"/>
        <v>50558.051421084172</v>
      </c>
      <c r="C7750">
        <f t="shared" ca="1" si="360"/>
        <v>0</v>
      </c>
      <c r="D7750">
        <f t="shared" ca="1" si="361"/>
        <v>10558.051421084172</v>
      </c>
    </row>
    <row r="7751" spans="2:4" x14ac:dyDescent="0.25">
      <c r="B7751">
        <f t="shared" ca="1" si="362"/>
        <v>48230.768927620185</v>
      </c>
      <c r="C7751">
        <f t="shared" ca="1" si="360"/>
        <v>0</v>
      </c>
      <c r="D7751">
        <f t="shared" ca="1" si="361"/>
        <v>8230.7689276201854</v>
      </c>
    </row>
    <row r="7752" spans="2:4" x14ac:dyDescent="0.25">
      <c r="B7752">
        <f t="shared" ca="1" si="362"/>
        <v>42435.843696582022</v>
      </c>
      <c r="C7752">
        <f t="shared" ca="1" si="360"/>
        <v>0</v>
      </c>
      <c r="D7752">
        <f t="shared" ca="1" si="361"/>
        <v>2435.8436965820219</v>
      </c>
    </row>
    <row r="7753" spans="2:4" x14ac:dyDescent="0.25">
      <c r="B7753">
        <f t="shared" ca="1" si="362"/>
        <v>43406.047757414635</v>
      </c>
      <c r="C7753">
        <f t="shared" ca="1" si="360"/>
        <v>0</v>
      </c>
      <c r="D7753">
        <f t="shared" ca="1" si="361"/>
        <v>3406.0477574146353</v>
      </c>
    </row>
    <row r="7754" spans="2:4" x14ac:dyDescent="0.25">
      <c r="B7754">
        <f t="shared" ca="1" si="362"/>
        <v>36066.670176110958</v>
      </c>
      <c r="C7754">
        <f t="shared" ca="1" si="360"/>
        <v>3933.329823889042</v>
      </c>
      <c r="D7754">
        <f t="shared" ca="1" si="361"/>
        <v>0</v>
      </c>
    </row>
    <row r="7755" spans="2:4" x14ac:dyDescent="0.25">
      <c r="B7755">
        <f t="shared" ca="1" si="362"/>
        <v>44497.178558161599</v>
      </c>
      <c r="C7755">
        <f t="shared" ca="1" si="360"/>
        <v>0</v>
      </c>
      <c r="D7755">
        <f t="shared" ca="1" si="361"/>
        <v>4497.1785581615986</v>
      </c>
    </row>
    <row r="7756" spans="2:4" x14ac:dyDescent="0.25">
      <c r="B7756">
        <f t="shared" ca="1" si="362"/>
        <v>43905.129257686349</v>
      </c>
      <c r="C7756">
        <f t="shared" ref="C7756:C7819" ca="1" si="363">IF(MAX($B$2-B7756)&lt;0,0,$B$2-B7756)</f>
        <v>0</v>
      </c>
      <c r="D7756">
        <f t="shared" ref="D7756:D7819" ca="1" si="364">IF(MAX(B7756-$B$2)&lt;0,0,B7756-$B$2)</f>
        <v>3905.1292576863489</v>
      </c>
    </row>
    <row r="7757" spans="2:4" x14ac:dyDescent="0.25">
      <c r="B7757">
        <f t="shared" ref="B7757:B7820" ca="1" si="365">$B$1*EXP((($B$4-($B$3^2)/2)*$B$5+$B$3*SQRT($B$5)*NORMSINV(RAND())))</f>
        <v>40417.900874682615</v>
      </c>
      <c r="C7757">
        <f t="shared" ca="1" si="363"/>
        <v>0</v>
      </c>
      <c r="D7757">
        <f t="shared" ca="1" si="364"/>
        <v>417.90087468261481</v>
      </c>
    </row>
    <row r="7758" spans="2:4" x14ac:dyDescent="0.25">
      <c r="B7758">
        <f t="shared" ca="1" si="365"/>
        <v>53210.12845432094</v>
      </c>
      <c r="C7758">
        <f t="shared" ca="1" si="363"/>
        <v>0</v>
      </c>
      <c r="D7758">
        <f t="shared" ca="1" si="364"/>
        <v>13210.12845432094</v>
      </c>
    </row>
    <row r="7759" spans="2:4" x14ac:dyDescent="0.25">
      <c r="B7759">
        <f t="shared" ca="1" si="365"/>
        <v>47955.293354606591</v>
      </c>
      <c r="C7759">
        <f t="shared" ca="1" si="363"/>
        <v>0</v>
      </c>
      <c r="D7759">
        <f t="shared" ca="1" si="364"/>
        <v>7955.2933546065906</v>
      </c>
    </row>
    <row r="7760" spans="2:4" x14ac:dyDescent="0.25">
      <c r="B7760">
        <f t="shared" ca="1" si="365"/>
        <v>49482.252984834384</v>
      </c>
      <c r="C7760">
        <f t="shared" ca="1" si="363"/>
        <v>0</v>
      </c>
      <c r="D7760">
        <f t="shared" ca="1" si="364"/>
        <v>9482.2529848343838</v>
      </c>
    </row>
    <row r="7761" spans="2:4" x14ac:dyDescent="0.25">
      <c r="B7761">
        <f t="shared" ca="1" si="365"/>
        <v>39413.089631479023</v>
      </c>
      <c r="C7761">
        <f t="shared" ca="1" si="363"/>
        <v>586.9103685209775</v>
      </c>
      <c r="D7761">
        <f t="shared" ca="1" si="364"/>
        <v>0</v>
      </c>
    </row>
    <row r="7762" spans="2:4" x14ac:dyDescent="0.25">
      <c r="B7762">
        <f t="shared" ca="1" si="365"/>
        <v>48737.546866228986</v>
      </c>
      <c r="C7762">
        <f t="shared" ca="1" si="363"/>
        <v>0</v>
      </c>
      <c r="D7762">
        <f t="shared" ca="1" si="364"/>
        <v>8737.5468662289859</v>
      </c>
    </row>
    <row r="7763" spans="2:4" x14ac:dyDescent="0.25">
      <c r="B7763">
        <f t="shared" ca="1" si="365"/>
        <v>54642.462438285896</v>
      </c>
      <c r="C7763">
        <f t="shared" ca="1" si="363"/>
        <v>0</v>
      </c>
      <c r="D7763">
        <f t="shared" ca="1" si="364"/>
        <v>14642.462438285896</v>
      </c>
    </row>
    <row r="7764" spans="2:4" x14ac:dyDescent="0.25">
      <c r="B7764">
        <f t="shared" ca="1" si="365"/>
        <v>48854.385000409929</v>
      </c>
      <c r="C7764">
        <f t="shared" ca="1" si="363"/>
        <v>0</v>
      </c>
      <c r="D7764">
        <f t="shared" ca="1" si="364"/>
        <v>8854.3850004099295</v>
      </c>
    </row>
    <row r="7765" spans="2:4" x14ac:dyDescent="0.25">
      <c r="B7765">
        <f t="shared" ca="1" si="365"/>
        <v>47522.238872708673</v>
      </c>
      <c r="C7765">
        <f t="shared" ca="1" si="363"/>
        <v>0</v>
      </c>
      <c r="D7765">
        <f t="shared" ca="1" si="364"/>
        <v>7522.2388727086727</v>
      </c>
    </row>
    <row r="7766" spans="2:4" x14ac:dyDescent="0.25">
      <c r="B7766">
        <f t="shared" ca="1" si="365"/>
        <v>47985.430715932918</v>
      </c>
      <c r="C7766">
        <f t="shared" ca="1" si="363"/>
        <v>0</v>
      </c>
      <c r="D7766">
        <f t="shared" ca="1" si="364"/>
        <v>7985.4307159329182</v>
      </c>
    </row>
    <row r="7767" spans="2:4" x14ac:dyDescent="0.25">
      <c r="B7767">
        <f t="shared" ca="1" si="365"/>
        <v>47255.610884462752</v>
      </c>
      <c r="C7767">
        <f t="shared" ca="1" si="363"/>
        <v>0</v>
      </c>
      <c r="D7767">
        <f t="shared" ca="1" si="364"/>
        <v>7255.6108844627524</v>
      </c>
    </row>
    <row r="7768" spans="2:4" x14ac:dyDescent="0.25">
      <c r="B7768">
        <f t="shared" ca="1" si="365"/>
        <v>55513.191219877714</v>
      </c>
      <c r="C7768">
        <f t="shared" ca="1" si="363"/>
        <v>0</v>
      </c>
      <c r="D7768">
        <f t="shared" ca="1" si="364"/>
        <v>15513.191219877714</v>
      </c>
    </row>
    <row r="7769" spans="2:4" x14ac:dyDescent="0.25">
      <c r="B7769">
        <f t="shared" ca="1" si="365"/>
        <v>48488.882925416161</v>
      </c>
      <c r="C7769">
        <f t="shared" ca="1" si="363"/>
        <v>0</v>
      </c>
      <c r="D7769">
        <f t="shared" ca="1" si="364"/>
        <v>8488.882925416161</v>
      </c>
    </row>
    <row r="7770" spans="2:4" x14ac:dyDescent="0.25">
      <c r="B7770">
        <f t="shared" ca="1" si="365"/>
        <v>44048.316948188294</v>
      </c>
      <c r="C7770">
        <f t="shared" ca="1" si="363"/>
        <v>0</v>
      </c>
      <c r="D7770">
        <f t="shared" ca="1" si="364"/>
        <v>4048.3169481882942</v>
      </c>
    </row>
    <row r="7771" spans="2:4" x14ac:dyDescent="0.25">
      <c r="B7771">
        <f t="shared" ca="1" si="365"/>
        <v>43652.939306425003</v>
      </c>
      <c r="C7771">
        <f t="shared" ca="1" si="363"/>
        <v>0</v>
      </c>
      <c r="D7771">
        <f t="shared" ca="1" si="364"/>
        <v>3652.9393064250035</v>
      </c>
    </row>
    <row r="7772" spans="2:4" x14ac:dyDescent="0.25">
      <c r="B7772">
        <f t="shared" ca="1" si="365"/>
        <v>37054.797533671343</v>
      </c>
      <c r="C7772">
        <f t="shared" ca="1" si="363"/>
        <v>2945.2024663286575</v>
      </c>
      <c r="D7772">
        <f t="shared" ca="1" si="364"/>
        <v>0</v>
      </c>
    </row>
    <row r="7773" spans="2:4" x14ac:dyDescent="0.25">
      <c r="B7773">
        <f t="shared" ca="1" si="365"/>
        <v>56513.295591188777</v>
      </c>
      <c r="C7773">
        <f t="shared" ca="1" si="363"/>
        <v>0</v>
      </c>
      <c r="D7773">
        <f t="shared" ca="1" si="364"/>
        <v>16513.295591188777</v>
      </c>
    </row>
    <row r="7774" spans="2:4" x14ac:dyDescent="0.25">
      <c r="B7774">
        <f t="shared" ca="1" si="365"/>
        <v>46095.453577959284</v>
      </c>
      <c r="C7774">
        <f t="shared" ca="1" si="363"/>
        <v>0</v>
      </c>
      <c r="D7774">
        <f t="shared" ca="1" si="364"/>
        <v>6095.4535779592843</v>
      </c>
    </row>
    <row r="7775" spans="2:4" x14ac:dyDescent="0.25">
      <c r="B7775">
        <f t="shared" ca="1" si="365"/>
        <v>38012.489699613892</v>
      </c>
      <c r="C7775">
        <f t="shared" ca="1" si="363"/>
        <v>1987.5103003861077</v>
      </c>
      <c r="D7775">
        <f t="shared" ca="1" si="364"/>
        <v>0</v>
      </c>
    </row>
    <row r="7776" spans="2:4" x14ac:dyDescent="0.25">
      <c r="B7776">
        <f t="shared" ca="1" si="365"/>
        <v>43538.451156837051</v>
      </c>
      <c r="C7776">
        <f t="shared" ca="1" si="363"/>
        <v>0</v>
      </c>
      <c r="D7776">
        <f t="shared" ca="1" si="364"/>
        <v>3538.4511568370508</v>
      </c>
    </row>
    <row r="7777" spans="2:4" x14ac:dyDescent="0.25">
      <c r="B7777">
        <f t="shared" ca="1" si="365"/>
        <v>44423.334292091626</v>
      </c>
      <c r="C7777">
        <f t="shared" ca="1" si="363"/>
        <v>0</v>
      </c>
      <c r="D7777">
        <f t="shared" ca="1" si="364"/>
        <v>4423.3342920916257</v>
      </c>
    </row>
    <row r="7778" spans="2:4" x14ac:dyDescent="0.25">
      <c r="B7778">
        <f t="shared" ca="1" si="365"/>
        <v>45413.622343162184</v>
      </c>
      <c r="C7778">
        <f t="shared" ca="1" si="363"/>
        <v>0</v>
      </c>
      <c r="D7778">
        <f t="shared" ca="1" si="364"/>
        <v>5413.6223431621838</v>
      </c>
    </row>
    <row r="7779" spans="2:4" x14ac:dyDescent="0.25">
      <c r="B7779">
        <f t="shared" ca="1" si="365"/>
        <v>46380.137692549652</v>
      </c>
      <c r="C7779">
        <f t="shared" ca="1" si="363"/>
        <v>0</v>
      </c>
      <c r="D7779">
        <f t="shared" ca="1" si="364"/>
        <v>6380.1376925496515</v>
      </c>
    </row>
    <row r="7780" spans="2:4" x14ac:dyDescent="0.25">
      <c r="B7780">
        <f t="shared" ca="1" si="365"/>
        <v>47096.645892124412</v>
      </c>
      <c r="C7780">
        <f t="shared" ca="1" si="363"/>
        <v>0</v>
      </c>
      <c r="D7780">
        <f t="shared" ca="1" si="364"/>
        <v>7096.6458921244121</v>
      </c>
    </row>
    <row r="7781" spans="2:4" x14ac:dyDescent="0.25">
      <c r="B7781">
        <f t="shared" ca="1" si="365"/>
        <v>47396.790512495529</v>
      </c>
      <c r="C7781">
        <f t="shared" ca="1" si="363"/>
        <v>0</v>
      </c>
      <c r="D7781">
        <f t="shared" ca="1" si="364"/>
        <v>7396.7905124955287</v>
      </c>
    </row>
    <row r="7782" spans="2:4" x14ac:dyDescent="0.25">
      <c r="B7782">
        <f t="shared" ca="1" si="365"/>
        <v>48896.431258860903</v>
      </c>
      <c r="C7782">
        <f t="shared" ca="1" si="363"/>
        <v>0</v>
      </c>
      <c r="D7782">
        <f t="shared" ca="1" si="364"/>
        <v>8896.4312588609027</v>
      </c>
    </row>
    <row r="7783" spans="2:4" x14ac:dyDescent="0.25">
      <c r="B7783">
        <f t="shared" ca="1" si="365"/>
        <v>43822.157267190989</v>
      </c>
      <c r="C7783">
        <f t="shared" ca="1" si="363"/>
        <v>0</v>
      </c>
      <c r="D7783">
        <f t="shared" ca="1" si="364"/>
        <v>3822.1572671909889</v>
      </c>
    </row>
    <row r="7784" spans="2:4" x14ac:dyDescent="0.25">
      <c r="B7784">
        <f t="shared" ca="1" si="365"/>
        <v>37293.87880827309</v>
      </c>
      <c r="C7784">
        <f t="shared" ca="1" si="363"/>
        <v>2706.1211917269102</v>
      </c>
      <c r="D7784">
        <f t="shared" ca="1" si="364"/>
        <v>0</v>
      </c>
    </row>
    <row r="7785" spans="2:4" x14ac:dyDescent="0.25">
      <c r="B7785">
        <f t="shared" ca="1" si="365"/>
        <v>42668.968872363352</v>
      </c>
      <c r="C7785">
        <f t="shared" ca="1" si="363"/>
        <v>0</v>
      </c>
      <c r="D7785">
        <f t="shared" ca="1" si="364"/>
        <v>2668.9688723633517</v>
      </c>
    </row>
    <row r="7786" spans="2:4" x14ac:dyDescent="0.25">
      <c r="B7786">
        <f t="shared" ca="1" si="365"/>
        <v>56250.519104258317</v>
      </c>
      <c r="C7786">
        <f t="shared" ca="1" si="363"/>
        <v>0</v>
      </c>
      <c r="D7786">
        <f t="shared" ca="1" si="364"/>
        <v>16250.519104258317</v>
      </c>
    </row>
    <row r="7787" spans="2:4" x14ac:dyDescent="0.25">
      <c r="B7787">
        <f t="shared" ca="1" si="365"/>
        <v>42776.924048217741</v>
      </c>
      <c r="C7787">
        <f t="shared" ca="1" si="363"/>
        <v>0</v>
      </c>
      <c r="D7787">
        <f t="shared" ca="1" si="364"/>
        <v>2776.9240482177411</v>
      </c>
    </row>
    <row r="7788" spans="2:4" x14ac:dyDescent="0.25">
      <c r="B7788">
        <f t="shared" ca="1" si="365"/>
        <v>40235.533834722642</v>
      </c>
      <c r="C7788">
        <f t="shared" ca="1" si="363"/>
        <v>0</v>
      </c>
      <c r="D7788">
        <f t="shared" ca="1" si="364"/>
        <v>235.5338347226425</v>
      </c>
    </row>
    <row r="7789" spans="2:4" x14ac:dyDescent="0.25">
      <c r="B7789">
        <f t="shared" ca="1" si="365"/>
        <v>40200.131357772894</v>
      </c>
      <c r="C7789">
        <f t="shared" ca="1" si="363"/>
        <v>0</v>
      </c>
      <c r="D7789">
        <f t="shared" ca="1" si="364"/>
        <v>200.13135777289426</v>
      </c>
    </row>
    <row r="7790" spans="2:4" x14ac:dyDescent="0.25">
      <c r="B7790">
        <f t="shared" ca="1" si="365"/>
        <v>47619.510742914914</v>
      </c>
      <c r="C7790">
        <f t="shared" ca="1" si="363"/>
        <v>0</v>
      </c>
      <c r="D7790">
        <f t="shared" ca="1" si="364"/>
        <v>7619.5107429149139</v>
      </c>
    </row>
    <row r="7791" spans="2:4" x14ac:dyDescent="0.25">
      <c r="B7791">
        <f t="shared" ca="1" si="365"/>
        <v>49147.155854433622</v>
      </c>
      <c r="C7791">
        <f t="shared" ca="1" si="363"/>
        <v>0</v>
      </c>
      <c r="D7791">
        <f t="shared" ca="1" si="364"/>
        <v>9147.1558544336222</v>
      </c>
    </row>
    <row r="7792" spans="2:4" x14ac:dyDescent="0.25">
      <c r="B7792">
        <f t="shared" ca="1" si="365"/>
        <v>46818.759013293915</v>
      </c>
      <c r="C7792">
        <f t="shared" ca="1" si="363"/>
        <v>0</v>
      </c>
      <c r="D7792">
        <f t="shared" ca="1" si="364"/>
        <v>6818.7590132939149</v>
      </c>
    </row>
    <row r="7793" spans="2:4" x14ac:dyDescent="0.25">
      <c r="B7793">
        <f t="shared" ca="1" si="365"/>
        <v>36235.048135410943</v>
      </c>
      <c r="C7793">
        <f t="shared" ca="1" si="363"/>
        <v>3764.9518645890566</v>
      </c>
      <c r="D7793">
        <f t="shared" ca="1" si="364"/>
        <v>0</v>
      </c>
    </row>
    <row r="7794" spans="2:4" x14ac:dyDescent="0.25">
      <c r="B7794">
        <f t="shared" ca="1" si="365"/>
        <v>43228.059844597352</v>
      </c>
      <c r="C7794">
        <f t="shared" ca="1" si="363"/>
        <v>0</v>
      </c>
      <c r="D7794">
        <f t="shared" ca="1" si="364"/>
        <v>3228.0598445973519</v>
      </c>
    </row>
    <row r="7795" spans="2:4" x14ac:dyDescent="0.25">
      <c r="B7795">
        <f t="shared" ca="1" si="365"/>
        <v>48448.968431137582</v>
      </c>
      <c r="C7795">
        <f t="shared" ca="1" si="363"/>
        <v>0</v>
      </c>
      <c r="D7795">
        <f t="shared" ca="1" si="364"/>
        <v>8448.9684311375822</v>
      </c>
    </row>
    <row r="7796" spans="2:4" x14ac:dyDescent="0.25">
      <c r="B7796">
        <f t="shared" ca="1" si="365"/>
        <v>41949.252974833347</v>
      </c>
      <c r="C7796">
        <f t="shared" ca="1" si="363"/>
        <v>0</v>
      </c>
      <c r="D7796">
        <f t="shared" ca="1" si="364"/>
        <v>1949.2529748333473</v>
      </c>
    </row>
    <row r="7797" spans="2:4" x14ac:dyDescent="0.25">
      <c r="B7797">
        <f t="shared" ca="1" si="365"/>
        <v>45854.429629425475</v>
      </c>
      <c r="C7797">
        <f t="shared" ca="1" si="363"/>
        <v>0</v>
      </c>
      <c r="D7797">
        <f t="shared" ca="1" si="364"/>
        <v>5854.4296294254746</v>
      </c>
    </row>
    <row r="7798" spans="2:4" x14ac:dyDescent="0.25">
      <c r="B7798">
        <f t="shared" ca="1" si="365"/>
        <v>47704.502027618262</v>
      </c>
      <c r="C7798">
        <f t="shared" ca="1" si="363"/>
        <v>0</v>
      </c>
      <c r="D7798">
        <f t="shared" ca="1" si="364"/>
        <v>7704.5020276182622</v>
      </c>
    </row>
    <row r="7799" spans="2:4" x14ac:dyDescent="0.25">
      <c r="B7799">
        <f t="shared" ca="1" si="365"/>
        <v>48970.251996635176</v>
      </c>
      <c r="C7799">
        <f t="shared" ca="1" si="363"/>
        <v>0</v>
      </c>
      <c r="D7799">
        <f t="shared" ca="1" si="364"/>
        <v>8970.2519966351756</v>
      </c>
    </row>
    <row r="7800" spans="2:4" x14ac:dyDescent="0.25">
      <c r="B7800">
        <f t="shared" ca="1" si="365"/>
        <v>38021.103336395179</v>
      </c>
      <c r="C7800">
        <f t="shared" ca="1" si="363"/>
        <v>1978.8966636048208</v>
      </c>
      <c r="D7800">
        <f t="shared" ca="1" si="364"/>
        <v>0</v>
      </c>
    </row>
    <row r="7801" spans="2:4" x14ac:dyDescent="0.25">
      <c r="B7801">
        <f t="shared" ca="1" si="365"/>
        <v>46039.870818954143</v>
      </c>
      <c r="C7801">
        <f t="shared" ca="1" si="363"/>
        <v>0</v>
      </c>
      <c r="D7801">
        <f t="shared" ca="1" si="364"/>
        <v>6039.870818954143</v>
      </c>
    </row>
    <row r="7802" spans="2:4" x14ac:dyDescent="0.25">
      <c r="B7802">
        <f t="shared" ca="1" si="365"/>
        <v>52510.07882399088</v>
      </c>
      <c r="C7802">
        <f t="shared" ca="1" si="363"/>
        <v>0</v>
      </c>
      <c r="D7802">
        <f t="shared" ca="1" si="364"/>
        <v>12510.07882399088</v>
      </c>
    </row>
    <row r="7803" spans="2:4" x14ac:dyDescent="0.25">
      <c r="B7803">
        <f t="shared" ca="1" si="365"/>
        <v>40956.06663880503</v>
      </c>
      <c r="C7803">
        <f t="shared" ca="1" si="363"/>
        <v>0</v>
      </c>
      <c r="D7803">
        <f t="shared" ca="1" si="364"/>
        <v>956.06663880503038</v>
      </c>
    </row>
    <row r="7804" spans="2:4" x14ac:dyDescent="0.25">
      <c r="B7804">
        <f t="shared" ca="1" si="365"/>
        <v>38787.176517166663</v>
      </c>
      <c r="C7804">
        <f t="shared" ca="1" si="363"/>
        <v>1212.823482833337</v>
      </c>
      <c r="D7804">
        <f t="shared" ca="1" si="364"/>
        <v>0</v>
      </c>
    </row>
    <row r="7805" spans="2:4" x14ac:dyDescent="0.25">
      <c r="B7805">
        <f t="shared" ca="1" si="365"/>
        <v>40136.496771235812</v>
      </c>
      <c r="C7805">
        <f t="shared" ca="1" si="363"/>
        <v>0</v>
      </c>
      <c r="D7805">
        <f t="shared" ca="1" si="364"/>
        <v>136.49677123581205</v>
      </c>
    </row>
    <row r="7806" spans="2:4" x14ac:dyDescent="0.25">
      <c r="B7806">
        <f t="shared" ca="1" si="365"/>
        <v>41933.882178213891</v>
      </c>
      <c r="C7806">
        <f t="shared" ca="1" si="363"/>
        <v>0</v>
      </c>
      <c r="D7806">
        <f t="shared" ca="1" si="364"/>
        <v>1933.8821782138912</v>
      </c>
    </row>
    <row r="7807" spans="2:4" x14ac:dyDescent="0.25">
      <c r="B7807">
        <f t="shared" ca="1" si="365"/>
        <v>49265.1799500665</v>
      </c>
      <c r="C7807">
        <f t="shared" ca="1" si="363"/>
        <v>0</v>
      </c>
      <c r="D7807">
        <f t="shared" ca="1" si="364"/>
        <v>9265.1799500665002</v>
      </c>
    </row>
    <row r="7808" spans="2:4" x14ac:dyDescent="0.25">
      <c r="B7808">
        <f t="shared" ca="1" si="365"/>
        <v>47796.037223321473</v>
      </c>
      <c r="C7808">
        <f t="shared" ca="1" si="363"/>
        <v>0</v>
      </c>
      <c r="D7808">
        <f t="shared" ca="1" si="364"/>
        <v>7796.037223321473</v>
      </c>
    </row>
    <row r="7809" spans="2:4" x14ac:dyDescent="0.25">
      <c r="B7809">
        <f t="shared" ca="1" si="365"/>
        <v>38698.758026760785</v>
      </c>
      <c r="C7809">
        <f t="shared" ca="1" si="363"/>
        <v>1301.2419732392154</v>
      </c>
      <c r="D7809">
        <f t="shared" ca="1" si="364"/>
        <v>0</v>
      </c>
    </row>
    <row r="7810" spans="2:4" x14ac:dyDescent="0.25">
      <c r="B7810">
        <f t="shared" ca="1" si="365"/>
        <v>51795.744553670906</v>
      </c>
      <c r="C7810">
        <f t="shared" ca="1" si="363"/>
        <v>0</v>
      </c>
      <c r="D7810">
        <f t="shared" ca="1" si="364"/>
        <v>11795.744553670906</v>
      </c>
    </row>
    <row r="7811" spans="2:4" x14ac:dyDescent="0.25">
      <c r="B7811">
        <f t="shared" ca="1" si="365"/>
        <v>44223.345591031226</v>
      </c>
      <c r="C7811">
        <f t="shared" ca="1" si="363"/>
        <v>0</v>
      </c>
      <c r="D7811">
        <f t="shared" ca="1" si="364"/>
        <v>4223.3455910312259</v>
      </c>
    </row>
    <row r="7812" spans="2:4" x14ac:dyDescent="0.25">
      <c r="B7812">
        <f t="shared" ca="1" si="365"/>
        <v>42540.601441576924</v>
      </c>
      <c r="C7812">
        <f t="shared" ca="1" si="363"/>
        <v>0</v>
      </c>
      <c r="D7812">
        <f t="shared" ca="1" si="364"/>
        <v>2540.6014415769241</v>
      </c>
    </row>
    <row r="7813" spans="2:4" x14ac:dyDescent="0.25">
      <c r="B7813">
        <f t="shared" ca="1" si="365"/>
        <v>45671.276434293788</v>
      </c>
      <c r="C7813">
        <f t="shared" ca="1" si="363"/>
        <v>0</v>
      </c>
      <c r="D7813">
        <f t="shared" ca="1" si="364"/>
        <v>5671.276434293788</v>
      </c>
    </row>
    <row r="7814" spans="2:4" x14ac:dyDescent="0.25">
      <c r="B7814">
        <f t="shared" ca="1" si="365"/>
        <v>50076.125407350017</v>
      </c>
      <c r="C7814">
        <f t="shared" ca="1" si="363"/>
        <v>0</v>
      </c>
      <c r="D7814">
        <f t="shared" ca="1" si="364"/>
        <v>10076.125407350017</v>
      </c>
    </row>
    <row r="7815" spans="2:4" x14ac:dyDescent="0.25">
      <c r="B7815">
        <f t="shared" ca="1" si="365"/>
        <v>54281.071293969493</v>
      </c>
      <c r="C7815">
        <f t="shared" ca="1" si="363"/>
        <v>0</v>
      </c>
      <c r="D7815">
        <f t="shared" ca="1" si="364"/>
        <v>14281.071293969493</v>
      </c>
    </row>
    <row r="7816" spans="2:4" x14ac:dyDescent="0.25">
      <c r="B7816">
        <f t="shared" ca="1" si="365"/>
        <v>47276.97351450273</v>
      </c>
      <c r="C7816">
        <f t="shared" ca="1" si="363"/>
        <v>0</v>
      </c>
      <c r="D7816">
        <f t="shared" ca="1" si="364"/>
        <v>7276.9735145027298</v>
      </c>
    </row>
    <row r="7817" spans="2:4" x14ac:dyDescent="0.25">
      <c r="B7817">
        <f t="shared" ca="1" si="365"/>
        <v>48942.231588591676</v>
      </c>
      <c r="C7817">
        <f t="shared" ca="1" si="363"/>
        <v>0</v>
      </c>
      <c r="D7817">
        <f t="shared" ca="1" si="364"/>
        <v>8942.231588591676</v>
      </c>
    </row>
    <row r="7818" spans="2:4" x14ac:dyDescent="0.25">
      <c r="B7818">
        <f t="shared" ca="1" si="365"/>
        <v>42079.563804180179</v>
      </c>
      <c r="C7818">
        <f t="shared" ca="1" si="363"/>
        <v>0</v>
      </c>
      <c r="D7818">
        <f t="shared" ca="1" si="364"/>
        <v>2079.5638041801794</v>
      </c>
    </row>
    <row r="7819" spans="2:4" x14ac:dyDescent="0.25">
      <c r="B7819">
        <f t="shared" ca="1" si="365"/>
        <v>47449.589675474628</v>
      </c>
      <c r="C7819">
        <f t="shared" ca="1" si="363"/>
        <v>0</v>
      </c>
      <c r="D7819">
        <f t="shared" ca="1" si="364"/>
        <v>7449.5896754746282</v>
      </c>
    </row>
    <row r="7820" spans="2:4" x14ac:dyDescent="0.25">
      <c r="B7820">
        <f t="shared" ca="1" si="365"/>
        <v>42797.243290748556</v>
      </c>
      <c r="C7820">
        <f t="shared" ref="C7820:C7883" ca="1" si="366">IF(MAX($B$2-B7820)&lt;0,0,$B$2-B7820)</f>
        <v>0</v>
      </c>
      <c r="D7820">
        <f t="shared" ref="D7820:D7883" ca="1" si="367">IF(MAX(B7820-$B$2)&lt;0,0,B7820-$B$2)</f>
        <v>2797.2432907485563</v>
      </c>
    </row>
    <row r="7821" spans="2:4" x14ac:dyDescent="0.25">
      <c r="B7821">
        <f t="shared" ref="B7821:B7884" ca="1" si="368">$B$1*EXP((($B$4-($B$3^2)/2)*$B$5+$B$3*SQRT($B$5)*NORMSINV(RAND())))</f>
        <v>43316.960180087488</v>
      </c>
      <c r="C7821">
        <f t="shared" ca="1" si="366"/>
        <v>0</v>
      </c>
      <c r="D7821">
        <f t="shared" ca="1" si="367"/>
        <v>3316.960180087488</v>
      </c>
    </row>
    <row r="7822" spans="2:4" x14ac:dyDescent="0.25">
      <c r="B7822">
        <f t="shared" ca="1" si="368"/>
        <v>46014.131132264767</v>
      </c>
      <c r="C7822">
        <f t="shared" ca="1" si="366"/>
        <v>0</v>
      </c>
      <c r="D7822">
        <f t="shared" ca="1" si="367"/>
        <v>6014.1311322647671</v>
      </c>
    </row>
    <row r="7823" spans="2:4" x14ac:dyDescent="0.25">
      <c r="B7823">
        <f t="shared" ca="1" si="368"/>
        <v>49521.403737543711</v>
      </c>
      <c r="C7823">
        <f t="shared" ca="1" si="366"/>
        <v>0</v>
      </c>
      <c r="D7823">
        <f t="shared" ca="1" si="367"/>
        <v>9521.403737543711</v>
      </c>
    </row>
    <row r="7824" spans="2:4" x14ac:dyDescent="0.25">
      <c r="B7824">
        <f t="shared" ca="1" si="368"/>
        <v>45422.508787505096</v>
      </c>
      <c r="C7824">
        <f t="shared" ca="1" si="366"/>
        <v>0</v>
      </c>
      <c r="D7824">
        <f t="shared" ca="1" si="367"/>
        <v>5422.5087875050958</v>
      </c>
    </row>
    <row r="7825" spans="2:4" x14ac:dyDescent="0.25">
      <c r="B7825">
        <f t="shared" ca="1" si="368"/>
        <v>45084.072233319392</v>
      </c>
      <c r="C7825">
        <f t="shared" ca="1" si="366"/>
        <v>0</v>
      </c>
      <c r="D7825">
        <f t="shared" ca="1" si="367"/>
        <v>5084.0722333193917</v>
      </c>
    </row>
    <row r="7826" spans="2:4" x14ac:dyDescent="0.25">
      <c r="B7826">
        <f t="shared" ca="1" si="368"/>
        <v>40272.110679274709</v>
      </c>
      <c r="C7826">
        <f t="shared" ca="1" si="366"/>
        <v>0</v>
      </c>
      <c r="D7826">
        <f t="shared" ca="1" si="367"/>
        <v>272.11067927470867</v>
      </c>
    </row>
    <row r="7827" spans="2:4" x14ac:dyDescent="0.25">
      <c r="B7827">
        <f t="shared" ca="1" si="368"/>
        <v>47314.170628121014</v>
      </c>
      <c r="C7827">
        <f t="shared" ca="1" si="366"/>
        <v>0</v>
      </c>
      <c r="D7827">
        <f t="shared" ca="1" si="367"/>
        <v>7314.1706281210136</v>
      </c>
    </row>
    <row r="7828" spans="2:4" x14ac:dyDescent="0.25">
      <c r="B7828">
        <f t="shared" ca="1" si="368"/>
        <v>47945.74414464437</v>
      </c>
      <c r="C7828">
        <f t="shared" ca="1" si="366"/>
        <v>0</v>
      </c>
      <c r="D7828">
        <f t="shared" ca="1" si="367"/>
        <v>7945.74414464437</v>
      </c>
    </row>
    <row r="7829" spans="2:4" x14ac:dyDescent="0.25">
      <c r="B7829">
        <f t="shared" ca="1" si="368"/>
        <v>43639.838532173613</v>
      </c>
      <c r="C7829">
        <f t="shared" ca="1" si="366"/>
        <v>0</v>
      </c>
      <c r="D7829">
        <f t="shared" ca="1" si="367"/>
        <v>3639.8385321736132</v>
      </c>
    </row>
    <row r="7830" spans="2:4" x14ac:dyDescent="0.25">
      <c r="B7830">
        <f t="shared" ca="1" si="368"/>
        <v>40121.330523623183</v>
      </c>
      <c r="C7830">
        <f t="shared" ca="1" si="366"/>
        <v>0</v>
      </c>
      <c r="D7830">
        <f t="shared" ca="1" si="367"/>
        <v>121.33052362318267</v>
      </c>
    </row>
    <row r="7831" spans="2:4" x14ac:dyDescent="0.25">
      <c r="B7831">
        <f t="shared" ca="1" si="368"/>
        <v>50265.026611292582</v>
      </c>
      <c r="C7831">
        <f t="shared" ca="1" si="366"/>
        <v>0</v>
      </c>
      <c r="D7831">
        <f t="shared" ca="1" si="367"/>
        <v>10265.026611292582</v>
      </c>
    </row>
    <row r="7832" spans="2:4" x14ac:dyDescent="0.25">
      <c r="B7832">
        <f t="shared" ca="1" si="368"/>
        <v>50086.576470311389</v>
      </c>
      <c r="C7832">
        <f t="shared" ca="1" si="366"/>
        <v>0</v>
      </c>
      <c r="D7832">
        <f t="shared" ca="1" si="367"/>
        <v>10086.576470311389</v>
      </c>
    </row>
    <row r="7833" spans="2:4" x14ac:dyDescent="0.25">
      <c r="B7833">
        <f t="shared" ca="1" si="368"/>
        <v>44077.6827464694</v>
      </c>
      <c r="C7833">
        <f t="shared" ca="1" si="366"/>
        <v>0</v>
      </c>
      <c r="D7833">
        <f t="shared" ca="1" si="367"/>
        <v>4077.6827464693997</v>
      </c>
    </row>
    <row r="7834" spans="2:4" x14ac:dyDescent="0.25">
      <c r="B7834">
        <f t="shared" ca="1" si="368"/>
        <v>41594.712246010968</v>
      </c>
      <c r="C7834">
        <f t="shared" ca="1" si="366"/>
        <v>0</v>
      </c>
      <c r="D7834">
        <f t="shared" ca="1" si="367"/>
        <v>1594.7122460109676</v>
      </c>
    </row>
    <row r="7835" spans="2:4" x14ac:dyDescent="0.25">
      <c r="B7835">
        <f t="shared" ca="1" si="368"/>
        <v>44395.377562550799</v>
      </c>
      <c r="C7835">
        <f t="shared" ca="1" si="366"/>
        <v>0</v>
      </c>
      <c r="D7835">
        <f t="shared" ca="1" si="367"/>
        <v>4395.3775625507988</v>
      </c>
    </row>
    <row r="7836" spans="2:4" x14ac:dyDescent="0.25">
      <c r="B7836">
        <f t="shared" ca="1" si="368"/>
        <v>44859.800418937324</v>
      </c>
      <c r="C7836">
        <f t="shared" ca="1" si="366"/>
        <v>0</v>
      </c>
      <c r="D7836">
        <f t="shared" ca="1" si="367"/>
        <v>4859.8004189373241</v>
      </c>
    </row>
    <row r="7837" spans="2:4" x14ac:dyDescent="0.25">
      <c r="B7837">
        <f t="shared" ca="1" si="368"/>
        <v>43413.879667804023</v>
      </c>
      <c r="C7837">
        <f t="shared" ca="1" si="366"/>
        <v>0</v>
      </c>
      <c r="D7837">
        <f t="shared" ca="1" si="367"/>
        <v>3413.8796678040235</v>
      </c>
    </row>
    <row r="7838" spans="2:4" x14ac:dyDescent="0.25">
      <c r="B7838">
        <f t="shared" ca="1" si="368"/>
        <v>49055.742336085175</v>
      </c>
      <c r="C7838">
        <f t="shared" ca="1" si="366"/>
        <v>0</v>
      </c>
      <c r="D7838">
        <f t="shared" ca="1" si="367"/>
        <v>9055.7423360851753</v>
      </c>
    </row>
    <row r="7839" spans="2:4" x14ac:dyDescent="0.25">
      <c r="B7839">
        <f t="shared" ca="1" si="368"/>
        <v>43654.407718575691</v>
      </c>
      <c r="C7839">
        <f t="shared" ca="1" si="366"/>
        <v>0</v>
      </c>
      <c r="D7839">
        <f t="shared" ca="1" si="367"/>
        <v>3654.4077185756905</v>
      </c>
    </row>
    <row r="7840" spans="2:4" x14ac:dyDescent="0.25">
      <c r="B7840">
        <f t="shared" ca="1" si="368"/>
        <v>42314.428414155933</v>
      </c>
      <c r="C7840">
        <f t="shared" ca="1" si="366"/>
        <v>0</v>
      </c>
      <c r="D7840">
        <f t="shared" ca="1" si="367"/>
        <v>2314.4284141559328</v>
      </c>
    </row>
    <row r="7841" spans="2:4" x14ac:dyDescent="0.25">
      <c r="B7841">
        <f t="shared" ca="1" si="368"/>
        <v>48854.173244386271</v>
      </c>
      <c r="C7841">
        <f t="shared" ca="1" si="366"/>
        <v>0</v>
      </c>
      <c r="D7841">
        <f t="shared" ca="1" si="367"/>
        <v>8854.1732443862711</v>
      </c>
    </row>
    <row r="7842" spans="2:4" x14ac:dyDescent="0.25">
      <c r="B7842">
        <f t="shared" ca="1" si="368"/>
        <v>50158.903385913254</v>
      </c>
      <c r="C7842">
        <f t="shared" ca="1" si="366"/>
        <v>0</v>
      </c>
      <c r="D7842">
        <f t="shared" ca="1" si="367"/>
        <v>10158.903385913254</v>
      </c>
    </row>
    <row r="7843" spans="2:4" x14ac:dyDescent="0.25">
      <c r="B7843">
        <f t="shared" ca="1" si="368"/>
        <v>37334.282988145889</v>
      </c>
      <c r="C7843">
        <f t="shared" ca="1" si="366"/>
        <v>2665.7170118541108</v>
      </c>
      <c r="D7843">
        <f t="shared" ca="1" si="367"/>
        <v>0</v>
      </c>
    </row>
    <row r="7844" spans="2:4" x14ac:dyDescent="0.25">
      <c r="B7844">
        <f t="shared" ca="1" si="368"/>
        <v>50338.647571914698</v>
      </c>
      <c r="C7844">
        <f t="shared" ca="1" si="366"/>
        <v>0</v>
      </c>
      <c r="D7844">
        <f t="shared" ca="1" si="367"/>
        <v>10338.647571914698</v>
      </c>
    </row>
    <row r="7845" spans="2:4" x14ac:dyDescent="0.25">
      <c r="B7845">
        <f t="shared" ca="1" si="368"/>
        <v>47629.775434986128</v>
      </c>
      <c r="C7845">
        <f t="shared" ca="1" si="366"/>
        <v>0</v>
      </c>
      <c r="D7845">
        <f t="shared" ca="1" si="367"/>
        <v>7629.7754349861279</v>
      </c>
    </row>
    <row r="7846" spans="2:4" x14ac:dyDescent="0.25">
      <c r="B7846">
        <f t="shared" ca="1" si="368"/>
        <v>53334.119018616737</v>
      </c>
      <c r="C7846">
        <f t="shared" ca="1" si="366"/>
        <v>0</v>
      </c>
      <c r="D7846">
        <f t="shared" ca="1" si="367"/>
        <v>13334.119018616737</v>
      </c>
    </row>
    <row r="7847" spans="2:4" x14ac:dyDescent="0.25">
      <c r="B7847">
        <f t="shared" ca="1" si="368"/>
        <v>40281.508978246966</v>
      </c>
      <c r="C7847">
        <f t="shared" ca="1" si="366"/>
        <v>0</v>
      </c>
      <c r="D7847">
        <f t="shared" ca="1" si="367"/>
        <v>281.50897824696585</v>
      </c>
    </row>
    <row r="7848" spans="2:4" x14ac:dyDescent="0.25">
      <c r="B7848">
        <f t="shared" ca="1" si="368"/>
        <v>44629.712068457775</v>
      </c>
      <c r="C7848">
        <f t="shared" ca="1" si="366"/>
        <v>0</v>
      </c>
      <c r="D7848">
        <f t="shared" ca="1" si="367"/>
        <v>4629.7120684577749</v>
      </c>
    </row>
    <row r="7849" spans="2:4" x14ac:dyDescent="0.25">
      <c r="B7849">
        <f t="shared" ca="1" si="368"/>
        <v>44540.629907480186</v>
      </c>
      <c r="C7849">
        <f t="shared" ca="1" si="366"/>
        <v>0</v>
      </c>
      <c r="D7849">
        <f t="shared" ca="1" si="367"/>
        <v>4540.6299074801864</v>
      </c>
    </row>
    <row r="7850" spans="2:4" x14ac:dyDescent="0.25">
      <c r="B7850">
        <f t="shared" ca="1" si="368"/>
        <v>32794.088523288759</v>
      </c>
      <c r="C7850">
        <f t="shared" ca="1" si="366"/>
        <v>7205.9114767112405</v>
      </c>
      <c r="D7850">
        <f t="shared" ca="1" si="367"/>
        <v>0</v>
      </c>
    </row>
    <row r="7851" spans="2:4" x14ac:dyDescent="0.25">
      <c r="B7851">
        <f t="shared" ca="1" si="368"/>
        <v>38776.37248654366</v>
      </c>
      <c r="C7851">
        <f t="shared" ca="1" si="366"/>
        <v>1223.6275134563402</v>
      </c>
      <c r="D7851">
        <f t="shared" ca="1" si="367"/>
        <v>0</v>
      </c>
    </row>
    <row r="7852" spans="2:4" x14ac:dyDescent="0.25">
      <c r="B7852">
        <f t="shared" ca="1" si="368"/>
        <v>42449.532462164505</v>
      </c>
      <c r="C7852">
        <f t="shared" ca="1" si="366"/>
        <v>0</v>
      </c>
      <c r="D7852">
        <f t="shared" ca="1" si="367"/>
        <v>2449.532462164505</v>
      </c>
    </row>
    <row r="7853" spans="2:4" x14ac:dyDescent="0.25">
      <c r="B7853">
        <f t="shared" ca="1" si="368"/>
        <v>45316.050567754799</v>
      </c>
      <c r="C7853">
        <f t="shared" ca="1" si="366"/>
        <v>0</v>
      </c>
      <c r="D7853">
        <f t="shared" ca="1" si="367"/>
        <v>5316.050567754799</v>
      </c>
    </row>
    <row r="7854" spans="2:4" x14ac:dyDescent="0.25">
      <c r="B7854">
        <f t="shared" ca="1" si="368"/>
        <v>42384.985397650496</v>
      </c>
      <c r="C7854">
        <f t="shared" ca="1" si="366"/>
        <v>0</v>
      </c>
      <c r="D7854">
        <f t="shared" ca="1" si="367"/>
        <v>2384.9853976504965</v>
      </c>
    </row>
    <row r="7855" spans="2:4" x14ac:dyDescent="0.25">
      <c r="B7855">
        <f t="shared" ca="1" si="368"/>
        <v>41361.957130436196</v>
      </c>
      <c r="C7855">
        <f t="shared" ca="1" si="366"/>
        <v>0</v>
      </c>
      <c r="D7855">
        <f t="shared" ca="1" si="367"/>
        <v>1361.9571304361962</v>
      </c>
    </row>
    <row r="7856" spans="2:4" x14ac:dyDescent="0.25">
      <c r="B7856">
        <f t="shared" ca="1" si="368"/>
        <v>43772.219759446947</v>
      </c>
      <c r="C7856">
        <f t="shared" ca="1" si="366"/>
        <v>0</v>
      </c>
      <c r="D7856">
        <f t="shared" ca="1" si="367"/>
        <v>3772.2197594469471</v>
      </c>
    </row>
    <row r="7857" spans="2:4" x14ac:dyDescent="0.25">
      <c r="B7857">
        <f t="shared" ca="1" si="368"/>
        <v>51494.118991313277</v>
      </c>
      <c r="C7857">
        <f t="shared" ca="1" si="366"/>
        <v>0</v>
      </c>
      <c r="D7857">
        <f t="shared" ca="1" si="367"/>
        <v>11494.118991313277</v>
      </c>
    </row>
    <row r="7858" spans="2:4" x14ac:dyDescent="0.25">
      <c r="B7858">
        <f t="shared" ca="1" si="368"/>
        <v>47630.745727001486</v>
      </c>
      <c r="C7858">
        <f t="shared" ca="1" si="366"/>
        <v>0</v>
      </c>
      <c r="D7858">
        <f t="shared" ca="1" si="367"/>
        <v>7630.7457270014856</v>
      </c>
    </row>
    <row r="7859" spans="2:4" x14ac:dyDescent="0.25">
      <c r="B7859">
        <f t="shared" ca="1" si="368"/>
        <v>42758.681251791648</v>
      </c>
      <c r="C7859">
        <f t="shared" ca="1" si="366"/>
        <v>0</v>
      </c>
      <c r="D7859">
        <f t="shared" ca="1" si="367"/>
        <v>2758.6812517916478</v>
      </c>
    </row>
    <row r="7860" spans="2:4" x14ac:dyDescent="0.25">
      <c r="B7860">
        <f t="shared" ca="1" si="368"/>
        <v>43114.945301244807</v>
      </c>
      <c r="C7860">
        <f t="shared" ca="1" si="366"/>
        <v>0</v>
      </c>
      <c r="D7860">
        <f t="shared" ca="1" si="367"/>
        <v>3114.9453012448066</v>
      </c>
    </row>
    <row r="7861" spans="2:4" x14ac:dyDescent="0.25">
      <c r="B7861">
        <f t="shared" ca="1" si="368"/>
        <v>42820.422218213418</v>
      </c>
      <c r="C7861">
        <f t="shared" ca="1" si="366"/>
        <v>0</v>
      </c>
      <c r="D7861">
        <f t="shared" ca="1" si="367"/>
        <v>2820.4222182134181</v>
      </c>
    </row>
    <row r="7862" spans="2:4" x14ac:dyDescent="0.25">
      <c r="B7862">
        <f t="shared" ca="1" si="368"/>
        <v>41965.879612999881</v>
      </c>
      <c r="C7862">
        <f t="shared" ca="1" si="366"/>
        <v>0</v>
      </c>
      <c r="D7862">
        <f t="shared" ca="1" si="367"/>
        <v>1965.8796129998809</v>
      </c>
    </row>
    <row r="7863" spans="2:4" x14ac:dyDescent="0.25">
      <c r="B7863">
        <f t="shared" ca="1" si="368"/>
        <v>44749.570089454981</v>
      </c>
      <c r="C7863">
        <f t="shared" ca="1" si="366"/>
        <v>0</v>
      </c>
      <c r="D7863">
        <f t="shared" ca="1" si="367"/>
        <v>4749.5700894549809</v>
      </c>
    </row>
    <row r="7864" spans="2:4" x14ac:dyDescent="0.25">
      <c r="B7864">
        <f t="shared" ca="1" si="368"/>
        <v>39630.711463819942</v>
      </c>
      <c r="C7864">
        <f t="shared" ca="1" si="366"/>
        <v>369.28853618005814</v>
      </c>
      <c r="D7864">
        <f t="shared" ca="1" si="367"/>
        <v>0</v>
      </c>
    </row>
    <row r="7865" spans="2:4" x14ac:dyDescent="0.25">
      <c r="B7865">
        <f t="shared" ca="1" si="368"/>
        <v>40971.966944830368</v>
      </c>
      <c r="C7865">
        <f t="shared" ca="1" si="366"/>
        <v>0</v>
      </c>
      <c r="D7865">
        <f t="shared" ca="1" si="367"/>
        <v>971.96694483036845</v>
      </c>
    </row>
    <row r="7866" spans="2:4" x14ac:dyDescent="0.25">
      <c r="B7866">
        <f t="shared" ca="1" si="368"/>
        <v>46644.781862859098</v>
      </c>
      <c r="C7866">
        <f t="shared" ca="1" si="366"/>
        <v>0</v>
      </c>
      <c r="D7866">
        <f t="shared" ca="1" si="367"/>
        <v>6644.7818628590976</v>
      </c>
    </row>
    <row r="7867" spans="2:4" x14ac:dyDescent="0.25">
      <c r="B7867">
        <f t="shared" ca="1" si="368"/>
        <v>46884.825103382813</v>
      </c>
      <c r="C7867">
        <f t="shared" ca="1" si="366"/>
        <v>0</v>
      </c>
      <c r="D7867">
        <f t="shared" ca="1" si="367"/>
        <v>6884.8251033828128</v>
      </c>
    </row>
    <row r="7868" spans="2:4" x14ac:dyDescent="0.25">
      <c r="B7868">
        <f t="shared" ca="1" si="368"/>
        <v>41457.384785762668</v>
      </c>
      <c r="C7868">
        <f t="shared" ca="1" si="366"/>
        <v>0</v>
      </c>
      <c r="D7868">
        <f t="shared" ca="1" si="367"/>
        <v>1457.3847857626679</v>
      </c>
    </row>
    <row r="7869" spans="2:4" x14ac:dyDescent="0.25">
      <c r="B7869">
        <f t="shared" ca="1" si="368"/>
        <v>42866.31080238217</v>
      </c>
      <c r="C7869">
        <f t="shared" ca="1" si="366"/>
        <v>0</v>
      </c>
      <c r="D7869">
        <f t="shared" ca="1" si="367"/>
        <v>2866.3108023821696</v>
      </c>
    </row>
    <row r="7870" spans="2:4" x14ac:dyDescent="0.25">
      <c r="B7870">
        <f t="shared" ca="1" si="368"/>
        <v>47294.625189811035</v>
      </c>
      <c r="C7870">
        <f t="shared" ca="1" si="366"/>
        <v>0</v>
      </c>
      <c r="D7870">
        <f t="shared" ca="1" si="367"/>
        <v>7294.6251898110349</v>
      </c>
    </row>
    <row r="7871" spans="2:4" x14ac:dyDescent="0.25">
      <c r="B7871">
        <f t="shared" ca="1" si="368"/>
        <v>46199.716129824868</v>
      </c>
      <c r="C7871">
        <f t="shared" ca="1" si="366"/>
        <v>0</v>
      </c>
      <c r="D7871">
        <f t="shared" ca="1" si="367"/>
        <v>6199.7161298248684</v>
      </c>
    </row>
    <row r="7872" spans="2:4" x14ac:dyDescent="0.25">
      <c r="B7872">
        <f t="shared" ca="1" si="368"/>
        <v>43685.446759328064</v>
      </c>
      <c r="C7872">
        <f t="shared" ca="1" si="366"/>
        <v>0</v>
      </c>
      <c r="D7872">
        <f t="shared" ca="1" si="367"/>
        <v>3685.4467593280642</v>
      </c>
    </row>
    <row r="7873" spans="2:4" x14ac:dyDescent="0.25">
      <c r="B7873">
        <f t="shared" ca="1" si="368"/>
        <v>42420.861169429809</v>
      </c>
      <c r="C7873">
        <f t="shared" ca="1" si="366"/>
        <v>0</v>
      </c>
      <c r="D7873">
        <f t="shared" ca="1" si="367"/>
        <v>2420.8611694298088</v>
      </c>
    </row>
    <row r="7874" spans="2:4" x14ac:dyDescent="0.25">
      <c r="B7874">
        <f t="shared" ca="1" si="368"/>
        <v>51515.543811750467</v>
      </c>
      <c r="C7874">
        <f t="shared" ca="1" si="366"/>
        <v>0</v>
      </c>
      <c r="D7874">
        <f t="shared" ca="1" si="367"/>
        <v>11515.543811750467</v>
      </c>
    </row>
    <row r="7875" spans="2:4" x14ac:dyDescent="0.25">
      <c r="B7875">
        <f t="shared" ca="1" si="368"/>
        <v>43662.149228136419</v>
      </c>
      <c r="C7875">
        <f t="shared" ca="1" si="366"/>
        <v>0</v>
      </c>
      <c r="D7875">
        <f t="shared" ca="1" si="367"/>
        <v>3662.149228136419</v>
      </c>
    </row>
    <row r="7876" spans="2:4" x14ac:dyDescent="0.25">
      <c r="B7876">
        <f t="shared" ca="1" si="368"/>
        <v>48183.122233160713</v>
      </c>
      <c r="C7876">
        <f t="shared" ca="1" si="366"/>
        <v>0</v>
      </c>
      <c r="D7876">
        <f t="shared" ca="1" si="367"/>
        <v>8183.1222331607132</v>
      </c>
    </row>
    <row r="7877" spans="2:4" x14ac:dyDescent="0.25">
      <c r="B7877">
        <f t="shared" ca="1" si="368"/>
        <v>36117.793340292301</v>
      </c>
      <c r="C7877">
        <f t="shared" ca="1" si="366"/>
        <v>3882.2066597076991</v>
      </c>
      <c r="D7877">
        <f t="shared" ca="1" si="367"/>
        <v>0</v>
      </c>
    </row>
    <row r="7878" spans="2:4" x14ac:dyDescent="0.25">
      <c r="B7878">
        <f t="shared" ca="1" si="368"/>
        <v>60006.729797859305</v>
      </c>
      <c r="C7878">
        <f t="shared" ca="1" si="366"/>
        <v>0</v>
      </c>
      <c r="D7878">
        <f t="shared" ca="1" si="367"/>
        <v>20006.729797859305</v>
      </c>
    </row>
    <row r="7879" spans="2:4" x14ac:dyDescent="0.25">
      <c r="B7879">
        <f t="shared" ca="1" si="368"/>
        <v>42088.370203749553</v>
      </c>
      <c r="C7879">
        <f t="shared" ca="1" si="366"/>
        <v>0</v>
      </c>
      <c r="D7879">
        <f t="shared" ca="1" si="367"/>
        <v>2088.3702037495532</v>
      </c>
    </row>
    <row r="7880" spans="2:4" x14ac:dyDescent="0.25">
      <c r="B7880">
        <f t="shared" ca="1" si="368"/>
        <v>46826.950109152458</v>
      </c>
      <c r="C7880">
        <f t="shared" ca="1" si="366"/>
        <v>0</v>
      </c>
      <c r="D7880">
        <f t="shared" ca="1" si="367"/>
        <v>6826.950109152458</v>
      </c>
    </row>
    <row r="7881" spans="2:4" x14ac:dyDescent="0.25">
      <c r="B7881">
        <f t="shared" ca="1" si="368"/>
        <v>49060.736004999926</v>
      </c>
      <c r="C7881">
        <f t="shared" ca="1" si="366"/>
        <v>0</v>
      </c>
      <c r="D7881">
        <f t="shared" ca="1" si="367"/>
        <v>9060.7360049999261</v>
      </c>
    </row>
    <row r="7882" spans="2:4" x14ac:dyDescent="0.25">
      <c r="B7882">
        <f t="shared" ca="1" si="368"/>
        <v>44098.916193500212</v>
      </c>
      <c r="C7882">
        <f t="shared" ca="1" si="366"/>
        <v>0</v>
      </c>
      <c r="D7882">
        <f t="shared" ca="1" si="367"/>
        <v>4098.9161935002121</v>
      </c>
    </row>
    <row r="7883" spans="2:4" x14ac:dyDescent="0.25">
      <c r="B7883">
        <f t="shared" ca="1" si="368"/>
        <v>42982.174526776369</v>
      </c>
      <c r="C7883">
        <f t="shared" ca="1" si="366"/>
        <v>0</v>
      </c>
      <c r="D7883">
        <f t="shared" ca="1" si="367"/>
        <v>2982.174526776369</v>
      </c>
    </row>
    <row r="7884" spans="2:4" x14ac:dyDescent="0.25">
      <c r="B7884">
        <f t="shared" ca="1" si="368"/>
        <v>44115.236925685676</v>
      </c>
      <c r="C7884">
        <f t="shared" ref="C7884:C7947" ca="1" si="369">IF(MAX($B$2-B7884)&lt;0,0,$B$2-B7884)</f>
        <v>0</v>
      </c>
      <c r="D7884">
        <f t="shared" ref="D7884:D7947" ca="1" si="370">IF(MAX(B7884-$B$2)&lt;0,0,B7884-$B$2)</f>
        <v>4115.2369256856764</v>
      </c>
    </row>
    <row r="7885" spans="2:4" x14ac:dyDescent="0.25">
      <c r="B7885">
        <f t="shared" ref="B7885:B7948" ca="1" si="371">$B$1*EXP((($B$4-($B$3^2)/2)*$B$5+$B$3*SQRT($B$5)*NORMSINV(RAND())))</f>
        <v>43355.916661160227</v>
      </c>
      <c r="C7885">
        <f t="shared" ca="1" si="369"/>
        <v>0</v>
      </c>
      <c r="D7885">
        <f t="shared" ca="1" si="370"/>
        <v>3355.9166611602268</v>
      </c>
    </row>
    <row r="7886" spans="2:4" x14ac:dyDescent="0.25">
      <c r="B7886">
        <f t="shared" ca="1" si="371"/>
        <v>42343.248067768058</v>
      </c>
      <c r="C7886">
        <f t="shared" ca="1" si="369"/>
        <v>0</v>
      </c>
      <c r="D7886">
        <f t="shared" ca="1" si="370"/>
        <v>2343.2480677680578</v>
      </c>
    </row>
    <row r="7887" spans="2:4" x14ac:dyDescent="0.25">
      <c r="B7887">
        <f t="shared" ca="1" si="371"/>
        <v>44432.522770557516</v>
      </c>
      <c r="C7887">
        <f t="shared" ca="1" si="369"/>
        <v>0</v>
      </c>
      <c r="D7887">
        <f t="shared" ca="1" si="370"/>
        <v>4432.5227705575162</v>
      </c>
    </row>
    <row r="7888" spans="2:4" x14ac:dyDescent="0.25">
      <c r="B7888">
        <f t="shared" ca="1" si="371"/>
        <v>46932.957103536304</v>
      </c>
      <c r="C7888">
        <f t="shared" ca="1" si="369"/>
        <v>0</v>
      </c>
      <c r="D7888">
        <f t="shared" ca="1" si="370"/>
        <v>6932.9571035363042</v>
      </c>
    </row>
    <row r="7889" spans="2:4" x14ac:dyDescent="0.25">
      <c r="B7889">
        <f t="shared" ca="1" si="371"/>
        <v>44749.547152248299</v>
      </c>
      <c r="C7889">
        <f t="shared" ca="1" si="369"/>
        <v>0</v>
      </c>
      <c r="D7889">
        <f t="shared" ca="1" si="370"/>
        <v>4749.5471522482985</v>
      </c>
    </row>
    <row r="7890" spans="2:4" x14ac:dyDescent="0.25">
      <c r="B7890">
        <f t="shared" ca="1" si="371"/>
        <v>45415.531991282238</v>
      </c>
      <c r="C7890">
        <f t="shared" ca="1" si="369"/>
        <v>0</v>
      </c>
      <c r="D7890">
        <f t="shared" ca="1" si="370"/>
        <v>5415.5319912822379</v>
      </c>
    </row>
    <row r="7891" spans="2:4" x14ac:dyDescent="0.25">
      <c r="B7891">
        <f t="shared" ca="1" si="371"/>
        <v>45853.599587886369</v>
      </c>
      <c r="C7891">
        <f t="shared" ca="1" si="369"/>
        <v>0</v>
      </c>
      <c r="D7891">
        <f t="shared" ca="1" si="370"/>
        <v>5853.5995878863687</v>
      </c>
    </row>
    <row r="7892" spans="2:4" x14ac:dyDescent="0.25">
      <c r="B7892">
        <f t="shared" ca="1" si="371"/>
        <v>45207.577931014865</v>
      </c>
      <c r="C7892">
        <f t="shared" ca="1" si="369"/>
        <v>0</v>
      </c>
      <c r="D7892">
        <f t="shared" ca="1" si="370"/>
        <v>5207.5779310148646</v>
      </c>
    </row>
    <row r="7893" spans="2:4" x14ac:dyDescent="0.25">
      <c r="B7893">
        <f t="shared" ca="1" si="371"/>
        <v>42841.107683337039</v>
      </c>
      <c r="C7893">
        <f t="shared" ca="1" si="369"/>
        <v>0</v>
      </c>
      <c r="D7893">
        <f t="shared" ca="1" si="370"/>
        <v>2841.1076833370389</v>
      </c>
    </row>
    <row r="7894" spans="2:4" x14ac:dyDescent="0.25">
      <c r="B7894">
        <f t="shared" ca="1" si="371"/>
        <v>40164.203065517162</v>
      </c>
      <c r="C7894">
        <f t="shared" ca="1" si="369"/>
        <v>0</v>
      </c>
      <c r="D7894">
        <f t="shared" ca="1" si="370"/>
        <v>164.20306551716203</v>
      </c>
    </row>
    <row r="7895" spans="2:4" x14ac:dyDescent="0.25">
      <c r="B7895">
        <f t="shared" ca="1" si="371"/>
        <v>46270.030583539577</v>
      </c>
      <c r="C7895">
        <f t="shared" ca="1" si="369"/>
        <v>0</v>
      </c>
      <c r="D7895">
        <f t="shared" ca="1" si="370"/>
        <v>6270.0305835395775</v>
      </c>
    </row>
    <row r="7896" spans="2:4" x14ac:dyDescent="0.25">
      <c r="B7896">
        <f t="shared" ca="1" si="371"/>
        <v>47254.138039326273</v>
      </c>
      <c r="C7896">
        <f t="shared" ca="1" si="369"/>
        <v>0</v>
      </c>
      <c r="D7896">
        <f t="shared" ca="1" si="370"/>
        <v>7254.1380393262734</v>
      </c>
    </row>
    <row r="7897" spans="2:4" x14ac:dyDescent="0.25">
      <c r="B7897">
        <f t="shared" ca="1" si="371"/>
        <v>36619.68984615503</v>
      </c>
      <c r="C7897">
        <f t="shared" ca="1" si="369"/>
        <v>3380.31015384497</v>
      </c>
      <c r="D7897">
        <f t="shared" ca="1" si="370"/>
        <v>0</v>
      </c>
    </row>
    <row r="7898" spans="2:4" x14ac:dyDescent="0.25">
      <c r="B7898">
        <f t="shared" ca="1" si="371"/>
        <v>44585.040750647029</v>
      </c>
      <c r="C7898">
        <f t="shared" ca="1" si="369"/>
        <v>0</v>
      </c>
      <c r="D7898">
        <f t="shared" ca="1" si="370"/>
        <v>4585.0407506470292</v>
      </c>
    </row>
    <row r="7899" spans="2:4" x14ac:dyDescent="0.25">
      <c r="B7899">
        <f t="shared" ca="1" si="371"/>
        <v>47383.608411755566</v>
      </c>
      <c r="C7899">
        <f t="shared" ca="1" si="369"/>
        <v>0</v>
      </c>
      <c r="D7899">
        <f t="shared" ca="1" si="370"/>
        <v>7383.6084117555656</v>
      </c>
    </row>
    <row r="7900" spans="2:4" x14ac:dyDescent="0.25">
      <c r="B7900">
        <f t="shared" ca="1" si="371"/>
        <v>44620.099890584948</v>
      </c>
      <c r="C7900">
        <f t="shared" ca="1" si="369"/>
        <v>0</v>
      </c>
      <c r="D7900">
        <f t="shared" ca="1" si="370"/>
        <v>4620.0998905849483</v>
      </c>
    </row>
    <row r="7901" spans="2:4" x14ac:dyDescent="0.25">
      <c r="B7901">
        <f t="shared" ca="1" si="371"/>
        <v>46324.058289378765</v>
      </c>
      <c r="C7901">
        <f t="shared" ca="1" si="369"/>
        <v>0</v>
      </c>
      <c r="D7901">
        <f t="shared" ca="1" si="370"/>
        <v>6324.058289378765</v>
      </c>
    </row>
    <row r="7902" spans="2:4" x14ac:dyDescent="0.25">
      <c r="B7902">
        <f t="shared" ca="1" si="371"/>
        <v>41296.765914180673</v>
      </c>
      <c r="C7902">
        <f t="shared" ca="1" si="369"/>
        <v>0</v>
      </c>
      <c r="D7902">
        <f t="shared" ca="1" si="370"/>
        <v>1296.7659141806726</v>
      </c>
    </row>
    <row r="7903" spans="2:4" x14ac:dyDescent="0.25">
      <c r="B7903">
        <f t="shared" ca="1" si="371"/>
        <v>44259.150942245607</v>
      </c>
      <c r="C7903">
        <f t="shared" ca="1" si="369"/>
        <v>0</v>
      </c>
      <c r="D7903">
        <f t="shared" ca="1" si="370"/>
        <v>4259.1509422456074</v>
      </c>
    </row>
    <row r="7904" spans="2:4" x14ac:dyDescent="0.25">
      <c r="B7904">
        <f t="shared" ca="1" si="371"/>
        <v>46051.433731363803</v>
      </c>
      <c r="C7904">
        <f t="shared" ca="1" si="369"/>
        <v>0</v>
      </c>
      <c r="D7904">
        <f t="shared" ca="1" si="370"/>
        <v>6051.4337313638025</v>
      </c>
    </row>
    <row r="7905" spans="2:4" x14ac:dyDescent="0.25">
      <c r="B7905">
        <f t="shared" ca="1" si="371"/>
        <v>42952.53416211022</v>
      </c>
      <c r="C7905">
        <f t="shared" ca="1" si="369"/>
        <v>0</v>
      </c>
      <c r="D7905">
        <f t="shared" ca="1" si="370"/>
        <v>2952.5341621102198</v>
      </c>
    </row>
    <row r="7906" spans="2:4" x14ac:dyDescent="0.25">
      <c r="B7906">
        <f t="shared" ca="1" si="371"/>
        <v>42220.963213173818</v>
      </c>
      <c r="C7906">
        <f t="shared" ca="1" si="369"/>
        <v>0</v>
      </c>
      <c r="D7906">
        <f t="shared" ca="1" si="370"/>
        <v>2220.9632131738181</v>
      </c>
    </row>
    <row r="7907" spans="2:4" x14ac:dyDescent="0.25">
      <c r="B7907">
        <f t="shared" ca="1" si="371"/>
        <v>43501.267866768219</v>
      </c>
      <c r="C7907">
        <f t="shared" ca="1" si="369"/>
        <v>0</v>
      </c>
      <c r="D7907">
        <f t="shared" ca="1" si="370"/>
        <v>3501.2678667682194</v>
      </c>
    </row>
    <row r="7908" spans="2:4" x14ac:dyDescent="0.25">
      <c r="B7908">
        <f t="shared" ca="1" si="371"/>
        <v>42005.662283069178</v>
      </c>
      <c r="C7908">
        <f t="shared" ca="1" si="369"/>
        <v>0</v>
      </c>
      <c r="D7908">
        <f t="shared" ca="1" si="370"/>
        <v>2005.6622830691776</v>
      </c>
    </row>
    <row r="7909" spans="2:4" x14ac:dyDescent="0.25">
      <c r="B7909">
        <f t="shared" ca="1" si="371"/>
        <v>40313.938753507849</v>
      </c>
      <c r="C7909">
        <f t="shared" ca="1" si="369"/>
        <v>0</v>
      </c>
      <c r="D7909">
        <f t="shared" ca="1" si="370"/>
        <v>313.93875350784947</v>
      </c>
    </row>
    <row r="7910" spans="2:4" x14ac:dyDescent="0.25">
      <c r="B7910">
        <f t="shared" ca="1" si="371"/>
        <v>43476.888251904886</v>
      </c>
      <c r="C7910">
        <f t="shared" ca="1" si="369"/>
        <v>0</v>
      </c>
      <c r="D7910">
        <f t="shared" ca="1" si="370"/>
        <v>3476.8882519048857</v>
      </c>
    </row>
    <row r="7911" spans="2:4" x14ac:dyDescent="0.25">
      <c r="B7911">
        <f t="shared" ca="1" si="371"/>
        <v>48697.503285394174</v>
      </c>
      <c r="C7911">
        <f t="shared" ca="1" si="369"/>
        <v>0</v>
      </c>
      <c r="D7911">
        <f t="shared" ca="1" si="370"/>
        <v>8697.5032853941739</v>
      </c>
    </row>
    <row r="7912" spans="2:4" x14ac:dyDescent="0.25">
      <c r="B7912">
        <f t="shared" ca="1" si="371"/>
        <v>39032.870486222841</v>
      </c>
      <c r="C7912">
        <f t="shared" ca="1" si="369"/>
        <v>967.12951377715945</v>
      </c>
      <c r="D7912">
        <f t="shared" ca="1" si="370"/>
        <v>0</v>
      </c>
    </row>
    <row r="7913" spans="2:4" x14ac:dyDescent="0.25">
      <c r="B7913">
        <f t="shared" ca="1" si="371"/>
        <v>45769.742257587939</v>
      </c>
      <c r="C7913">
        <f t="shared" ca="1" si="369"/>
        <v>0</v>
      </c>
      <c r="D7913">
        <f t="shared" ca="1" si="370"/>
        <v>5769.7422575879391</v>
      </c>
    </row>
    <row r="7914" spans="2:4" x14ac:dyDescent="0.25">
      <c r="B7914">
        <f t="shared" ca="1" si="371"/>
        <v>47470.296975166348</v>
      </c>
      <c r="C7914">
        <f t="shared" ca="1" si="369"/>
        <v>0</v>
      </c>
      <c r="D7914">
        <f t="shared" ca="1" si="370"/>
        <v>7470.2969751663477</v>
      </c>
    </row>
    <row r="7915" spans="2:4" x14ac:dyDescent="0.25">
      <c r="B7915">
        <f t="shared" ca="1" si="371"/>
        <v>39331.532852964963</v>
      </c>
      <c r="C7915">
        <f t="shared" ca="1" si="369"/>
        <v>668.46714703503676</v>
      </c>
      <c r="D7915">
        <f t="shared" ca="1" si="370"/>
        <v>0</v>
      </c>
    </row>
    <row r="7916" spans="2:4" x14ac:dyDescent="0.25">
      <c r="B7916">
        <f t="shared" ca="1" si="371"/>
        <v>44691.923045024472</v>
      </c>
      <c r="C7916">
        <f t="shared" ca="1" si="369"/>
        <v>0</v>
      </c>
      <c r="D7916">
        <f t="shared" ca="1" si="370"/>
        <v>4691.9230450244722</v>
      </c>
    </row>
    <row r="7917" spans="2:4" x14ac:dyDescent="0.25">
      <c r="B7917">
        <f t="shared" ca="1" si="371"/>
        <v>46080.377267398428</v>
      </c>
      <c r="C7917">
        <f t="shared" ca="1" si="369"/>
        <v>0</v>
      </c>
      <c r="D7917">
        <f t="shared" ca="1" si="370"/>
        <v>6080.3772673984276</v>
      </c>
    </row>
    <row r="7918" spans="2:4" x14ac:dyDescent="0.25">
      <c r="B7918">
        <f t="shared" ca="1" si="371"/>
        <v>49759.351539662268</v>
      </c>
      <c r="C7918">
        <f t="shared" ca="1" si="369"/>
        <v>0</v>
      </c>
      <c r="D7918">
        <f t="shared" ca="1" si="370"/>
        <v>9759.3515396622679</v>
      </c>
    </row>
    <row r="7919" spans="2:4" x14ac:dyDescent="0.25">
      <c r="B7919">
        <f t="shared" ca="1" si="371"/>
        <v>46917.983848022508</v>
      </c>
      <c r="C7919">
        <f t="shared" ca="1" si="369"/>
        <v>0</v>
      </c>
      <c r="D7919">
        <f t="shared" ca="1" si="370"/>
        <v>6917.983848022508</v>
      </c>
    </row>
    <row r="7920" spans="2:4" x14ac:dyDescent="0.25">
      <c r="B7920">
        <f t="shared" ca="1" si="371"/>
        <v>45736.880809639493</v>
      </c>
      <c r="C7920">
        <f t="shared" ca="1" si="369"/>
        <v>0</v>
      </c>
      <c r="D7920">
        <f t="shared" ca="1" si="370"/>
        <v>5736.8808096394932</v>
      </c>
    </row>
    <row r="7921" spans="2:4" x14ac:dyDescent="0.25">
      <c r="B7921">
        <f t="shared" ca="1" si="371"/>
        <v>41280.439420565599</v>
      </c>
      <c r="C7921">
        <f t="shared" ca="1" si="369"/>
        <v>0</v>
      </c>
      <c r="D7921">
        <f t="shared" ca="1" si="370"/>
        <v>1280.439420565599</v>
      </c>
    </row>
    <row r="7922" spans="2:4" x14ac:dyDescent="0.25">
      <c r="B7922">
        <f t="shared" ca="1" si="371"/>
        <v>44963.690274706642</v>
      </c>
      <c r="C7922">
        <f t="shared" ca="1" si="369"/>
        <v>0</v>
      </c>
      <c r="D7922">
        <f t="shared" ca="1" si="370"/>
        <v>4963.6902747066415</v>
      </c>
    </row>
    <row r="7923" spans="2:4" x14ac:dyDescent="0.25">
      <c r="B7923">
        <f t="shared" ca="1" si="371"/>
        <v>46702.374051891216</v>
      </c>
      <c r="C7923">
        <f t="shared" ca="1" si="369"/>
        <v>0</v>
      </c>
      <c r="D7923">
        <f t="shared" ca="1" si="370"/>
        <v>6702.3740518912164</v>
      </c>
    </row>
    <row r="7924" spans="2:4" x14ac:dyDescent="0.25">
      <c r="B7924">
        <f t="shared" ca="1" si="371"/>
        <v>43414.508148554836</v>
      </c>
      <c r="C7924">
        <f t="shared" ca="1" si="369"/>
        <v>0</v>
      </c>
      <c r="D7924">
        <f t="shared" ca="1" si="370"/>
        <v>3414.5081485548362</v>
      </c>
    </row>
    <row r="7925" spans="2:4" x14ac:dyDescent="0.25">
      <c r="B7925">
        <f t="shared" ca="1" si="371"/>
        <v>42783.01432727652</v>
      </c>
      <c r="C7925">
        <f t="shared" ca="1" si="369"/>
        <v>0</v>
      </c>
      <c r="D7925">
        <f t="shared" ca="1" si="370"/>
        <v>2783.0143272765199</v>
      </c>
    </row>
    <row r="7926" spans="2:4" x14ac:dyDescent="0.25">
      <c r="B7926">
        <f t="shared" ca="1" si="371"/>
        <v>50147.888416078502</v>
      </c>
      <c r="C7926">
        <f t="shared" ca="1" si="369"/>
        <v>0</v>
      </c>
      <c r="D7926">
        <f t="shared" ca="1" si="370"/>
        <v>10147.888416078502</v>
      </c>
    </row>
    <row r="7927" spans="2:4" x14ac:dyDescent="0.25">
      <c r="B7927">
        <f t="shared" ca="1" si="371"/>
        <v>44614.323406676616</v>
      </c>
      <c r="C7927">
        <f t="shared" ca="1" si="369"/>
        <v>0</v>
      </c>
      <c r="D7927">
        <f t="shared" ca="1" si="370"/>
        <v>4614.3234066766163</v>
      </c>
    </row>
    <row r="7928" spans="2:4" x14ac:dyDescent="0.25">
      <c r="B7928">
        <f t="shared" ca="1" si="371"/>
        <v>52363.193094195245</v>
      </c>
      <c r="C7928">
        <f t="shared" ca="1" si="369"/>
        <v>0</v>
      </c>
      <c r="D7928">
        <f t="shared" ca="1" si="370"/>
        <v>12363.193094195245</v>
      </c>
    </row>
    <row r="7929" spans="2:4" x14ac:dyDescent="0.25">
      <c r="B7929">
        <f t="shared" ca="1" si="371"/>
        <v>49452.286333675511</v>
      </c>
      <c r="C7929">
        <f t="shared" ca="1" si="369"/>
        <v>0</v>
      </c>
      <c r="D7929">
        <f t="shared" ca="1" si="370"/>
        <v>9452.2863336755108</v>
      </c>
    </row>
    <row r="7930" spans="2:4" x14ac:dyDescent="0.25">
      <c r="B7930">
        <f t="shared" ca="1" si="371"/>
        <v>44278.269595995662</v>
      </c>
      <c r="C7930">
        <f t="shared" ca="1" si="369"/>
        <v>0</v>
      </c>
      <c r="D7930">
        <f t="shared" ca="1" si="370"/>
        <v>4278.2695959956618</v>
      </c>
    </row>
    <row r="7931" spans="2:4" x14ac:dyDescent="0.25">
      <c r="B7931">
        <f t="shared" ca="1" si="371"/>
        <v>40723.912407534553</v>
      </c>
      <c r="C7931">
        <f t="shared" ca="1" si="369"/>
        <v>0</v>
      </c>
      <c r="D7931">
        <f t="shared" ca="1" si="370"/>
        <v>723.91240753455349</v>
      </c>
    </row>
    <row r="7932" spans="2:4" x14ac:dyDescent="0.25">
      <c r="B7932">
        <f t="shared" ca="1" si="371"/>
        <v>45457.354995960479</v>
      </c>
      <c r="C7932">
        <f t="shared" ca="1" si="369"/>
        <v>0</v>
      </c>
      <c r="D7932">
        <f t="shared" ca="1" si="370"/>
        <v>5457.3549959604788</v>
      </c>
    </row>
    <row r="7933" spans="2:4" x14ac:dyDescent="0.25">
      <c r="B7933">
        <f t="shared" ca="1" si="371"/>
        <v>35971.235499722883</v>
      </c>
      <c r="C7933">
        <f t="shared" ca="1" si="369"/>
        <v>4028.7645002771169</v>
      </c>
      <c r="D7933">
        <f t="shared" ca="1" si="370"/>
        <v>0</v>
      </c>
    </row>
    <row r="7934" spans="2:4" x14ac:dyDescent="0.25">
      <c r="B7934">
        <f t="shared" ca="1" si="371"/>
        <v>41365.90300845763</v>
      </c>
      <c r="C7934">
        <f t="shared" ca="1" si="369"/>
        <v>0</v>
      </c>
      <c r="D7934">
        <f t="shared" ca="1" si="370"/>
        <v>1365.9030084576298</v>
      </c>
    </row>
    <row r="7935" spans="2:4" x14ac:dyDescent="0.25">
      <c r="B7935">
        <f t="shared" ca="1" si="371"/>
        <v>47043.679216450379</v>
      </c>
      <c r="C7935">
        <f t="shared" ca="1" si="369"/>
        <v>0</v>
      </c>
      <c r="D7935">
        <f t="shared" ca="1" si="370"/>
        <v>7043.6792164503786</v>
      </c>
    </row>
    <row r="7936" spans="2:4" x14ac:dyDescent="0.25">
      <c r="B7936">
        <f t="shared" ca="1" si="371"/>
        <v>47811.544556738954</v>
      </c>
      <c r="C7936">
        <f t="shared" ca="1" si="369"/>
        <v>0</v>
      </c>
      <c r="D7936">
        <f t="shared" ca="1" si="370"/>
        <v>7811.5445567389543</v>
      </c>
    </row>
    <row r="7937" spans="2:4" x14ac:dyDescent="0.25">
      <c r="B7937">
        <f t="shared" ca="1" si="371"/>
        <v>43019.012662289679</v>
      </c>
      <c r="C7937">
        <f t="shared" ca="1" si="369"/>
        <v>0</v>
      </c>
      <c r="D7937">
        <f t="shared" ca="1" si="370"/>
        <v>3019.0126622896787</v>
      </c>
    </row>
    <row r="7938" spans="2:4" x14ac:dyDescent="0.25">
      <c r="B7938">
        <f t="shared" ca="1" si="371"/>
        <v>44887.112761119373</v>
      </c>
      <c r="C7938">
        <f t="shared" ca="1" si="369"/>
        <v>0</v>
      </c>
      <c r="D7938">
        <f t="shared" ca="1" si="370"/>
        <v>4887.1127611193733</v>
      </c>
    </row>
    <row r="7939" spans="2:4" x14ac:dyDescent="0.25">
      <c r="B7939">
        <f t="shared" ca="1" si="371"/>
        <v>46050.619448729107</v>
      </c>
      <c r="C7939">
        <f t="shared" ca="1" si="369"/>
        <v>0</v>
      </c>
      <c r="D7939">
        <f t="shared" ca="1" si="370"/>
        <v>6050.6194487291068</v>
      </c>
    </row>
    <row r="7940" spans="2:4" x14ac:dyDescent="0.25">
      <c r="B7940">
        <f t="shared" ca="1" si="371"/>
        <v>45490.828387901558</v>
      </c>
      <c r="C7940">
        <f t="shared" ca="1" si="369"/>
        <v>0</v>
      </c>
      <c r="D7940">
        <f t="shared" ca="1" si="370"/>
        <v>5490.828387901558</v>
      </c>
    </row>
    <row r="7941" spans="2:4" x14ac:dyDescent="0.25">
      <c r="B7941">
        <f t="shared" ca="1" si="371"/>
        <v>39741.81267483392</v>
      </c>
      <c r="C7941">
        <f t="shared" ca="1" si="369"/>
        <v>258.18732516607997</v>
      </c>
      <c r="D7941">
        <f t="shared" ca="1" si="370"/>
        <v>0</v>
      </c>
    </row>
    <row r="7942" spans="2:4" x14ac:dyDescent="0.25">
      <c r="B7942">
        <f t="shared" ca="1" si="371"/>
        <v>41470.089865499045</v>
      </c>
      <c r="C7942">
        <f t="shared" ca="1" si="369"/>
        <v>0</v>
      </c>
      <c r="D7942">
        <f t="shared" ca="1" si="370"/>
        <v>1470.0898654990451</v>
      </c>
    </row>
    <row r="7943" spans="2:4" x14ac:dyDescent="0.25">
      <c r="B7943">
        <f t="shared" ca="1" si="371"/>
        <v>49961.507035433264</v>
      </c>
      <c r="C7943">
        <f t="shared" ca="1" si="369"/>
        <v>0</v>
      </c>
      <c r="D7943">
        <f t="shared" ca="1" si="370"/>
        <v>9961.5070354332638</v>
      </c>
    </row>
    <row r="7944" spans="2:4" x14ac:dyDescent="0.25">
      <c r="B7944">
        <f t="shared" ca="1" si="371"/>
        <v>40247.99269333425</v>
      </c>
      <c r="C7944">
        <f t="shared" ca="1" si="369"/>
        <v>0</v>
      </c>
      <c r="D7944">
        <f t="shared" ca="1" si="370"/>
        <v>247.99269333425036</v>
      </c>
    </row>
    <row r="7945" spans="2:4" x14ac:dyDescent="0.25">
      <c r="B7945">
        <f t="shared" ca="1" si="371"/>
        <v>37094.325782411623</v>
      </c>
      <c r="C7945">
        <f t="shared" ca="1" si="369"/>
        <v>2905.6742175883774</v>
      </c>
      <c r="D7945">
        <f t="shared" ca="1" si="370"/>
        <v>0</v>
      </c>
    </row>
    <row r="7946" spans="2:4" x14ac:dyDescent="0.25">
      <c r="B7946">
        <f t="shared" ca="1" si="371"/>
        <v>45438.122185084365</v>
      </c>
      <c r="C7946">
        <f t="shared" ca="1" si="369"/>
        <v>0</v>
      </c>
      <c r="D7946">
        <f t="shared" ca="1" si="370"/>
        <v>5438.1221850843649</v>
      </c>
    </row>
    <row r="7947" spans="2:4" x14ac:dyDescent="0.25">
      <c r="B7947">
        <f t="shared" ca="1" si="371"/>
        <v>43281.309637638988</v>
      </c>
      <c r="C7947">
        <f t="shared" ca="1" si="369"/>
        <v>0</v>
      </c>
      <c r="D7947">
        <f t="shared" ca="1" si="370"/>
        <v>3281.3096376389876</v>
      </c>
    </row>
    <row r="7948" spans="2:4" x14ac:dyDescent="0.25">
      <c r="B7948">
        <f t="shared" ca="1" si="371"/>
        <v>45800.465703288522</v>
      </c>
      <c r="C7948">
        <f t="shared" ref="C7948:C8011" ca="1" si="372">IF(MAX($B$2-B7948)&lt;0,0,$B$2-B7948)</f>
        <v>0</v>
      </c>
      <c r="D7948">
        <f t="shared" ref="D7948:D8011" ca="1" si="373">IF(MAX(B7948-$B$2)&lt;0,0,B7948-$B$2)</f>
        <v>5800.4657032885225</v>
      </c>
    </row>
    <row r="7949" spans="2:4" x14ac:dyDescent="0.25">
      <c r="B7949">
        <f t="shared" ref="B7949:B8012" ca="1" si="374">$B$1*EXP((($B$4-($B$3^2)/2)*$B$5+$B$3*SQRT($B$5)*NORMSINV(RAND())))</f>
        <v>46554.634828629169</v>
      </c>
      <c r="C7949">
        <f t="shared" ca="1" si="372"/>
        <v>0</v>
      </c>
      <c r="D7949">
        <f t="shared" ca="1" si="373"/>
        <v>6554.6348286291686</v>
      </c>
    </row>
    <row r="7950" spans="2:4" x14ac:dyDescent="0.25">
      <c r="B7950">
        <f t="shared" ca="1" si="374"/>
        <v>41838.790472245229</v>
      </c>
      <c r="C7950">
        <f t="shared" ca="1" si="372"/>
        <v>0</v>
      </c>
      <c r="D7950">
        <f t="shared" ca="1" si="373"/>
        <v>1838.7904722452295</v>
      </c>
    </row>
    <row r="7951" spans="2:4" x14ac:dyDescent="0.25">
      <c r="B7951">
        <f t="shared" ca="1" si="374"/>
        <v>41121.867445295349</v>
      </c>
      <c r="C7951">
        <f t="shared" ca="1" si="372"/>
        <v>0</v>
      </c>
      <c r="D7951">
        <f t="shared" ca="1" si="373"/>
        <v>1121.8674452953492</v>
      </c>
    </row>
    <row r="7952" spans="2:4" x14ac:dyDescent="0.25">
      <c r="B7952">
        <f t="shared" ca="1" si="374"/>
        <v>55747.272252766532</v>
      </c>
      <c r="C7952">
        <f t="shared" ca="1" si="372"/>
        <v>0</v>
      </c>
      <c r="D7952">
        <f t="shared" ca="1" si="373"/>
        <v>15747.272252766532</v>
      </c>
    </row>
    <row r="7953" spans="2:4" x14ac:dyDescent="0.25">
      <c r="B7953">
        <f t="shared" ca="1" si="374"/>
        <v>44543.455211986991</v>
      </c>
      <c r="C7953">
        <f t="shared" ca="1" si="372"/>
        <v>0</v>
      </c>
      <c r="D7953">
        <f t="shared" ca="1" si="373"/>
        <v>4543.4552119869913</v>
      </c>
    </row>
    <row r="7954" spans="2:4" x14ac:dyDescent="0.25">
      <c r="B7954">
        <f t="shared" ca="1" si="374"/>
        <v>39694.38012079613</v>
      </c>
      <c r="C7954">
        <f t="shared" ca="1" si="372"/>
        <v>305.61987920387037</v>
      </c>
      <c r="D7954">
        <f t="shared" ca="1" si="373"/>
        <v>0</v>
      </c>
    </row>
    <row r="7955" spans="2:4" x14ac:dyDescent="0.25">
      <c r="B7955">
        <f t="shared" ca="1" si="374"/>
        <v>45261.745003105949</v>
      </c>
      <c r="C7955">
        <f t="shared" ca="1" si="372"/>
        <v>0</v>
      </c>
      <c r="D7955">
        <f t="shared" ca="1" si="373"/>
        <v>5261.7450031059489</v>
      </c>
    </row>
    <row r="7956" spans="2:4" x14ac:dyDescent="0.25">
      <c r="B7956">
        <f t="shared" ca="1" si="374"/>
        <v>44489.016314761349</v>
      </c>
      <c r="C7956">
        <f t="shared" ca="1" si="372"/>
        <v>0</v>
      </c>
      <c r="D7956">
        <f t="shared" ca="1" si="373"/>
        <v>4489.0163147613493</v>
      </c>
    </row>
    <row r="7957" spans="2:4" x14ac:dyDescent="0.25">
      <c r="B7957">
        <f t="shared" ca="1" si="374"/>
        <v>45382.887531458502</v>
      </c>
      <c r="C7957">
        <f t="shared" ca="1" si="372"/>
        <v>0</v>
      </c>
      <c r="D7957">
        <f t="shared" ca="1" si="373"/>
        <v>5382.8875314585021</v>
      </c>
    </row>
    <row r="7958" spans="2:4" x14ac:dyDescent="0.25">
      <c r="B7958">
        <f t="shared" ca="1" si="374"/>
        <v>44224.672418164162</v>
      </c>
      <c r="C7958">
        <f t="shared" ca="1" si="372"/>
        <v>0</v>
      </c>
      <c r="D7958">
        <f t="shared" ca="1" si="373"/>
        <v>4224.6724181641621</v>
      </c>
    </row>
    <row r="7959" spans="2:4" x14ac:dyDescent="0.25">
      <c r="B7959">
        <f t="shared" ca="1" si="374"/>
        <v>46474.067416035723</v>
      </c>
      <c r="C7959">
        <f t="shared" ca="1" si="372"/>
        <v>0</v>
      </c>
      <c r="D7959">
        <f t="shared" ca="1" si="373"/>
        <v>6474.067416035723</v>
      </c>
    </row>
    <row r="7960" spans="2:4" x14ac:dyDescent="0.25">
      <c r="B7960">
        <f t="shared" ca="1" si="374"/>
        <v>49852.056487742484</v>
      </c>
      <c r="C7960">
        <f t="shared" ca="1" si="372"/>
        <v>0</v>
      </c>
      <c r="D7960">
        <f t="shared" ca="1" si="373"/>
        <v>9852.056487742484</v>
      </c>
    </row>
    <row r="7961" spans="2:4" x14ac:dyDescent="0.25">
      <c r="B7961">
        <f t="shared" ca="1" si="374"/>
        <v>46234.941876825236</v>
      </c>
      <c r="C7961">
        <f t="shared" ca="1" si="372"/>
        <v>0</v>
      </c>
      <c r="D7961">
        <f t="shared" ca="1" si="373"/>
        <v>6234.9418768252362</v>
      </c>
    </row>
    <row r="7962" spans="2:4" x14ac:dyDescent="0.25">
      <c r="B7962">
        <f t="shared" ca="1" si="374"/>
        <v>52173.252454309171</v>
      </c>
      <c r="C7962">
        <f t="shared" ca="1" si="372"/>
        <v>0</v>
      </c>
      <c r="D7962">
        <f t="shared" ca="1" si="373"/>
        <v>12173.252454309171</v>
      </c>
    </row>
    <row r="7963" spans="2:4" x14ac:dyDescent="0.25">
      <c r="B7963">
        <f t="shared" ca="1" si="374"/>
        <v>42201.27400195707</v>
      </c>
      <c r="C7963">
        <f t="shared" ca="1" si="372"/>
        <v>0</v>
      </c>
      <c r="D7963">
        <f t="shared" ca="1" si="373"/>
        <v>2201.2740019570701</v>
      </c>
    </row>
    <row r="7964" spans="2:4" x14ac:dyDescent="0.25">
      <c r="B7964">
        <f t="shared" ca="1" si="374"/>
        <v>39039.552665783158</v>
      </c>
      <c r="C7964">
        <f t="shared" ca="1" si="372"/>
        <v>960.44733421684214</v>
      </c>
      <c r="D7964">
        <f t="shared" ca="1" si="373"/>
        <v>0</v>
      </c>
    </row>
    <row r="7965" spans="2:4" x14ac:dyDescent="0.25">
      <c r="B7965">
        <f t="shared" ca="1" si="374"/>
        <v>45809.094308370739</v>
      </c>
      <c r="C7965">
        <f t="shared" ca="1" si="372"/>
        <v>0</v>
      </c>
      <c r="D7965">
        <f t="shared" ca="1" si="373"/>
        <v>5809.0943083707389</v>
      </c>
    </row>
    <row r="7966" spans="2:4" x14ac:dyDescent="0.25">
      <c r="B7966">
        <f t="shared" ca="1" si="374"/>
        <v>39987.777818414506</v>
      </c>
      <c r="C7966">
        <f t="shared" ca="1" si="372"/>
        <v>12.222181585493672</v>
      </c>
      <c r="D7966">
        <f t="shared" ca="1" si="373"/>
        <v>0</v>
      </c>
    </row>
    <row r="7967" spans="2:4" x14ac:dyDescent="0.25">
      <c r="B7967">
        <f t="shared" ca="1" si="374"/>
        <v>45717.892826047959</v>
      </c>
      <c r="C7967">
        <f t="shared" ca="1" si="372"/>
        <v>0</v>
      </c>
      <c r="D7967">
        <f t="shared" ca="1" si="373"/>
        <v>5717.8928260479588</v>
      </c>
    </row>
    <row r="7968" spans="2:4" x14ac:dyDescent="0.25">
      <c r="B7968">
        <f t="shared" ca="1" si="374"/>
        <v>39016.363829852067</v>
      </c>
      <c r="C7968">
        <f t="shared" ca="1" si="372"/>
        <v>983.63617014793272</v>
      </c>
      <c r="D7968">
        <f t="shared" ca="1" si="373"/>
        <v>0</v>
      </c>
    </row>
    <row r="7969" spans="2:4" x14ac:dyDescent="0.25">
      <c r="B7969">
        <f t="shared" ca="1" si="374"/>
        <v>42042.118173845796</v>
      </c>
      <c r="C7969">
        <f t="shared" ca="1" si="372"/>
        <v>0</v>
      </c>
      <c r="D7969">
        <f t="shared" ca="1" si="373"/>
        <v>2042.1181738457963</v>
      </c>
    </row>
    <row r="7970" spans="2:4" x14ac:dyDescent="0.25">
      <c r="B7970">
        <f t="shared" ca="1" si="374"/>
        <v>45565.817979551932</v>
      </c>
      <c r="C7970">
        <f t="shared" ca="1" si="372"/>
        <v>0</v>
      </c>
      <c r="D7970">
        <f t="shared" ca="1" si="373"/>
        <v>5565.8179795519318</v>
      </c>
    </row>
    <row r="7971" spans="2:4" x14ac:dyDescent="0.25">
      <c r="B7971">
        <f t="shared" ca="1" si="374"/>
        <v>39990.99403468769</v>
      </c>
      <c r="C7971">
        <f t="shared" ca="1" si="372"/>
        <v>9.0059653123098542</v>
      </c>
      <c r="D7971">
        <f t="shared" ca="1" si="373"/>
        <v>0</v>
      </c>
    </row>
    <row r="7972" spans="2:4" x14ac:dyDescent="0.25">
      <c r="B7972">
        <f t="shared" ca="1" si="374"/>
        <v>40230.220650483308</v>
      </c>
      <c r="C7972">
        <f t="shared" ca="1" si="372"/>
        <v>0</v>
      </c>
      <c r="D7972">
        <f t="shared" ca="1" si="373"/>
        <v>230.22065048330842</v>
      </c>
    </row>
    <row r="7973" spans="2:4" x14ac:dyDescent="0.25">
      <c r="B7973">
        <f t="shared" ca="1" si="374"/>
        <v>51238.558633940869</v>
      </c>
      <c r="C7973">
        <f t="shared" ca="1" si="372"/>
        <v>0</v>
      </c>
      <c r="D7973">
        <f t="shared" ca="1" si="373"/>
        <v>11238.558633940869</v>
      </c>
    </row>
    <row r="7974" spans="2:4" x14ac:dyDescent="0.25">
      <c r="B7974">
        <f t="shared" ca="1" si="374"/>
        <v>43555.611849222427</v>
      </c>
      <c r="C7974">
        <f t="shared" ca="1" si="372"/>
        <v>0</v>
      </c>
      <c r="D7974">
        <f t="shared" ca="1" si="373"/>
        <v>3555.6118492224268</v>
      </c>
    </row>
    <row r="7975" spans="2:4" x14ac:dyDescent="0.25">
      <c r="B7975">
        <f t="shared" ca="1" si="374"/>
        <v>45343.831490114062</v>
      </c>
      <c r="C7975">
        <f t="shared" ca="1" si="372"/>
        <v>0</v>
      </c>
      <c r="D7975">
        <f t="shared" ca="1" si="373"/>
        <v>5343.831490114062</v>
      </c>
    </row>
    <row r="7976" spans="2:4" x14ac:dyDescent="0.25">
      <c r="B7976">
        <f t="shared" ca="1" si="374"/>
        <v>42790.554377529261</v>
      </c>
      <c r="C7976">
        <f t="shared" ca="1" si="372"/>
        <v>0</v>
      </c>
      <c r="D7976">
        <f t="shared" ca="1" si="373"/>
        <v>2790.5543775292608</v>
      </c>
    </row>
    <row r="7977" spans="2:4" x14ac:dyDescent="0.25">
      <c r="B7977">
        <f t="shared" ca="1" si="374"/>
        <v>45505.013043380837</v>
      </c>
      <c r="C7977">
        <f t="shared" ca="1" si="372"/>
        <v>0</v>
      </c>
      <c r="D7977">
        <f t="shared" ca="1" si="373"/>
        <v>5505.0130433808372</v>
      </c>
    </row>
    <row r="7978" spans="2:4" x14ac:dyDescent="0.25">
      <c r="B7978">
        <f t="shared" ca="1" si="374"/>
        <v>43458.689939292803</v>
      </c>
      <c r="C7978">
        <f t="shared" ca="1" si="372"/>
        <v>0</v>
      </c>
      <c r="D7978">
        <f t="shared" ca="1" si="373"/>
        <v>3458.6899392928026</v>
      </c>
    </row>
    <row r="7979" spans="2:4" x14ac:dyDescent="0.25">
      <c r="B7979">
        <f t="shared" ca="1" si="374"/>
        <v>47550.715301020165</v>
      </c>
      <c r="C7979">
        <f t="shared" ca="1" si="372"/>
        <v>0</v>
      </c>
      <c r="D7979">
        <f t="shared" ca="1" si="373"/>
        <v>7550.7153010201655</v>
      </c>
    </row>
    <row r="7980" spans="2:4" x14ac:dyDescent="0.25">
      <c r="B7980">
        <f t="shared" ca="1" si="374"/>
        <v>46363.299168846032</v>
      </c>
      <c r="C7980">
        <f t="shared" ca="1" si="372"/>
        <v>0</v>
      </c>
      <c r="D7980">
        <f t="shared" ca="1" si="373"/>
        <v>6363.2991688460315</v>
      </c>
    </row>
    <row r="7981" spans="2:4" x14ac:dyDescent="0.25">
      <c r="B7981">
        <f t="shared" ca="1" si="374"/>
        <v>46195.072350766823</v>
      </c>
      <c r="C7981">
        <f t="shared" ca="1" si="372"/>
        <v>0</v>
      </c>
      <c r="D7981">
        <f t="shared" ca="1" si="373"/>
        <v>6195.0723507668226</v>
      </c>
    </row>
    <row r="7982" spans="2:4" x14ac:dyDescent="0.25">
      <c r="B7982">
        <f t="shared" ca="1" si="374"/>
        <v>48655.563714227152</v>
      </c>
      <c r="C7982">
        <f t="shared" ca="1" si="372"/>
        <v>0</v>
      </c>
      <c r="D7982">
        <f t="shared" ca="1" si="373"/>
        <v>8655.5637142271516</v>
      </c>
    </row>
    <row r="7983" spans="2:4" x14ac:dyDescent="0.25">
      <c r="B7983">
        <f t="shared" ca="1" si="374"/>
        <v>47697.00090721072</v>
      </c>
      <c r="C7983">
        <f t="shared" ca="1" si="372"/>
        <v>0</v>
      </c>
      <c r="D7983">
        <f t="shared" ca="1" si="373"/>
        <v>7697.0009072107205</v>
      </c>
    </row>
    <row r="7984" spans="2:4" x14ac:dyDescent="0.25">
      <c r="B7984">
        <f t="shared" ca="1" si="374"/>
        <v>42303.318784802941</v>
      </c>
      <c r="C7984">
        <f t="shared" ca="1" si="372"/>
        <v>0</v>
      </c>
      <c r="D7984">
        <f t="shared" ca="1" si="373"/>
        <v>2303.3187848029411</v>
      </c>
    </row>
    <row r="7985" spans="2:4" x14ac:dyDescent="0.25">
      <c r="B7985">
        <f t="shared" ca="1" si="374"/>
        <v>44121.5087155933</v>
      </c>
      <c r="C7985">
        <f t="shared" ca="1" si="372"/>
        <v>0</v>
      </c>
      <c r="D7985">
        <f t="shared" ca="1" si="373"/>
        <v>4121.5087155932997</v>
      </c>
    </row>
    <row r="7986" spans="2:4" x14ac:dyDescent="0.25">
      <c r="B7986">
        <f t="shared" ca="1" si="374"/>
        <v>43819.907109348176</v>
      </c>
      <c r="C7986">
        <f t="shared" ca="1" si="372"/>
        <v>0</v>
      </c>
      <c r="D7986">
        <f t="shared" ca="1" si="373"/>
        <v>3819.9071093481762</v>
      </c>
    </row>
    <row r="7987" spans="2:4" x14ac:dyDescent="0.25">
      <c r="B7987">
        <f t="shared" ca="1" si="374"/>
        <v>53350.291143990777</v>
      </c>
      <c r="C7987">
        <f t="shared" ca="1" si="372"/>
        <v>0</v>
      </c>
      <c r="D7987">
        <f t="shared" ca="1" si="373"/>
        <v>13350.291143990777</v>
      </c>
    </row>
    <row r="7988" spans="2:4" x14ac:dyDescent="0.25">
      <c r="B7988">
        <f t="shared" ca="1" si="374"/>
        <v>44043.249113233687</v>
      </c>
      <c r="C7988">
        <f t="shared" ca="1" si="372"/>
        <v>0</v>
      </c>
      <c r="D7988">
        <f t="shared" ca="1" si="373"/>
        <v>4043.2491132336872</v>
      </c>
    </row>
    <row r="7989" spans="2:4" x14ac:dyDescent="0.25">
      <c r="B7989">
        <f t="shared" ca="1" si="374"/>
        <v>49636.921417165177</v>
      </c>
      <c r="C7989">
        <f t="shared" ca="1" si="372"/>
        <v>0</v>
      </c>
      <c r="D7989">
        <f t="shared" ca="1" si="373"/>
        <v>9636.9214171651765</v>
      </c>
    </row>
    <row r="7990" spans="2:4" x14ac:dyDescent="0.25">
      <c r="B7990">
        <f t="shared" ca="1" si="374"/>
        <v>48151.137734890479</v>
      </c>
      <c r="C7990">
        <f t="shared" ca="1" si="372"/>
        <v>0</v>
      </c>
      <c r="D7990">
        <f t="shared" ca="1" si="373"/>
        <v>8151.1377348904789</v>
      </c>
    </row>
    <row r="7991" spans="2:4" x14ac:dyDescent="0.25">
      <c r="B7991">
        <f t="shared" ca="1" si="374"/>
        <v>44370.441209909659</v>
      </c>
      <c r="C7991">
        <f t="shared" ca="1" si="372"/>
        <v>0</v>
      </c>
      <c r="D7991">
        <f t="shared" ca="1" si="373"/>
        <v>4370.4412099096589</v>
      </c>
    </row>
    <row r="7992" spans="2:4" x14ac:dyDescent="0.25">
      <c r="B7992">
        <f t="shared" ca="1" si="374"/>
        <v>49938.903521564825</v>
      </c>
      <c r="C7992">
        <f t="shared" ca="1" si="372"/>
        <v>0</v>
      </c>
      <c r="D7992">
        <f t="shared" ca="1" si="373"/>
        <v>9938.9035215648255</v>
      </c>
    </row>
    <row r="7993" spans="2:4" x14ac:dyDescent="0.25">
      <c r="B7993">
        <f t="shared" ca="1" si="374"/>
        <v>42237.66217186259</v>
      </c>
      <c r="C7993">
        <f t="shared" ca="1" si="372"/>
        <v>0</v>
      </c>
      <c r="D7993">
        <f t="shared" ca="1" si="373"/>
        <v>2237.6621718625902</v>
      </c>
    </row>
    <row r="7994" spans="2:4" x14ac:dyDescent="0.25">
      <c r="B7994">
        <f t="shared" ca="1" si="374"/>
        <v>49653.893475531273</v>
      </c>
      <c r="C7994">
        <f t="shared" ca="1" si="372"/>
        <v>0</v>
      </c>
      <c r="D7994">
        <f t="shared" ca="1" si="373"/>
        <v>9653.893475531273</v>
      </c>
    </row>
    <row r="7995" spans="2:4" x14ac:dyDescent="0.25">
      <c r="B7995">
        <f t="shared" ca="1" si="374"/>
        <v>42933.605170732648</v>
      </c>
      <c r="C7995">
        <f t="shared" ca="1" si="372"/>
        <v>0</v>
      </c>
      <c r="D7995">
        <f t="shared" ca="1" si="373"/>
        <v>2933.6051707326478</v>
      </c>
    </row>
    <row r="7996" spans="2:4" x14ac:dyDescent="0.25">
      <c r="B7996">
        <f t="shared" ca="1" si="374"/>
        <v>44274.554760701554</v>
      </c>
      <c r="C7996">
        <f t="shared" ca="1" si="372"/>
        <v>0</v>
      </c>
      <c r="D7996">
        <f t="shared" ca="1" si="373"/>
        <v>4274.5547607015542</v>
      </c>
    </row>
    <row r="7997" spans="2:4" x14ac:dyDescent="0.25">
      <c r="B7997">
        <f t="shared" ca="1" si="374"/>
        <v>41574.404589178754</v>
      </c>
      <c r="C7997">
        <f t="shared" ca="1" si="372"/>
        <v>0</v>
      </c>
      <c r="D7997">
        <f t="shared" ca="1" si="373"/>
        <v>1574.4045891787537</v>
      </c>
    </row>
    <row r="7998" spans="2:4" x14ac:dyDescent="0.25">
      <c r="B7998">
        <f t="shared" ca="1" si="374"/>
        <v>50909.243156933961</v>
      </c>
      <c r="C7998">
        <f t="shared" ca="1" si="372"/>
        <v>0</v>
      </c>
      <c r="D7998">
        <f t="shared" ca="1" si="373"/>
        <v>10909.243156933961</v>
      </c>
    </row>
    <row r="7999" spans="2:4" x14ac:dyDescent="0.25">
      <c r="B7999">
        <f t="shared" ca="1" si="374"/>
        <v>52590.767205164462</v>
      </c>
      <c r="C7999">
        <f t="shared" ca="1" si="372"/>
        <v>0</v>
      </c>
      <c r="D7999">
        <f t="shared" ca="1" si="373"/>
        <v>12590.767205164462</v>
      </c>
    </row>
    <row r="8000" spans="2:4" x14ac:dyDescent="0.25">
      <c r="B8000">
        <f t="shared" ca="1" si="374"/>
        <v>42302.066609436362</v>
      </c>
      <c r="C8000">
        <f t="shared" ca="1" si="372"/>
        <v>0</v>
      </c>
      <c r="D8000">
        <f t="shared" ca="1" si="373"/>
        <v>2302.0666094363623</v>
      </c>
    </row>
    <row r="8001" spans="2:4" x14ac:dyDescent="0.25">
      <c r="B8001">
        <f t="shared" ca="1" si="374"/>
        <v>44123.078487146966</v>
      </c>
      <c r="C8001">
        <f t="shared" ca="1" si="372"/>
        <v>0</v>
      </c>
      <c r="D8001">
        <f t="shared" ca="1" si="373"/>
        <v>4123.0784871469659</v>
      </c>
    </row>
    <row r="8002" spans="2:4" x14ac:dyDescent="0.25">
      <c r="B8002">
        <f t="shared" ca="1" si="374"/>
        <v>50238.31041667769</v>
      </c>
      <c r="C8002">
        <f t="shared" ca="1" si="372"/>
        <v>0</v>
      </c>
      <c r="D8002">
        <f t="shared" ca="1" si="373"/>
        <v>10238.31041667769</v>
      </c>
    </row>
    <row r="8003" spans="2:4" x14ac:dyDescent="0.25">
      <c r="B8003">
        <f t="shared" ca="1" si="374"/>
        <v>48107.83650583672</v>
      </c>
      <c r="C8003">
        <f t="shared" ca="1" si="372"/>
        <v>0</v>
      </c>
      <c r="D8003">
        <f t="shared" ca="1" si="373"/>
        <v>8107.8365058367199</v>
      </c>
    </row>
    <row r="8004" spans="2:4" x14ac:dyDescent="0.25">
      <c r="B8004">
        <f t="shared" ca="1" si="374"/>
        <v>42194.30987627172</v>
      </c>
      <c r="C8004">
        <f t="shared" ca="1" si="372"/>
        <v>0</v>
      </c>
      <c r="D8004">
        <f t="shared" ca="1" si="373"/>
        <v>2194.30987627172</v>
      </c>
    </row>
    <row r="8005" spans="2:4" x14ac:dyDescent="0.25">
      <c r="B8005">
        <f t="shared" ca="1" si="374"/>
        <v>40379.482361202223</v>
      </c>
      <c r="C8005">
        <f t="shared" ca="1" si="372"/>
        <v>0</v>
      </c>
      <c r="D8005">
        <f t="shared" ca="1" si="373"/>
        <v>379.48236120222282</v>
      </c>
    </row>
    <row r="8006" spans="2:4" x14ac:dyDescent="0.25">
      <c r="B8006">
        <f t="shared" ca="1" si="374"/>
        <v>41366.037662297524</v>
      </c>
      <c r="C8006">
        <f t="shared" ca="1" si="372"/>
        <v>0</v>
      </c>
      <c r="D8006">
        <f t="shared" ca="1" si="373"/>
        <v>1366.0376622975236</v>
      </c>
    </row>
    <row r="8007" spans="2:4" x14ac:dyDescent="0.25">
      <c r="B8007">
        <f t="shared" ca="1" si="374"/>
        <v>43866.162557016833</v>
      </c>
      <c r="C8007">
        <f t="shared" ca="1" si="372"/>
        <v>0</v>
      </c>
      <c r="D8007">
        <f t="shared" ca="1" si="373"/>
        <v>3866.1625570168326</v>
      </c>
    </row>
    <row r="8008" spans="2:4" x14ac:dyDescent="0.25">
      <c r="B8008">
        <f t="shared" ca="1" si="374"/>
        <v>47815.282622093786</v>
      </c>
      <c r="C8008">
        <f t="shared" ca="1" si="372"/>
        <v>0</v>
      </c>
      <c r="D8008">
        <f t="shared" ca="1" si="373"/>
        <v>7815.2826220937859</v>
      </c>
    </row>
    <row r="8009" spans="2:4" x14ac:dyDescent="0.25">
      <c r="B8009">
        <f t="shared" ca="1" si="374"/>
        <v>44222.693573039171</v>
      </c>
      <c r="C8009">
        <f t="shared" ca="1" si="372"/>
        <v>0</v>
      </c>
      <c r="D8009">
        <f t="shared" ca="1" si="373"/>
        <v>4222.6935730391706</v>
      </c>
    </row>
    <row r="8010" spans="2:4" x14ac:dyDescent="0.25">
      <c r="B8010">
        <f t="shared" ca="1" si="374"/>
        <v>52782.316798050015</v>
      </c>
      <c r="C8010">
        <f t="shared" ca="1" si="372"/>
        <v>0</v>
      </c>
      <c r="D8010">
        <f t="shared" ca="1" si="373"/>
        <v>12782.316798050015</v>
      </c>
    </row>
    <row r="8011" spans="2:4" x14ac:dyDescent="0.25">
      <c r="B8011">
        <f t="shared" ca="1" si="374"/>
        <v>42693.650813476001</v>
      </c>
      <c r="C8011">
        <f t="shared" ca="1" si="372"/>
        <v>0</v>
      </c>
      <c r="D8011">
        <f t="shared" ca="1" si="373"/>
        <v>2693.6508134760006</v>
      </c>
    </row>
    <row r="8012" spans="2:4" x14ac:dyDescent="0.25">
      <c r="B8012">
        <f t="shared" ca="1" si="374"/>
        <v>48327.557600781438</v>
      </c>
      <c r="C8012">
        <f t="shared" ref="C8012:C8075" ca="1" si="375">IF(MAX($B$2-B8012)&lt;0,0,$B$2-B8012)</f>
        <v>0</v>
      </c>
      <c r="D8012">
        <f t="shared" ref="D8012:D8075" ca="1" si="376">IF(MAX(B8012-$B$2)&lt;0,0,B8012-$B$2)</f>
        <v>8327.5576007814379</v>
      </c>
    </row>
    <row r="8013" spans="2:4" x14ac:dyDescent="0.25">
      <c r="B8013">
        <f t="shared" ref="B8013:B8076" ca="1" si="377">$B$1*EXP((($B$4-($B$3^2)/2)*$B$5+$B$3*SQRT($B$5)*NORMSINV(RAND())))</f>
        <v>45846.525949484974</v>
      </c>
      <c r="C8013">
        <f t="shared" ca="1" si="375"/>
        <v>0</v>
      </c>
      <c r="D8013">
        <f t="shared" ca="1" si="376"/>
        <v>5846.5259494849743</v>
      </c>
    </row>
    <row r="8014" spans="2:4" x14ac:dyDescent="0.25">
      <c r="B8014">
        <f t="shared" ca="1" si="377"/>
        <v>53724.933317148396</v>
      </c>
      <c r="C8014">
        <f t="shared" ca="1" si="375"/>
        <v>0</v>
      </c>
      <c r="D8014">
        <f t="shared" ca="1" si="376"/>
        <v>13724.933317148396</v>
      </c>
    </row>
    <row r="8015" spans="2:4" x14ac:dyDescent="0.25">
      <c r="B8015">
        <f t="shared" ca="1" si="377"/>
        <v>43898.358138062489</v>
      </c>
      <c r="C8015">
        <f t="shared" ca="1" si="375"/>
        <v>0</v>
      </c>
      <c r="D8015">
        <f t="shared" ca="1" si="376"/>
        <v>3898.3581380624892</v>
      </c>
    </row>
    <row r="8016" spans="2:4" x14ac:dyDescent="0.25">
      <c r="B8016">
        <f t="shared" ca="1" si="377"/>
        <v>41034.368989838396</v>
      </c>
      <c r="C8016">
        <f t="shared" ca="1" si="375"/>
        <v>0</v>
      </c>
      <c r="D8016">
        <f t="shared" ca="1" si="376"/>
        <v>1034.3689898383964</v>
      </c>
    </row>
    <row r="8017" spans="2:4" x14ac:dyDescent="0.25">
      <c r="B8017">
        <f t="shared" ca="1" si="377"/>
        <v>35538.340712817022</v>
      </c>
      <c r="C8017">
        <f t="shared" ca="1" si="375"/>
        <v>4461.659287182978</v>
      </c>
      <c r="D8017">
        <f t="shared" ca="1" si="376"/>
        <v>0</v>
      </c>
    </row>
    <row r="8018" spans="2:4" x14ac:dyDescent="0.25">
      <c r="B8018">
        <f t="shared" ca="1" si="377"/>
        <v>49706.916583836552</v>
      </c>
      <c r="C8018">
        <f t="shared" ca="1" si="375"/>
        <v>0</v>
      </c>
      <c r="D8018">
        <f t="shared" ca="1" si="376"/>
        <v>9706.9165838365516</v>
      </c>
    </row>
    <row r="8019" spans="2:4" x14ac:dyDescent="0.25">
      <c r="B8019">
        <f t="shared" ca="1" si="377"/>
        <v>52223.176061170438</v>
      </c>
      <c r="C8019">
        <f t="shared" ca="1" si="375"/>
        <v>0</v>
      </c>
      <c r="D8019">
        <f t="shared" ca="1" si="376"/>
        <v>12223.176061170438</v>
      </c>
    </row>
    <row r="8020" spans="2:4" x14ac:dyDescent="0.25">
      <c r="B8020">
        <f t="shared" ca="1" si="377"/>
        <v>43723.790956309007</v>
      </c>
      <c r="C8020">
        <f t="shared" ca="1" si="375"/>
        <v>0</v>
      </c>
      <c r="D8020">
        <f t="shared" ca="1" si="376"/>
        <v>3723.790956309007</v>
      </c>
    </row>
    <row r="8021" spans="2:4" x14ac:dyDescent="0.25">
      <c r="B8021">
        <f t="shared" ca="1" si="377"/>
        <v>48929.255427739765</v>
      </c>
      <c r="C8021">
        <f t="shared" ca="1" si="375"/>
        <v>0</v>
      </c>
      <c r="D8021">
        <f t="shared" ca="1" si="376"/>
        <v>8929.2554277397649</v>
      </c>
    </row>
    <row r="8022" spans="2:4" x14ac:dyDescent="0.25">
      <c r="B8022">
        <f t="shared" ca="1" si="377"/>
        <v>46842.934903097703</v>
      </c>
      <c r="C8022">
        <f t="shared" ca="1" si="375"/>
        <v>0</v>
      </c>
      <c r="D8022">
        <f t="shared" ca="1" si="376"/>
        <v>6842.9349030977028</v>
      </c>
    </row>
    <row r="8023" spans="2:4" x14ac:dyDescent="0.25">
      <c r="B8023">
        <f t="shared" ca="1" si="377"/>
        <v>44567.227540336164</v>
      </c>
      <c r="C8023">
        <f t="shared" ca="1" si="375"/>
        <v>0</v>
      </c>
      <c r="D8023">
        <f t="shared" ca="1" si="376"/>
        <v>4567.2275403361637</v>
      </c>
    </row>
    <row r="8024" spans="2:4" x14ac:dyDescent="0.25">
      <c r="B8024">
        <f t="shared" ca="1" si="377"/>
        <v>47151.419262804717</v>
      </c>
      <c r="C8024">
        <f t="shared" ca="1" si="375"/>
        <v>0</v>
      </c>
      <c r="D8024">
        <f t="shared" ca="1" si="376"/>
        <v>7151.4192628047167</v>
      </c>
    </row>
    <row r="8025" spans="2:4" x14ac:dyDescent="0.25">
      <c r="B8025">
        <f t="shared" ca="1" si="377"/>
        <v>43686.369712118852</v>
      </c>
      <c r="C8025">
        <f t="shared" ca="1" si="375"/>
        <v>0</v>
      </c>
      <c r="D8025">
        <f t="shared" ca="1" si="376"/>
        <v>3686.3697121188525</v>
      </c>
    </row>
    <row r="8026" spans="2:4" x14ac:dyDescent="0.25">
      <c r="B8026">
        <f t="shared" ca="1" si="377"/>
        <v>44026.284089711196</v>
      </c>
      <c r="C8026">
        <f t="shared" ca="1" si="375"/>
        <v>0</v>
      </c>
      <c r="D8026">
        <f t="shared" ca="1" si="376"/>
        <v>4026.2840897111964</v>
      </c>
    </row>
    <row r="8027" spans="2:4" x14ac:dyDescent="0.25">
      <c r="B8027">
        <f t="shared" ca="1" si="377"/>
        <v>48703.565518166302</v>
      </c>
      <c r="C8027">
        <f t="shared" ca="1" si="375"/>
        <v>0</v>
      </c>
      <c r="D8027">
        <f t="shared" ca="1" si="376"/>
        <v>8703.5655181663024</v>
      </c>
    </row>
    <row r="8028" spans="2:4" x14ac:dyDescent="0.25">
      <c r="B8028">
        <f t="shared" ca="1" si="377"/>
        <v>46925.724900761721</v>
      </c>
      <c r="C8028">
        <f t="shared" ca="1" si="375"/>
        <v>0</v>
      </c>
      <c r="D8028">
        <f t="shared" ca="1" si="376"/>
        <v>6925.7249007617211</v>
      </c>
    </row>
    <row r="8029" spans="2:4" x14ac:dyDescent="0.25">
      <c r="B8029">
        <f t="shared" ca="1" si="377"/>
        <v>48684.572507628116</v>
      </c>
      <c r="C8029">
        <f t="shared" ca="1" si="375"/>
        <v>0</v>
      </c>
      <c r="D8029">
        <f t="shared" ca="1" si="376"/>
        <v>8684.572507628116</v>
      </c>
    </row>
    <row r="8030" spans="2:4" x14ac:dyDescent="0.25">
      <c r="B8030">
        <f t="shared" ca="1" si="377"/>
        <v>44714.49523345723</v>
      </c>
      <c r="C8030">
        <f t="shared" ca="1" si="375"/>
        <v>0</v>
      </c>
      <c r="D8030">
        <f t="shared" ca="1" si="376"/>
        <v>4714.4952334572299</v>
      </c>
    </row>
    <row r="8031" spans="2:4" x14ac:dyDescent="0.25">
      <c r="B8031">
        <f t="shared" ca="1" si="377"/>
        <v>52882.886777816406</v>
      </c>
      <c r="C8031">
        <f t="shared" ca="1" si="375"/>
        <v>0</v>
      </c>
      <c r="D8031">
        <f t="shared" ca="1" si="376"/>
        <v>12882.886777816406</v>
      </c>
    </row>
    <row r="8032" spans="2:4" x14ac:dyDescent="0.25">
      <c r="B8032">
        <f t="shared" ca="1" si="377"/>
        <v>46508.305873109523</v>
      </c>
      <c r="C8032">
        <f t="shared" ca="1" si="375"/>
        <v>0</v>
      </c>
      <c r="D8032">
        <f t="shared" ca="1" si="376"/>
        <v>6508.3058731095225</v>
      </c>
    </row>
    <row r="8033" spans="2:4" x14ac:dyDescent="0.25">
      <c r="B8033">
        <f t="shared" ca="1" si="377"/>
        <v>48532.215733170728</v>
      </c>
      <c r="C8033">
        <f t="shared" ca="1" si="375"/>
        <v>0</v>
      </c>
      <c r="D8033">
        <f t="shared" ca="1" si="376"/>
        <v>8532.2157331707276</v>
      </c>
    </row>
    <row r="8034" spans="2:4" x14ac:dyDescent="0.25">
      <c r="B8034">
        <f t="shared" ca="1" si="377"/>
        <v>47070.168780126543</v>
      </c>
      <c r="C8034">
        <f t="shared" ca="1" si="375"/>
        <v>0</v>
      </c>
      <c r="D8034">
        <f t="shared" ca="1" si="376"/>
        <v>7070.1687801265434</v>
      </c>
    </row>
    <row r="8035" spans="2:4" x14ac:dyDescent="0.25">
      <c r="B8035">
        <f t="shared" ca="1" si="377"/>
        <v>46276.634227306793</v>
      </c>
      <c r="C8035">
        <f t="shared" ca="1" si="375"/>
        <v>0</v>
      </c>
      <c r="D8035">
        <f t="shared" ca="1" si="376"/>
        <v>6276.634227306793</v>
      </c>
    </row>
    <row r="8036" spans="2:4" x14ac:dyDescent="0.25">
      <c r="B8036">
        <f t="shared" ca="1" si="377"/>
        <v>40991.411050032897</v>
      </c>
      <c r="C8036">
        <f t="shared" ca="1" si="375"/>
        <v>0</v>
      </c>
      <c r="D8036">
        <f t="shared" ca="1" si="376"/>
        <v>991.41105003289704</v>
      </c>
    </row>
    <row r="8037" spans="2:4" x14ac:dyDescent="0.25">
      <c r="B8037">
        <f t="shared" ca="1" si="377"/>
        <v>45319.31332940139</v>
      </c>
      <c r="C8037">
        <f t="shared" ca="1" si="375"/>
        <v>0</v>
      </c>
      <c r="D8037">
        <f t="shared" ca="1" si="376"/>
        <v>5319.3133294013896</v>
      </c>
    </row>
    <row r="8038" spans="2:4" x14ac:dyDescent="0.25">
      <c r="B8038">
        <f t="shared" ca="1" si="377"/>
        <v>52689.583265862813</v>
      </c>
      <c r="C8038">
        <f t="shared" ca="1" si="375"/>
        <v>0</v>
      </c>
      <c r="D8038">
        <f t="shared" ca="1" si="376"/>
        <v>12689.583265862813</v>
      </c>
    </row>
    <row r="8039" spans="2:4" x14ac:dyDescent="0.25">
      <c r="B8039">
        <f t="shared" ca="1" si="377"/>
        <v>45192.361963689713</v>
      </c>
      <c r="C8039">
        <f t="shared" ca="1" si="375"/>
        <v>0</v>
      </c>
      <c r="D8039">
        <f t="shared" ca="1" si="376"/>
        <v>5192.3619636897129</v>
      </c>
    </row>
    <row r="8040" spans="2:4" x14ac:dyDescent="0.25">
      <c r="B8040">
        <f t="shared" ca="1" si="377"/>
        <v>39833.632002198159</v>
      </c>
      <c r="C8040">
        <f t="shared" ca="1" si="375"/>
        <v>166.36799780184083</v>
      </c>
      <c r="D8040">
        <f t="shared" ca="1" si="376"/>
        <v>0</v>
      </c>
    </row>
    <row r="8041" spans="2:4" x14ac:dyDescent="0.25">
      <c r="B8041">
        <f t="shared" ca="1" si="377"/>
        <v>57154.745839312163</v>
      </c>
      <c r="C8041">
        <f t="shared" ca="1" si="375"/>
        <v>0</v>
      </c>
      <c r="D8041">
        <f t="shared" ca="1" si="376"/>
        <v>17154.745839312163</v>
      </c>
    </row>
    <row r="8042" spans="2:4" x14ac:dyDescent="0.25">
      <c r="B8042">
        <f t="shared" ca="1" si="377"/>
        <v>43554.116223809186</v>
      </c>
      <c r="C8042">
        <f t="shared" ca="1" si="375"/>
        <v>0</v>
      </c>
      <c r="D8042">
        <f t="shared" ca="1" si="376"/>
        <v>3554.1162238091856</v>
      </c>
    </row>
    <row r="8043" spans="2:4" x14ac:dyDescent="0.25">
      <c r="B8043">
        <f t="shared" ca="1" si="377"/>
        <v>46207.350038979952</v>
      </c>
      <c r="C8043">
        <f t="shared" ca="1" si="375"/>
        <v>0</v>
      </c>
      <c r="D8043">
        <f t="shared" ca="1" si="376"/>
        <v>6207.3500389799519</v>
      </c>
    </row>
    <row r="8044" spans="2:4" x14ac:dyDescent="0.25">
      <c r="B8044">
        <f t="shared" ca="1" si="377"/>
        <v>37782.961681273948</v>
      </c>
      <c r="C8044">
        <f t="shared" ca="1" si="375"/>
        <v>2217.0383187260522</v>
      </c>
      <c r="D8044">
        <f t="shared" ca="1" si="376"/>
        <v>0</v>
      </c>
    </row>
    <row r="8045" spans="2:4" x14ac:dyDescent="0.25">
      <c r="B8045">
        <f t="shared" ca="1" si="377"/>
        <v>44966.630451706755</v>
      </c>
      <c r="C8045">
        <f t="shared" ca="1" si="375"/>
        <v>0</v>
      </c>
      <c r="D8045">
        <f t="shared" ca="1" si="376"/>
        <v>4966.6304517067547</v>
      </c>
    </row>
    <row r="8046" spans="2:4" x14ac:dyDescent="0.25">
      <c r="B8046">
        <f t="shared" ca="1" si="377"/>
        <v>50893.947450122527</v>
      </c>
      <c r="C8046">
        <f t="shared" ca="1" si="375"/>
        <v>0</v>
      </c>
      <c r="D8046">
        <f t="shared" ca="1" si="376"/>
        <v>10893.947450122527</v>
      </c>
    </row>
    <row r="8047" spans="2:4" x14ac:dyDescent="0.25">
      <c r="B8047">
        <f t="shared" ca="1" si="377"/>
        <v>43943.511882070525</v>
      </c>
      <c r="C8047">
        <f t="shared" ca="1" si="375"/>
        <v>0</v>
      </c>
      <c r="D8047">
        <f t="shared" ca="1" si="376"/>
        <v>3943.5118820705247</v>
      </c>
    </row>
    <row r="8048" spans="2:4" x14ac:dyDescent="0.25">
      <c r="B8048">
        <f t="shared" ca="1" si="377"/>
        <v>43053.942108724012</v>
      </c>
      <c r="C8048">
        <f t="shared" ca="1" si="375"/>
        <v>0</v>
      </c>
      <c r="D8048">
        <f t="shared" ca="1" si="376"/>
        <v>3053.9421087240116</v>
      </c>
    </row>
    <row r="8049" spans="2:4" x14ac:dyDescent="0.25">
      <c r="B8049">
        <f t="shared" ca="1" si="377"/>
        <v>49384.126196090634</v>
      </c>
      <c r="C8049">
        <f t="shared" ca="1" si="375"/>
        <v>0</v>
      </c>
      <c r="D8049">
        <f t="shared" ca="1" si="376"/>
        <v>9384.126196090634</v>
      </c>
    </row>
    <row r="8050" spans="2:4" x14ac:dyDescent="0.25">
      <c r="B8050">
        <f t="shared" ca="1" si="377"/>
        <v>47971.671494135051</v>
      </c>
      <c r="C8050">
        <f t="shared" ca="1" si="375"/>
        <v>0</v>
      </c>
      <c r="D8050">
        <f t="shared" ca="1" si="376"/>
        <v>7971.671494135051</v>
      </c>
    </row>
    <row r="8051" spans="2:4" x14ac:dyDescent="0.25">
      <c r="B8051">
        <f t="shared" ca="1" si="377"/>
        <v>34891.303566319883</v>
      </c>
      <c r="C8051">
        <f t="shared" ca="1" si="375"/>
        <v>5108.6964336801175</v>
      </c>
      <c r="D8051">
        <f t="shared" ca="1" si="376"/>
        <v>0</v>
      </c>
    </row>
    <row r="8052" spans="2:4" x14ac:dyDescent="0.25">
      <c r="B8052">
        <f t="shared" ca="1" si="377"/>
        <v>35921.155891028451</v>
      </c>
      <c r="C8052">
        <f t="shared" ca="1" si="375"/>
        <v>4078.8441089715488</v>
      </c>
      <c r="D8052">
        <f t="shared" ca="1" si="376"/>
        <v>0</v>
      </c>
    </row>
    <row r="8053" spans="2:4" x14ac:dyDescent="0.25">
      <c r="B8053">
        <f t="shared" ca="1" si="377"/>
        <v>42822.835051844828</v>
      </c>
      <c r="C8053">
        <f t="shared" ca="1" si="375"/>
        <v>0</v>
      </c>
      <c r="D8053">
        <f t="shared" ca="1" si="376"/>
        <v>2822.8350518448278</v>
      </c>
    </row>
    <row r="8054" spans="2:4" x14ac:dyDescent="0.25">
      <c r="B8054">
        <f t="shared" ca="1" si="377"/>
        <v>48313.866426278706</v>
      </c>
      <c r="C8054">
        <f t="shared" ca="1" si="375"/>
        <v>0</v>
      </c>
      <c r="D8054">
        <f t="shared" ca="1" si="376"/>
        <v>8313.8664262787061</v>
      </c>
    </row>
    <row r="8055" spans="2:4" x14ac:dyDescent="0.25">
      <c r="B8055">
        <f t="shared" ca="1" si="377"/>
        <v>43265.815036301312</v>
      </c>
      <c r="C8055">
        <f t="shared" ca="1" si="375"/>
        <v>0</v>
      </c>
      <c r="D8055">
        <f t="shared" ca="1" si="376"/>
        <v>3265.8150363013119</v>
      </c>
    </row>
    <row r="8056" spans="2:4" x14ac:dyDescent="0.25">
      <c r="B8056">
        <f t="shared" ca="1" si="377"/>
        <v>48278.695077288306</v>
      </c>
      <c r="C8056">
        <f t="shared" ca="1" si="375"/>
        <v>0</v>
      </c>
      <c r="D8056">
        <f t="shared" ca="1" si="376"/>
        <v>8278.6950772883065</v>
      </c>
    </row>
    <row r="8057" spans="2:4" x14ac:dyDescent="0.25">
      <c r="B8057">
        <f t="shared" ca="1" si="377"/>
        <v>44058.363980918235</v>
      </c>
      <c r="C8057">
        <f t="shared" ca="1" si="375"/>
        <v>0</v>
      </c>
      <c r="D8057">
        <f t="shared" ca="1" si="376"/>
        <v>4058.363980918235</v>
      </c>
    </row>
    <row r="8058" spans="2:4" x14ac:dyDescent="0.25">
      <c r="B8058">
        <f t="shared" ca="1" si="377"/>
        <v>58413.822907490867</v>
      </c>
      <c r="C8058">
        <f t="shared" ca="1" si="375"/>
        <v>0</v>
      </c>
      <c r="D8058">
        <f t="shared" ca="1" si="376"/>
        <v>18413.822907490867</v>
      </c>
    </row>
    <row r="8059" spans="2:4" x14ac:dyDescent="0.25">
      <c r="B8059">
        <f t="shared" ca="1" si="377"/>
        <v>35204.120169360911</v>
      </c>
      <c r="C8059">
        <f t="shared" ca="1" si="375"/>
        <v>4795.8798306390891</v>
      </c>
      <c r="D8059">
        <f t="shared" ca="1" si="376"/>
        <v>0</v>
      </c>
    </row>
    <row r="8060" spans="2:4" x14ac:dyDescent="0.25">
      <c r="B8060">
        <f t="shared" ca="1" si="377"/>
        <v>39747.995596384731</v>
      </c>
      <c r="C8060">
        <f t="shared" ca="1" si="375"/>
        <v>252.00440361526853</v>
      </c>
      <c r="D8060">
        <f t="shared" ca="1" si="376"/>
        <v>0</v>
      </c>
    </row>
    <row r="8061" spans="2:4" x14ac:dyDescent="0.25">
      <c r="B8061">
        <f t="shared" ca="1" si="377"/>
        <v>42144.489680276318</v>
      </c>
      <c r="C8061">
        <f t="shared" ca="1" si="375"/>
        <v>0</v>
      </c>
      <c r="D8061">
        <f t="shared" ca="1" si="376"/>
        <v>2144.4896802763178</v>
      </c>
    </row>
    <row r="8062" spans="2:4" x14ac:dyDescent="0.25">
      <c r="B8062">
        <f t="shared" ca="1" si="377"/>
        <v>44560.50098887505</v>
      </c>
      <c r="C8062">
        <f t="shared" ca="1" si="375"/>
        <v>0</v>
      </c>
      <c r="D8062">
        <f t="shared" ca="1" si="376"/>
        <v>4560.5009888750501</v>
      </c>
    </row>
    <row r="8063" spans="2:4" x14ac:dyDescent="0.25">
      <c r="B8063">
        <f t="shared" ca="1" si="377"/>
        <v>46955.652068948606</v>
      </c>
      <c r="C8063">
        <f t="shared" ca="1" si="375"/>
        <v>0</v>
      </c>
      <c r="D8063">
        <f t="shared" ca="1" si="376"/>
        <v>6955.652068948606</v>
      </c>
    </row>
    <row r="8064" spans="2:4" x14ac:dyDescent="0.25">
      <c r="B8064">
        <f t="shared" ca="1" si="377"/>
        <v>34918.170558561658</v>
      </c>
      <c r="C8064">
        <f t="shared" ca="1" si="375"/>
        <v>5081.8294414383417</v>
      </c>
      <c r="D8064">
        <f t="shared" ca="1" si="376"/>
        <v>0</v>
      </c>
    </row>
    <row r="8065" spans="2:4" x14ac:dyDescent="0.25">
      <c r="B8065">
        <f t="shared" ca="1" si="377"/>
        <v>40422.754705430692</v>
      </c>
      <c r="C8065">
        <f t="shared" ca="1" si="375"/>
        <v>0</v>
      </c>
      <c r="D8065">
        <f t="shared" ca="1" si="376"/>
        <v>422.75470543069241</v>
      </c>
    </row>
    <row r="8066" spans="2:4" x14ac:dyDescent="0.25">
      <c r="B8066">
        <f t="shared" ca="1" si="377"/>
        <v>40209.047766216034</v>
      </c>
      <c r="C8066">
        <f t="shared" ca="1" si="375"/>
        <v>0</v>
      </c>
      <c r="D8066">
        <f t="shared" ca="1" si="376"/>
        <v>209.04776621603378</v>
      </c>
    </row>
    <row r="8067" spans="2:4" x14ac:dyDescent="0.25">
      <c r="B8067">
        <f t="shared" ca="1" si="377"/>
        <v>41580.10236113915</v>
      </c>
      <c r="C8067">
        <f t="shared" ca="1" si="375"/>
        <v>0</v>
      </c>
      <c r="D8067">
        <f t="shared" ca="1" si="376"/>
        <v>1580.1023611391502</v>
      </c>
    </row>
    <row r="8068" spans="2:4" x14ac:dyDescent="0.25">
      <c r="B8068">
        <f t="shared" ca="1" si="377"/>
        <v>47948.669117869787</v>
      </c>
      <c r="C8068">
        <f t="shared" ca="1" si="375"/>
        <v>0</v>
      </c>
      <c r="D8068">
        <f t="shared" ca="1" si="376"/>
        <v>7948.6691178697874</v>
      </c>
    </row>
    <row r="8069" spans="2:4" x14ac:dyDescent="0.25">
      <c r="B8069">
        <f t="shared" ca="1" si="377"/>
        <v>43344.331180191242</v>
      </c>
      <c r="C8069">
        <f t="shared" ca="1" si="375"/>
        <v>0</v>
      </c>
      <c r="D8069">
        <f t="shared" ca="1" si="376"/>
        <v>3344.3311801912423</v>
      </c>
    </row>
    <row r="8070" spans="2:4" x14ac:dyDescent="0.25">
      <c r="B8070">
        <f t="shared" ca="1" si="377"/>
        <v>48426.673683135763</v>
      </c>
      <c r="C8070">
        <f t="shared" ca="1" si="375"/>
        <v>0</v>
      </c>
      <c r="D8070">
        <f t="shared" ca="1" si="376"/>
        <v>8426.673683135763</v>
      </c>
    </row>
    <row r="8071" spans="2:4" x14ac:dyDescent="0.25">
      <c r="B8071">
        <f t="shared" ca="1" si="377"/>
        <v>44719.438250181818</v>
      </c>
      <c r="C8071">
        <f t="shared" ca="1" si="375"/>
        <v>0</v>
      </c>
      <c r="D8071">
        <f t="shared" ca="1" si="376"/>
        <v>4719.4382501818181</v>
      </c>
    </row>
    <row r="8072" spans="2:4" x14ac:dyDescent="0.25">
      <c r="B8072">
        <f t="shared" ca="1" si="377"/>
        <v>43506.976712144788</v>
      </c>
      <c r="C8072">
        <f t="shared" ca="1" si="375"/>
        <v>0</v>
      </c>
      <c r="D8072">
        <f t="shared" ca="1" si="376"/>
        <v>3506.9767121447876</v>
      </c>
    </row>
    <row r="8073" spans="2:4" x14ac:dyDescent="0.25">
      <c r="B8073">
        <f t="shared" ca="1" si="377"/>
        <v>48352.855132959477</v>
      </c>
      <c r="C8073">
        <f t="shared" ca="1" si="375"/>
        <v>0</v>
      </c>
      <c r="D8073">
        <f t="shared" ca="1" si="376"/>
        <v>8352.8551329594775</v>
      </c>
    </row>
    <row r="8074" spans="2:4" x14ac:dyDescent="0.25">
      <c r="B8074">
        <f t="shared" ca="1" si="377"/>
        <v>36139.787963247065</v>
      </c>
      <c r="C8074">
        <f t="shared" ca="1" si="375"/>
        <v>3860.2120367529351</v>
      </c>
      <c r="D8074">
        <f t="shared" ca="1" si="376"/>
        <v>0</v>
      </c>
    </row>
    <row r="8075" spans="2:4" x14ac:dyDescent="0.25">
      <c r="B8075">
        <f t="shared" ca="1" si="377"/>
        <v>36970.469617041221</v>
      </c>
      <c r="C8075">
        <f t="shared" ca="1" si="375"/>
        <v>3029.5303829587792</v>
      </c>
      <c r="D8075">
        <f t="shared" ca="1" si="376"/>
        <v>0</v>
      </c>
    </row>
    <row r="8076" spans="2:4" x14ac:dyDescent="0.25">
      <c r="B8076">
        <f t="shared" ca="1" si="377"/>
        <v>36765.143223888925</v>
      </c>
      <c r="C8076">
        <f t="shared" ref="C8076:C8139" ca="1" si="378">IF(MAX($B$2-B8076)&lt;0,0,$B$2-B8076)</f>
        <v>3234.8567761110753</v>
      </c>
      <c r="D8076">
        <f t="shared" ref="D8076:D8139" ca="1" si="379">IF(MAX(B8076-$B$2)&lt;0,0,B8076-$B$2)</f>
        <v>0</v>
      </c>
    </row>
    <row r="8077" spans="2:4" x14ac:dyDescent="0.25">
      <c r="B8077">
        <f t="shared" ref="B8077:B8140" ca="1" si="380">$B$1*EXP((($B$4-($B$3^2)/2)*$B$5+$B$3*SQRT($B$5)*NORMSINV(RAND())))</f>
        <v>37791.087801040077</v>
      </c>
      <c r="C8077">
        <f t="shared" ca="1" si="378"/>
        <v>2208.9121989599225</v>
      </c>
      <c r="D8077">
        <f t="shared" ca="1" si="379"/>
        <v>0</v>
      </c>
    </row>
    <row r="8078" spans="2:4" x14ac:dyDescent="0.25">
      <c r="B8078">
        <f t="shared" ca="1" si="380"/>
        <v>48419.959728404858</v>
      </c>
      <c r="C8078">
        <f t="shared" ca="1" si="378"/>
        <v>0</v>
      </c>
      <c r="D8078">
        <f t="shared" ca="1" si="379"/>
        <v>8419.9597284048577</v>
      </c>
    </row>
    <row r="8079" spans="2:4" x14ac:dyDescent="0.25">
      <c r="B8079">
        <f t="shared" ca="1" si="380"/>
        <v>49289.181147143252</v>
      </c>
      <c r="C8079">
        <f t="shared" ca="1" si="378"/>
        <v>0</v>
      </c>
      <c r="D8079">
        <f t="shared" ca="1" si="379"/>
        <v>9289.181147143252</v>
      </c>
    </row>
    <row r="8080" spans="2:4" x14ac:dyDescent="0.25">
      <c r="B8080">
        <f t="shared" ca="1" si="380"/>
        <v>39596.559782628246</v>
      </c>
      <c r="C8080">
        <f t="shared" ca="1" si="378"/>
        <v>403.44021737175353</v>
      </c>
      <c r="D8080">
        <f t="shared" ca="1" si="379"/>
        <v>0</v>
      </c>
    </row>
    <row r="8081" spans="2:4" x14ac:dyDescent="0.25">
      <c r="B8081">
        <f t="shared" ca="1" si="380"/>
        <v>58126.614284329895</v>
      </c>
      <c r="C8081">
        <f t="shared" ca="1" si="378"/>
        <v>0</v>
      </c>
      <c r="D8081">
        <f t="shared" ca="1" si="379"/>
        <v>18126.614284329895</v>
      </c>
    </row>
    <row r="8082" spans="2:4" x14ac:dyDescent="0.25">
      <c r="B8082">
        <f t="shared" ca="1" si="380"/>
        <v>42319.136966232247</v>
      </c>
      <c r="C8082">
        <f t="shared" ca="1" si="378"/>
        <v>0</v>
      </c>
      <c r="D8082">
        <f t="shared" ca="1" si="379"/>
        <v>2319.1369662322468</v>
      </c>
    </row>
    <row r="8083" spans="2:4" x14ac:dyDescent="0.25">
      <c r="B8083">
        <f t="shared" ca="1" si="380"/>
        <v>45484.916108534009</v>
      </c>
      <c r="C8083">
        <f t="shared" ca="1" si="378"/>
        <v>0</v>
      </c>
      <c r="D8083">
        <f t="shared" ca="1" si="379"/>
        <v>5484.9161085340093</v>
      </c>
    </row>
    <row r="8084" spans="2:4" x14ac:dyDescent="0.25">
      <c r="B8084">
        <f t="shared" ca="1" si="380"/>
        <v>45577.895263485581</v>
      </c>
      <c r="C8084">
        <f t="shared" ca="1" si="378"/>
        <v>0</v>
      </c>
      <c r="D8084">
        <f t="shared" ca="1" si="379"/>
        <v>5577.8952634855814</v>
      </c>
    </row>
    <row r="8085" spans="2:4" x14ac:dyDescent="0.25">
      <c r="B8085">
        <f t="shared" ca="1" si="380"/>
        <v>45191.036076929027</v>
      </c>
      <c r="C8085">
        <f t="shared" ca="1" si="378"/>
        <v>0</v>
      </c>
      <c r="D8085">
        <f t="shared" ca="1" si="379"/>
        <v>5191.0360769290273</v>
      </c>
    </row>
    <row r="8086" spans="2:4" x14ac:dyDescent="0.25">
      <c r="B8086">
        <f t="shared" ca="1" si="380"/>
        <v>42026.777321678623</v>
      </c>
      <c r="C8086">
        <f t="shared" ca="1" si="378"/>
        <v>0</v>
      </c>
      <c r="D8086">
        <f t="shared" ca="1" si="379"/>
        <v>2026.7773216786227</v>
      </c>
    </row>
    <row r="8087" spans="2:4" x14ac:dyDescent="0.25">
      <c r="B8087">
        <f t="shared" ca="1" si="380"/>
        <v>43785.47544515039</v>
      </c>
      <c r="C8087">
        <f t="shared" ca="1" si="378"/>
        <v>0</v>
      </c>
      <c r="D8087">
        <f t="shared" ca="1" si="379"/>
        <v>3785.4754451503904</v>
      </c>
    </row>
    <row r="8088" spans="2:4" x14ac:dyDescent="0.25">
      <c r="B8088">
        <f t="shared" ca="1" si="380"/>
        <v>52512.468085458706</v>
      </c>
      <c r="C8088">
        <f t="shared" ca="1" si="378"/>
        <v>0</v>
      </c>
      <c r="D8088">
        <f t="shared" ca="1" si="379"/>
        <v>12512.468085458706</v>
      </c>
    </row>
    <row r="8089" spans="2:4" x14ac:dyDescent="0.25">
      <c r="B8089">
        <f t="shared" ca="1" si="380"/>
        <v>44057.578160855868</v>
      </c>
      <c r="C8089">
        <f t="shared" ca="1" si="378"/>
        <v>0</v>
      </c>
      <c r="D8089">
        <f t="shared" ca="1" si="379"/>
        <v>4057.5781608558682</v>
      </c>
    </row>
    <row r="8090" spans="2:4" x14ac:dyDescent="0.25">
      <c r="B8090">
        <f t="shared" ca="1" si="380"/>
        <v>52329.397193437551</v>
      </c>
      <c r="C8090">
        <f t="shared" ca="1" si="378"/>
        <v>0</v>
      </c>
      <c r="D8090">
        <f t="shared" ca="1" si="379"/>
        <v>12329.397193437551</v>
      </c>
    </row>
    <row r="8091" spans="2:4" x14ac:dyDescent="0.25">
      <c r="B8091">
        <f t="shared" ca="1" si="380"/>
        <v>47023.754452365283</v>
      </c>
      <c r="C8091">
        <f t="shared" ca="1" si="378"/>
        <v>0</v>
      </c>
      <c r="D8091">
        <f t="shared" ca="1" si="379"/>
        <v>7023.7544523652832</v>
      </c>
    </row>
    <row r="8092" spans="2:4" x14ac:dyDescent="0.25">
      <c r="B8092">
        <f t="shared" ca="1" si="380"/>
        <v>36795.807145380888</v>
      </c>
      <c r="C8092">
        <f t="shared" ca="1" si="378"/>
        <v>3204.192854619112</v>
      </c>
      <c r="D8092">
        <f t="shared" ca="1" si="379"/>
        <v>0</v>
      </c>
    </row>
    <row r="8093" spans="2:4" x14ac:dyDescent="0.25">
      <c r="B8093">
        <f t="shared" ca="1" si="380"/>
        <v>46911.003353974869</v>
      </c>
      <c r="C8093">
        <f t="shared" ca="1" si="378"/>
        <v>0</v>
      </c>
      <c r="D8093">
        <f t="shared" ca="1" si="379"/>
        <v>6911.0033539748692</v>
      </c>
    </row>
    <row r="8094" spans="2:4" x14ac:dyDescent="0.25">
      <c r="B8094">
        <f t="shared" ca="1" si="380"/>
        <v>45178.228740133251</v>
      </c>
      <c r="C8094">
        <f t="shared" ca="1" si="378"/>
        <v>0</v>
      </c>
      <c r="D8094">
        <f t="shared" ca="1" si="379"/>
        <v>5178.2287401332505</v>
      </c>
    </row>
    <row r="8095" spans="2:4" x14ac:dyDescent="0.25">
      <c r="B8095">
        <f t="shared" ca="1" si="380"/>
        <v>53257.573384058123</v>
      </c>
      <c r="C8095">
        <f t="shared" ca="1" si="378"/>
        <v>0</v>
      </c>
      <c r="D8095">
        <f t="shared" ca="1" si="379"/>
        <v>13257.573384058123</v>
      </c>
    </row>
    <row r="8096" spans="2:4" x14ac:dyDescent="0.25">
      <c r="B8096">
        <f t="shared" ca="1" si="380"/>
        <v>45967.849676544043</v>
      </c>
      <c r="C8096">
        <f t="shared" ca="1" si="378"/>
        <v>0</v>
      </c>
      <c r="D8096">
        <f t="shared" ca="1" si="379"/>
        <v>5967.8496765440432</v>
      </c>
    </row>
    <row r="8097" spans="2:4" x14ac:dyDescent="0.25">
      <c r="B8097">
        <f t="shared" ca="1" si="380"/>
        <v>43768.679428586831</v>
      </c>
      <c r="C8097">
        <f t="shared" ca="1" si="378"/>
        <v>0</v>
      </c>
      <c r="D8097">
        <f t="shared" ca="1" si="379"/>
        <v>3768.6794285868309</v>
      </c>
    </row>
    <row r="8098" spans="2:4" x14ac:dyDescent="0.25">
      <c r="B8098">
        <f t="shared" ca="1" si="380"/>
        <v>44957.227789866665</v>
      </c>
      <c r="C8098">
        <f t="shared" ca="1" si="378"/>
        <v>0</v>
      </c>
      <c r="D8098">
        <f t="shared" ca="1" si="379"/>
        <v>4957.2277898666653</v>
      </c>
    </row>
    <row r="8099" spans="2:4" x14ac:dyDescent="0.25">
      <c r="B8099">
        <f t="shared" ca="1" si="380"/>
        <v>39348.41578375415</v>
      </c>
      <c r="C8099">
        <f t="shared" ca="1" si="378"/>
        <v>651.58421624585026</v>
      </c>
      <c r="D8099">
        <f t="shared" ca="1" si="379"/>
        <v>0</v>
      </c>
    </row>
    <row r="8100" spans="2:4" x14ac:dyDescent="0.25">
      <c r="B8100">
        <f t="shared" ca="1" si="380"/>
        <v>44500.425878633905</v>
      </c>
      <c r="C8100">
        <f t="shared" ca="1" si="378"/>
        <v>0</v>
      </c>
      <c r="D8100">
        <f t="shared" ca="1" si="379"/>
        <v>4500.4258786339051</v>
      </c>
    </row>
    <row r="8101" spans="2:4" x14ac:dyDescent="0.25">
      <c r="B8101">
        <f t="shared" ca="1" si="380"/>
        <v>49927.059994297822</v>
      </c>
      <c r="C8101">
        <f t="shared" ca="1" si="378"/>
        <v>0</v>
      </c>
      <c r="D8101">
        <f t="shared" ca="1" si="379"/>
        <v>9927.0599942978224</v>
      </c>
    </row>
    <row r="8102" spans="2:4" x14ac:dyDescent="0.25">
      <c r="B8102">
        <f t="shared" ca="1" si="380"/>
        <v>47087.620808975</v>
      </c>
      <c r="C8102">
        <f t="shared" ca="1" si="378"/>
        <v>0</v>
      </c>
      <c r="D8102">
        <f t="shared" ca="1" si="379"/>
        <v>7087.6208089749998</v>
      </c>
    </row>
    <row r="8103" spans="2:4" x14ac:dyDescent="0.25">
      <c r="B8103">
        <f t="shared" ca="1" si="380"/>
        <v>38754.749551933477</v>
      </c>
      <c r="C8103">
        <f t="shared" ca="1" si="378"/>
        <v>1245.2504480665229</v>
      </c>
      <c r="D8103">
        <f t="shared" ca="1" si="379"/>
        <v>0</v>
      </c>
    </row>
    <row r="8104" spans="2:4" x14ac:dyDescent="0.25">
      <c r="B8104">
        <f t="shared" ca="1" si="380"/>
        <v>43223.011634339629</v>
      </c>
      <c r="C8104">
        <f t="shared" ca="1" si="378"/>
        <v>0</v>
      </c>
      <c r="D8104">
        <f t="shared" ca="1" si="379"/>
        <v>3223.0116343396294</v>
      </c>
    </row>
    <row r="8105" spans="2:4" x14ac:dyDescent="0.25">
      <c r="B8105">
        <f t="shared" ca="1" si="380"/>
        <v>39771.592645311503</v>
      </c>
      <c r="C8105">
        <f t="shared" ca="1" si="378"/>
        <v>228.40735468849743</v>
      </c>
      <c r="D8105">
        <f t="shared" ca="1" si="379"/>
        <v>0</v>
      </c>
    </row>
    <row r="8106" spans="2:4" x14ac:dyDescent="0.25">
      <c r="B8106">
        <f t="shared" ca="1" si="380"/>
        <v>42026.223940673946</v>
      </c>
      <c r="C8106">
        <f t="shared" ca="1" si="378"/>
        <v>0</v>
      </c>
      <c r="D8106">
        <f t="shared" ca="1" si="379"/>
        <v>2026.2239406739463</v>
      </c>
    </row>
    <row r="8107" spans="2:4" x14ac:dyDescent="0.25">
      <c r="B8107">
        <f t="shared" ca="1" si="380"/>
        <v>47249.953876106243</v>
      </c>
      <c r="C8107">
        <f t="shared" ca="1" si="378"/>
        <v>0</v>
      </c>
      <c r="D8107">
        <f t="shared" ca="1" si="379"/>
        <v>7249.9538761062431</v>
      </c>
    </row>
    <row r="8108" spans="2:4" x14ac:dyDescent="0.25">
      <c r="B8108">
        <f t="shared" ca="1" si="380"/>
        <v>43175.39763204164</v>
      </c>
      <c r="C8108">
        <f t="shared" ca="1" si="378"/>
        <v>0</v>
      </c>
      <c r="D8108">
        <f t="shared" ca="1" si="379"/>
        <v>3175.3976320416405</v>
      </c>
    </row>
    <row r="8109" spans="2:4" x14ac:dyDescent="0.25">
      <c r="B8109">
        <f t="shared" ca="1" si="380"/>
        <v>38938.700382153089</v>
      </c>
      <c r="C8109">
        <f t="shared" ca="1" si="378"/>
        <v>1061.2996178469111</v>
      </c>
      <c r="D8109">
        <f t="shared" ca="1" si="379"/>
        <v>0</v>
      </c>
    </row>
    <row r="8110" spans="2:4" x14ac:dyDescent="0.25">
      <c r="B8110">
        <f t="shared" ca="1" si="380"/>
        <v>48808.73799048311</v>
      </c>
      <c r="C8110">
        <f t="shared" ca="1" si="378"/>
        <v>0</v>
      </c>
      <c r="D8110">
        <f t="shared" ca="1" si="379"/>
        <v>8808.7379904831105</v>
      </c>
    </row>
    <row r="8111" spans="2:4" x14ac:dyDescent="0.25">
      <c r="B8111">
        <f t="shared" ca="1" si="380"/>
        <v>42005.389673386962</v>
      </c>
      <c r="C8111">
        <f t="shared" ca="1" si="378"/>
        <v>0</v>
      </c>
      <c r="D8111">
        <f t="shared" ca="1" si="379"/>
        <v>2005.3896733869624</v>
      </c>
    </row>
    <row r="8112" spans="2:4" x14ac:dyDescent="0.25">
      <c r="B8112">
        <f t="shared" ca="1" si="380"/>
        <v>46926.700402350398</v>
      </c>
      <c r="C8112">
        <f t="shared" ca="1" si="378"/>
        <v>0</v>
      </c>
      <c r="D8112">
        <f t="shared" ca="1" si="379"/>
        <v>6926.7004023503978</v>
      </c>
    </row>
    <row r="8113" spans="2:4" x14ac:dyDescent="0.25">
      <c r="B8113">
        <f t="shared" ca="1" si="380"/>
        <v>51104.635630428762</v>
      </c>
      <c r="C8113">
        <f t="shared" ca="1" si="378"/>
        <v>0</v>
      </c>
      <c r="D8113">
        <f t="shared" ca="1" si="379"/>
        <v>11104.635630428762</v>
      </c>
    </row>
    <row r="8114" spans="2:4" x14ac:dyDescent="0.25">
      <c r="B8114">
        <f t="shared" ca="1" si="380"/>
        <v>46694.455031275218</v>
      </c>
      <c r="C8114">
        <f t="shared" ca="1" si="378"/>
        <v>0</v>
      </c>
      <c r="D8114">
        <f t="shared" ca="1" si="379"/>
        <v>6694.4550312752181</v>
      </c>
    </row>
    <row r="8115" spans="2:4" x14ac:dyDescent="0.25">
      <c r="B8115">
        <f t="shared" ca="1" si="380"/>
        <v>51437.824082058869</v>
      </c>
      <c r="C8115">
        <f t="shared" ca="1" si="378"/>
        <v>0</v>
      </c>
      <c r="D8115">
        <f t="shared" ca="1" si="379"/>
        <v>11437.824082058869</v>
      </c>
    </row>
    <row r="8116" spans="2:4" x14ac:dyDescent="0.25">
      <c r="B8116">
        <f t="shared" ca="1" si="380"/>
        <v>44850.05868480113</v>
      </c>
      <c r="C8116">
        <f t="shared" ca="1" si="378"/>
        <v>0</v>
      </c>
      <c r="D8116">
        <f t="shared" ca="1" si="379"/>
        <v>4850.0586848011299</v>
      </c>
    </row>
    <row r="8117" spans="2:4" x14ac:dyDescent="0.25">
      <c r="B8117">
        <f t="shared" ca="1" si="380"/>
        <v>43994.505348492537</v>
      </c>
      <c r="C8117">
        <f t="shared" ca="1" si="378"/>
        <v>0</v>
      </c>
      <c r="D8117">
        <f t="shared" ca="1" si="379"/>
        <v>3994.5053484925375</v>
      </c>
    </row>
    <row r="8118" spans="2:4" x14ac:dyDescent="0.25">
      <c r="B8118">
        <f t="shared" ca="1" si="380"/>
        <v>55348.255968294208</v>
      </c>
      <c r="C8118">
        <f t="shared" ca="1" si="378"/>
        <v>0</v>
      </c>
      <c r="D8118">
        <f t="shared" ca="1" si="379"/>
        <v>15348.255968294208</v>
      </c>
    </row>
    <row r="8119" spans="2:4" x14ac:dyDescent="0.25">
      <c r="B8119">
        <f t="shared" ca="1" si="380"/>
        <v>41332.986659095986</v>
      </c>
      <c r="C8119">
        <f t="shared" ca="1" si="378"/>
        <v>0</v>
      </c>
      <c r="D8119">
        <f t="shared" ca="1" si="379"/>
        <v>1332.9866590959864</v>
      </c>
    </row>
    <row r="8120" spans="2:4" x14ac:dyDescent="0.25">
      <c r="B8120">
        <f t="shared" ca="1" si="380"/>
        <v>52008.424435760855</v>
      </c>
      <c r="C8120">
        <f t="shared" ca="1" si="378"/>
        <v>0</v>
      </c>
      <c r="D8120">
        <f t="shared" ca="1" si="379"/>
        <v>12008.424435760855</v>
      </c>
    </row>
    <row r="8121" spans="2:4" x14ac:dyDescent="0.25">
      <c r="B8121">
        <f t="shared" ca="1" si="380"/>
        <v>42742.149807878093</v>
      </c>
      <c r="C8121">
        <f t="shared" ca="1" si="378"/>
        <v>0</v>
      </c>
      <c r="D8121">
        <f t="shared" ca="1" si="379"/>
        <v>2742.1498078780933</v>
      </c>
    </row>
    <row r="8122" spans="2:4" x14ac:dyDescent="0.25">
      <c r="B8122">
        <f t="shared" ca="1" si="380"/>
        <v>45261.574280130742</v>
      </c>
      <c r="C8122">
        <f t="shared" ca="1" si="378"/>
        <v>0</v>
      </c>
      <c r="D8122">
        <f t="shared" ca="1" si="379"/>
        <v>5261.5742801307424</v>
      </c>
    </row>
    <row r="8123" spans="2:4" x14ac:dyDescent="0.25">
      <c r="B8123">
        <f t="shared" ca="1" si="380"/>
        <v>41076.097770512963</v>
      </c>
      <c r="C8123">
        <f t="shared" ca="1" si="378"/>
        <v>0</v>
      </c>
      <c r="D8123">
        <f t="shared" ca="1" si="379"/>
        <v>1076.0977705129626</v>
      </c>
    </row>
    <row r="8124" spans="2:4" x14ac:dyDescent="0.25">
      <c r="B8124">
        <f t="shared" ca="1" si="380"/>
        <v>45317.40531588556</v>
      </c>
      <c r="C8124">
        <f t="shared" ca="1" si="378"/>
        <v>0</v>
      </c>
      <c r="D8124">
        <f t="shared" ca="1" si="379"/>
        <v>5317.4053158855604</v>
      </c>
    </row>
    <row r="8125" spans="2:4" x14ac:dyDescent="0.25">
      <c r="B8125">
        <f t="shared" ca="1" si="380"/>
        <v>45760.423062581795</v>
      </c>
      <c r="C8125">
        <f t="shared" ca="1" si="378"/>
        <v>0</v>
      </c>
      <c r="D8125">
        <f t="shared" ca="1" si="379"/>
        <v>5760.4230625817945</v>
      </c>
    </row>
    <row r="8126" spans="2:4" x14ac:dyDescent="0.25">
      <c r="B8126">
        <f t="shared" ca="1" si="380"/>
        <v>48063.530311512681</v>
      </c>
      <c r="C8126">
        <f t="shared" ca="1" si="378"/>
        <v>0</v>
      </c>
      <c r="D8126">
        <f t="shared" ca="1" si="379"/>
        <v>8063.5303115126808</v>
      </c>
    </row>
    <row r="8127" spans="2:4" x14ac:dyDescent="0.25">
      <c r="B8127">
        <f t="shared" ca="1" si="380"/>
        <v>43601.43766603629</v>
      </c>
      <c r="C8127">
        <f t="shared" ca="1" si="378"/>
        <v>0</v>
      </c>
      <c r="D8127">
        <f t="shared" ca="1" si="379"/>
        <v>3601.4376660362905</v>
      </c>
    </row>
    <row r="8128" spans="2:4" x14ac:dyDescent="0.25">
      <c r="B8128">
        <f t="shared" ca="1" si="380"/>
        <v>46160.503717224237</v>
      </c>
      <c r="C8128">
        <f t="shared" ca="1" si="378"/>
        <v>0</v>
      </c>
      <c r="D8128">
        <f t="shared" ca="1" si="379"/>
        <v>6160.5037172242373</v>
      </c>
    </row>
    <row r="8129" spans="2:4" x14ac:dyDescent="0.25">
      <c r="B8129">
        <f t="shared" ca="1" si="380"/>
        <v>38218.50078905726</v>
      </c>
      <c r="C8129">
        <f t="shared" ca="1" si="378"/>
        <v>1781.4992109427403</v>
      </c>
      <c r="D8129">
        <f t="shared" ca="1" si="379"/>
        <v>0</v>
      </c>
    </row>
    <row r="8130" spans="2:4" x14ac:dyDescent="0.25">
      <c r="B8130">
        <f t="shared" ca="1" si="380"/>
        <v>35275.242573870302</v>
      </c>
      <c r="C8130">
        <f t="shared" ca="1" si="378"/>
        <v>4724.7574261296977</v>
      </c>
      <c r="D8130">
        <f t="shared" ca="1" si="379"/>
        <v>0</v>
      </c>
    </row>
    <row r="8131" spans="2:4" x14ac:dyDescent="0.25">
      <c r="B8131">
        <f t="shared" ca="1" si="380"/>
        <v>46581.436491046159</v>
      </c>
      <c r="C8131">
        <f t="shared" ca="1" si="378"/>
        <v>0</v>
      </c>
      <c r="D8131">
        <f t="shared" ca="1" si="379"/>
        <v>6581.4364910461591</v>
      </c>
    </row>
    <row r="8132" spans="2:4" x14ac:dyDescent="0.25">
      <c r="B8132">
        <f t="shared" ca="1" si="380"/>
        <v>42090.397010903136</v>
      </c>
      <c r="C8132">
        <f t="shared" ca="1" si="378"/>
        <v>0</v>
      </c>
      <c r="D8132">
        <f t="shared" ca="1" si="379"/>
        <v>2090.3970109031361</v>
      </c>
    </row>
    <row r="8133" spans="2:4" x14ac:dyDescent="0.25">
      <c r="B8133">
        <f t="shared" ca="1" si="380"/>
        <v>37842.694440939136</v>
      </c>
      <c r="C8133">
        <f t="shared" ca="1" si="378"/>
        <v>2157.3055590608637</v>
      </c>
      <c r="D8133">
        <f t="shared" ca="1" si="379"/>
        <v>0</v>
      </c>
    </row>
    <row r="8134" spans="2:4" x14ac:dyDescent="0.25">
      <c r="B8134">
        <f t="shared" ca="1" si="380"/>
        <v>48259.069383487527</v>
      </c>
      <c r="C8134">
        <f t="shared" ca="1" si="378"/>
        <v>0</v>
      </c>
      <c r="D8134">
        <f t="shared" ca="1" si="379"/>
        <v>8259.0693834875274</v>
      </c>
    </row>
    <row r="8135" spans="2:4" x14ac:dyDescent="0.25">
      <c r="B8135">
        <f t="shared" ca="1" si="380"/>
        <v>44472.812920055942</v>
      </c>
      <c r="C8135">
        <f t="shared" ca="1" si="378"/>
        <v>0</v>
      </c>
      <c r="D8135">
        <f t="shared" ca="1" si="379"/>
        <v>4472.8129200559415</v>
      </c>
    </row>
    <row r="8136" spans="2:4" x14ac:dyDescent="0.25">
      <c r="B8136">
        <f t="shared" ca="1" si="380"/>
        <v>39601.484232979557</v>
      </c>
      <c r="C8136">
        <f t="shared" ca="1" si="378"/>
        <v>398.51576702044258</v>
      </c>
      <c r="D8136">
        <f t="shared" ca="1" si="379"/>
        <v>0</v>
      </c>
    </row>
    <row r="8137" spans="2:4" x14ac:dyDescent="0.25">
      <c r="B8137">
        <f t="shared" ca="1" si="380"/>
        <v>49568.111719554698</v>
      </c>
      <c r="C8137">
        <f t="shared" ca="1" si="378"/>
        <v>0</v>
      </c>
      <c r="D8137">
        <f t="shared" ca="1" si="379"/>
        <v>9568.1117195546976</v>
      </c>
    </row>
    <row r="8138" spans="2:4" x14ac:dyDescent="0.25">
      <c r="B8138">
        <f t="shared" ca="1" si="380"/>
        <v>42207.283686036193</v>
      </c>
      <c r="C8138">
        <f t="shared" ca="1" si="378"/>
        <v>0</v>
      </c>
      <c r="D8138">
        <f t="shared" ca="1" si="379"/>
        <v>2207.2836860361931</v>
      </c>
    </row>
    <row r="8139" spans="2:4" x14ac:dyDescent="0.25">
      <c r="B8139">
        <f t="shared" ca="1" si="380"/>
        <v>34711.577462718444</v>
      </c>
      <c r="C8139">
        <f t="shared" ca="1" si="378"/>
        <v>5288.4225372815563</v>
      </c>
      <c r="D8139">
        <f t="shared" ca="1" si="379"/>
        <v>0</v>
      </c>
    </row>
    <row r="8140" spans="2:4" x14ac:dyDescent="0.25">
      <c r="B8140">
        <f t="shared" ca="1" si="380"/>
        <v>43392.19569611051</v>
      </c>
      <c r="C8140">
        <f t="shared" ref="C8140:C8203" ca="1" si="381">IF(MAX($B$2-B8140)&lt;0,0,$B$2-B8140)</f>
        <v>0</v>
      </c>
      <c r="D8140">
        <f t="shared" ref="D8140:D8203" ca="1" si="382">IF(MAX(B8140-$B$2)&lt;0,0,B8140-$B$2)</f>
        <v>3392.1956961105097</v>
      </c>
    </row>
    <row r="8141" spans="2:4" x14ac:dyDescent="0.25">
      <c r="B8141">
        <f t="shared" ref="B8141:B8204" ca="1" si="383">$B$1*EXP((($B$4-($B$3^2)/2)*$B$5+$B$3*SQRT($B$5)*NORMSINV(RAND())))</f>
        <v>44133.402851709354</v>
      </c>
      <c r="C8141">
        <f t="shared" ca="1" si="381"/>
        <v>0</v>
      </c>
      <c r="D8141">
        <f t="shared" ca="1" si="382"/>
        <v>4133.4028517093539</v>
      </c>
    </row>
    <row r="8142" spans="2:4" x14ac:dyDescent="0.25">
      <c r="B8142">
        <f t="shared" ca="1" si="383"/>
        <v>46613.467440362372</v>
      </c>
      <c r="C8142">
        <f t="shared" ca="1" si="381"/>
        <v>0</v>
      </c>
      <c r="D8142">
        <f t="shared" ca="1" si="382"/>
        <v>6613.4674403623721</v>
      </c>
    </row>
    <row r="8143" spans="2:4" x14ac:dyDescent="0.25">
      <c r="B8143">
        <f t="shared" ca="1" si="383"/>
        <v>37009.818606615016</v>
      </c>
      <c r="C8143">
        <f t="shared" ca="1" si="381"/>
        <v>2990.1813933849844</v>
      </c>
      <c r="D8143">
        <f t="shared" ca="1" si="382"/>
        <v>0</v>
      </c>
    </row>
    <row r="8144" spans="2:4" x14ac:dyDescent="0.25">
      <c r="B8144">
        <f t="shared" ca="1" si="383"/>
        <v>45579.852750472957</v>
      </c>
      <c r="C8144">
        <f t="shared" ca="1" si="381"/>
        <v>0</v>
      </c>
      <c r="D8144">
        <f t="shared" ca="1" si="382"/>
        <v>5579.8527504729573</v>
      </c>
    </row>
    <row r="8145" spans="2:4" x14ac:dyDescent="0.25">
      <c r="B8145">
        <f t="shared" ca="1" si="383"/>
        <v>52056.65113513908</v>
      </c>
      <c r="C8145">
        <f t="shared" ca="1" si="381"/>
        <v>0</v>
      </c>
      <c r="D8145">
        <f t="shared" ca="1" si="382"/>
        <v>12056.65113513908</v>
      </c>
    </row>
    <row r="8146" spans="2:4" x14ac:dyDescent="0.25">
      <c r="B8146">
        <f t="shared" ca="1" si="383"/>
        <v>52049.426483182302</v>
      </c>
      <c r="C8146">
        <f t="shared" ca="1" si="381"/>
        <v>0</v>
      </c>
      <c r="D8146">
        <f t="shared" ca="1" si="382"/>
        <v>12049.426483182302</v>
      </c>
    </row>
    <row r="8147" spans="2:4" x14ac:dyDescent="0.25">
      <c r="B8147">
        <f t="shared" ca="1" si="383"/>
        <v>39064.071219912701</v>
      </c>
      <c r="C8147">
        <f t="shared" ca="1" si="381"/>
        <v>935.92878008729895</v>
      </c>
      <c r="D8147">
        <f t="shared" ca="1" si="382"/>
        <v>0</v>
      </c>
    </row>
    <row r="8148" spans="2:4" x14ac:dyDescent="0.25">
      <c r="B8148">
        <f t="shared" ca="1" si="383"/>
        <v>44575.236352094544</v>
      </c>
      <c r="C8148">
        <f t="shared" ca="1" si="381"/>
        <v>0</v>
      </c>
      <c r="D8148">
        <f t="shared" ca="1" si="382"/>
        <v>4575.2363520945437</v>
      </c>
    </row>
    <row r="8149" spans="2:4" x14ac:dyDescent="0.25">
      <c r="B8149">
        <f t="shared" ca="1" si="383"/>
        <v>51688.00037814003</v>
      </c>
      <c r="C8149">
        <f t="shared" ca="1" si="381"/>
        <v>0</v>
      </c>
      <c r="D8149">
        <f t="shared" ca="1" si="382"/>
        <v>11688.00037814003</v>
      </c>
    </row>
    <row r="8150" spans="2:4" x14ac:dyDescent="0.25">
      <c r="B8150">
        <f t="shared" ca="1" si="383"/>
        <v>43854.828434807707</v>
      </c>
      <c r="C8150">
        <f t="shared" ca="1" si="381"/>
        <v>0</v>
      </c>
      <c r="D8150">
        <f t="shared" ca="1" si="382"/>
        <v>3854.8284348077068</v>
      </c>
    </row>
    <row r="8151" spans="2:4" x14ac:dyDescent="0.25">
      <c r="B8151">
        <f t="shared" ca="1" si="383"/>
        <v>42423.462489800666</v>
      </c>
      <c r="C8151">
        <f t="shared" ca="1" si="381"/>
        <v>0</v>
      </c>
      <c r="D8151">
        <f t="shared" ca="1" si="382"/>
        <v>2423.4624898006659</v>
      </c>
    </row>
    <row r="8152" spans="2:4" x14ac:dyDescent="0.25">
      <c r="B8152">
        <f t="shared" ca="1" si="383"/>
        <v>40244.982983377908</v>
      </c>
      <c r="C8152">
        <f t="shared" ca="1" si="381"/>
        <v>0</v>
      </c>
      <c r="D8152">
        <f t="shared" ca="1" si="382"/>
        <v>244.98298337790766</v>
      </c>
    </row>
    <row r="8153" spans="2:4" x14ac:dyDescent="0.25">
      <c r="B8153">
        <f t="shared" ca="1" si="383"/>
        <v>42750.512345046787</v>
      </c>
      <c r="C8153">
        <f t="shared" ca="1" si="381"/>
        <v>0</v>
      </c>
      <c r="D8153">
        <f t="shared" ca="1" si="382"/>
        <v>2750.5123450467872</v>
      </c>
    </row>
    <row r="8154" spans="2:4" x14ac:dyDescent="0.25">
      <c r="B8154">
        <f t="shared" ca="1" si="383"/>
        <v>56100.159082410515</v>
      </c>
      <c r="C8154">
        <f t="shared" ca="1" si="381"/>
        <v>0</v>
      </c>
      <c r="D8154">
        <f t="shared" ca="1" si="382"/>
        <v>16100.159082410515</v>
      </c>
    </row>
    <row r="8155" spans="2:4" x14ac:dyDescent="0.25">
      <c r="B8155">
        <f t="shared" ca="1" si="383"/>
        <v>49368.429996389947</v>
      </c>
      <c r="C8155">
        <f t="shared" ca="1" si="381"/>
        <v>0</v>
      </c>
      <c r="D8155">
        <f t="shared" ca="1" si="382"/>
        <v>9368.4299963899466</v>
      </c>
    </row>
    <row r="8156" spans="2:4" x14ac:dyDescent="0.25">
      <c r="B8156">
        <f t="shared" ca="1" si="383"/>
        <v>44534.222494525704</v>
      </c>
      <c r="C8156">
        <f t="shared" ca="1" si="381"/>
        <v>0</v>
      </c>
      <c r="D8156">
        <f t="shared" ca="1" si="382"/>
        <v>4534.222494525704</v>
      </c>
    </row>
    <row r="8157" spans="2:4" x14ac:dyDescent="0.25">
      <c r="B8157">
        <f t="shared" ca="1" si="383"/>
        <v>39776.377956295008</v>
      </c>
      <c r="C8157">
        <f t="shared" ca="1" si="381"/>
        <v>223.62204370499239</v>
      </c>
      <c r="D8157">
        <f t="shared" ca="1" si="382"/>
        <v>0</v>
      </c>
    </row>
    <row r="8158" spans="2:4" x14ac:dyDescent="0.25">
      <c r="B8158">
        <f t="shared" ca="1" si="383"/>
        <v>40261.64885900823</v>
      </c>
      <c r="C8158">
        <f t="shared" ca="1" si="381"/>
        <v>0</v>
      </c>
      <c r="D8158">
        <f t="shared" ca="1" si="382"/>
        <v>261.64885900822992</v>
      </c>
    </row>
    <row r="8159" spans="2:4" x14ac:dyDescent="0.25">
      <c r="B8159">
        <f t="shared" ca="1" si="383"/>
        <v>40977.652079592779</v>
      </c>
      <c r="C8159">
        <f t="shared" ca="1" si="381"/>
        <v>0</v>
      </c>
      <c r="D8159">
        <f t="shared" ca="1" si="382"/>
        <v>977.65207959277905</v>
      </c>
    </row>
    <row r="8160" spans="2:4" x14ac:dyDescent="0.25">
      <c r="B8160">
        <f t="shared" ca="1" si="383"/>
        <v>46187.532585487548</v>
      </c>
      <c r="C8160">
        <f t="shared" ca="1" si="381"/>
        <v>0</v>
      </c>
      <c r="D8160">
        <f t="shared" ca="1" si="382"/>
        <v>6187.5325854875482</v>
      </c>
    </row>
    <row r="8161" spans="2:4" x14ac:dyDescent="0.25">
      <c r="B8161">
        <f t="shared" ca="1" si="383"/>
        <v>42692.657494538427</v>
      </c>
      <c r="C8161">
        <f t="shared" ca="1" si="381"/>
        <v>0</v>
      </c>
      <c r="D8161">
        <f t="shared" ca="1" si="382"/>
        <v>2692.6574945384273</v>
      </c>
    </row>
    <row r="8162" spans="2:4" x14ac:dyDescent="0.25">
      <c r="B8162">
        <f t="shared" ca="1" si="383"/>
        <v>45796.363003620128</v>
      </c>
      <c r="C8162">
        <f t="shared" ca="1" si="381"/>
        <v>0</v>
      </c>
      <c r="D8162">
        <f t="shared" ca="1" si="382"/>
        <v>5796.3630036201284</v>
      </c>
    </row>
    <row r="8163" spans="2:4" x14ac:dyDescent="0.25">
      <c r="B8163">
        <f t="shared" ca="1" si="383"/>
        <v>47699.886287114241</v>
      </c>
      <c r="C8163">
        <f t="shared" ca="1" si="381"/>
        <v>0</v>
      </c>
      <c r="D8163">
        <f t="shared" ca="1" si="382"/>
        <v>7699.886287114241</v>
      </c>
    </row>
    <row r="8164" spans="2:4" x14ac:dyDescent="0.25">
      <c r="B8164">
        <f t="shared" ca="1" si="383"/>
        <v>40719.969072102387</v>
      </c>
      <c r="C8164">
        <f t="shared" ca="1" si="381"/>
        <v>0</v>
      </c>
      <c r="D8164">
        <f t="shared" ca="1" si="382"/>
        <v>719.96907210238714</v>
      </c>
    </row>
    <row r="8165" spans="2:4" x14ac:dyDescent="0.25">
      <c r="B8165">
        <f t="shared" ca="1" si="383"/>
        <v>54630.004665273504</v>
      </c>
      <c r="C8165">
        <f t="shared" ca="1" si="381"/>
        <v>0</v>
      </c>
      <c r="D8165">
        <f t="shared" ca="1" si="382"/>
        <v>14630.004665273504</v>
      </c>
    </row>
    <row r="8166" spans="2:4" x14ac:dyDescent="0.25">
      <c r="B8166">
        <f t="shared" ca="1" si="383"/>
        <v>55894.206824010791</v>
      </c>
      <c r="C8166">
        <f t="shared" ca="1" si="381"/>
        <v>0</v>
      </c>
      <c r="D8166">
        <f t="shared" ca="1" si="382"/>
        <v>15894.206824010791</v>
      </c>
    </row>
    <row r="8167" spans="2:4" x14ac:dyDescent="0.25">
      <c r="B8167">
        <f t="shared" ca="1" si="383"/>
        <v>43560.501878522184</v>
      </c>
      <c r="C8167">
        <f t="shared" ca="1" si="381"/>
        <v>0</v>
      </c>
      <c r="D8167">
        <f t="shared" ca="1" si="382"/>
        <v>3560.5018785221837</v>
      </c>
    </row>
    <row r="8168" spans="2:4" x14ac:dyDescent="0.25">
      <c r="B8168">
        <f t="shared" ca="1" si="383"/>
        <v>43680.288093738382</v>
      </c>
      <c r="C8168">
        <f t="shared" ca="1" si="381"/>
        <v>0</v>
      </c>
      <c r="D8168">
        <f t="shared" ca="1" si="382"/>
        <v>3680.2880937383816</v>
      </c>
    </row>
    <row r="8169" spans="2:4" x14ac:dyDescent="0.25">
      <c r="B8169">
        <f t="shared" ca="1" si="383"/>
        <v>47886.038513533284</v>
      </c>
      <c r="C8169">
        <f t="shared" ca="1" si="381"/>
        <v>0</v>
      </c>
      <c r="D8169">
        <f t="shared" ca="1" si="382"/>
        <v>7886.0385135332835</v>
      </c>
    </row>
    <row r="8170" spans="2:4" x14ac:dyDescent="0.25">
      <c r="B8170">
        <f t="shared" ca="1" si="383"/>
        <v>35496.758475631104</v>
      </c>
      <c r="C8170">
        <f t="shared" ca="1" si="381"/>
        <v>4503.2415243688956</v>
      </c>
      <c r="D8170">
        <f t="shared" ca="1" si="382"/>
        <v>0</v>
      </c>
    </row>
    <row r="8171" spans="2:4" x14ac:dyDescent="0.25">
      <c r="B8171">
        <f t="shared" ca="1" si="383"/>
        <v>40694.669399921404</v>
      </c>
      <c r="C8171">
        <f t="shared" ca="1" si="381"/>
        <v>0</v>
      </c>
      <c r="D8171">
        <f t="shared" ca="1" si="382"/>
        <v>694.66939992140396</v>
      </c>
    </row>
    <row r="8172" spans="2:4" x14ac:dyDescent="0.25">
      <c r="B8172">
        <f t="shared" ca="1" si="383"/>
        <v>42757.037472244163</v>
      </c>
      <c r="C8172">
        <f t="shared" ca="1" si="381"/>
        <v>0</v>
      </c>
      <c r="D8172">
        <f t="shared" ca="1" si="382"/>
        <v>2757.0374722441629</v>
      </c>
    </row>
    <row r="8173" spans="2:4" x14ac:dyDescent="0.25">
      <c r="B8173">
        <f t="shared" ca="1" si="383"/>
        <v>50893.183552438102</v>
      </c>
      <c r="C8173">
        <f t="shared" ca="1" si="381"/>
        <v>0</v>
      </c>
      <c r="D8173">
        <f t="shared" ca="1" si="382"/>
        <v>10893.183552438102</v>
      </c>
    </row>
    <row r="8174" spans="2:4" x14ac:dyDescent="0.25">
      <c r="B8174">
        <f t="shared" ca="1" si="383"/>
        <v>43753.122279838157</v>
      </c>
      <c r="C8174">
        <f t="shared" ca="1" si="381"/>
        <v>0</v>
      </c>
      <c r="D8174">
        <f t="shared" ca="1" si="382"/>
        <v>3753.1222798381568</v>
      </c>
    </row>
    <row r="8175" spans="2:4" x14ac:dyDescent="0.25">
      <c r="B8175">
        <f t="shared" ca="1" si="383"/>
        <v>45542.183489373921</v>
      </c>
      <c r="C8175">
        <f t="shared" ca="1" si="381"/>
        <v>0</v>
      </c>
      <c r="D8175">
        <f t="shared" ca="1" si="382"/>
        <v>5542.1834893739215</v>
      </c>
    </row>
    <row r="8176" spans="2:4" x14ac:dyDescent="0.25">
      <c r="B8176">
        <f t="shared" ca="1" si="383"/>
        <v>37339.65468694298</v>
      </c>
      <c r="C8176">
        <f t="shared" ca="1" si="381"/>
        <v>2660.3453130570197</v>
      </c>
      <c r="D8176">
        <f t="shared" ca="1" si="382"/>
        <v>0</v>
      </c>
    </row>
    <row r="8177" spans="2:4" x14ac:dyDescent="0.25">
      <c r="B8177">
        <f t="shared" ca="1" si="383"/>
        <v>44764.521633153716</v>
      </c>
      <c r="C8177">
        <f t="shared" ca="1" si="381"/>
        <v>0</v>
      </c>
      <c r="D8177">
        <f t="shared" ca="1" si="382"/>
        <v>4764.5216331537158</v>
      </c>
    </row>
    <row r="8178" spans="2:4" x14ac:dyDescent="0.25">
      <c r="B8178">
        <f t="shared" ca="1" si="383"/>
        <v>44188.854242030087</v>
      </c>
      <c r="C8178">
        <f t="shared" ca="1" si="381"/>
        <v>0</v>
      </c>
      <c r="D8178">
        <f t="shared" ca="1" si="382"/>
        <v>4188.8542420300873</v>
      </c>
    </row>
    <row r="8179" spans="2:4" x14ac:dyDescent="0.25">
      <c r="B8179">
        <f t="shared" ca="1" si="383"/>
        <v>43869.547126485297</v>
      </c>
      <c r="C8179">
        <f t="shared" ca="1" si="381"/>
        <v>0</v>
      </c>
      <c r="D8179">
        <f t="shared" ca="1" si="382"/>
        <v>3869.5471264852968</v>
      </c>
    </row>
    <row r="8180" spans="2:4" x14ac:dyDescent="0.25">
      <c r="B8180">
        <f t="shared" ca="1" si="383"/>
        <v>53825.843297374697</v>
      </c>
      <c r="C8180">
        <f t="shared" ca="1" si="381"/>
        <v>0</v>
      </c>
      <c r="D8180">
        <f t="shared" ca="1" si="382"/>
        <v>13825.843297374697</v>
      </c>
    </row>
    <row r="8181" spans="2:4" x14ac:dyDescent="0.25">
      <c r="B8181">
        <f t="shared" ca="1" si="383"/>
        <v>42595.765908823152</v>
      </c>
      <c r="C8181">
        <f t="shared" ca="1" si="381"/>
        <v>0</v>
      </c>
      <c r="D8181">
        <f t="shared" ca="1" si="382"/>
        <v>2595.7659088231521</v>
      </c>
    </row>
    <row r="8182" spans="2:4" x14ac:dyDescent="0.25">
      <c r="B8182">
        <f t="shared" ca="1" si="383"/>
        <v>41560.238405756347</v>
      </c>
      <c r="C8182">
        <f t="shared" ca="1" si="381"/>
        <v>0</v>
      </c>
      <c r="D8182">
        <f t="shared" ca="1" si="382"/>
        <v>1560.2384057563468</v>
      </c>
    </row>
    <row r="8183" spans="2:4" x14ac:dyDescent="0.25">
      <c r="B8183">
        <f t="shared" ca="1" si="383"/>
        <v>45290.105430503711</v>
      </c>
      <c r="C8183">
        <f t="shared" ca="1" si="381"/>
        <v>0</v>
      </c>
      <c r="D8183">
        <f t="shared" ca="1" si="382"/>
        <v>5290.1054305037105</v>
      </c>
    </row>
    <row r="8184" spans="2:4" x14ac:dyDescent="0.25">
      <c r="B8184">
        <f t="shared" ca="1" si="383"/>
        <v>40361.292588532691</v>
      </c>
      <c r="C8184">
        <f t="shared" ca="1" si="381"/>
        <v>0</v>
      </c>
      <c r="D8184">
        <f t="shared" ca="1" si="382"/>
        <v>361.2925885326913</v>
      </c>
    </row>
    <row r="8185" spans="2:4" x14ac:dyDescent="0.25">
      <c r="B8185">
        <f t="shared" ca="1" si="383"/>
        <v>42319.001713113816</v>
      </c>
      <c r="C8185">
        <f t="shared" ca="1" si="381"/>
        <v>0</v>
      </c>
      <c r="D8185">
        <f t="shared" ca="1" si="382"/>
        <v>2319.0017131138156</v>
      </c>
    </row>
    <row r="8186" spans="2:4" x14ac:dyDescent="0.25">
      <c r="B8186">
        <f t="shared" ca="1" si="383"/>
        <v>49650.035935888154</v>
      </c>
      <c r="C8186">
        <f t="shared" ca="1" si="381"/>
        <v>0</v>
      </c>
      <c r="D8186">
        <f t="shared" ca="1" si="382"/>
        <v>9650.0359358881542</v>
      </c>
    </row>
    <row r="8187" spans="2:4" x14ac:dyDescent="0.25">
      <c r="B8187">
        <f t="shared" ca="1" si="383"/>
        <v>40196.825323463221</v>
      </c>
      <c r="C8187">
        <f t="shared" ca="1" si="381"/>
        <v>0</v>
      </c>
      <c r="D8187">
        <f t="shared" ca="1" si="382"/>
        <v>196.82532346322114</v>
      </c>
    </row>
    <row r="8188" spans="2:4" x14ac:dyDescent="0.25">
      <c r="B8188">
        <f t="shared" ca="1" si="383"/>
        <v>47200.051023544482</v>
      </c>
      <c r="C8188">
        <f t="shared" ca="1" si="381"/>
        <v>0</v>
      </c>
      <c r="D8188">
        <f t="shared" ca="1" si="382"/>
        <v>7200.0510235444817</v>
      </c>
    </row>
    <row r="8189" spans="2:4" x14ac:dyDescent="0.25">
      <c r="B8189">
        <f t="shared" ca="1" si="383"/>
        <v>40457.586617018191</v>
      </c>
      <c r="C8189">
        <f t="shared" ca="1" si="381"/>
        <v>0</v>
      </c>
      <c r="D8189">
        <f t="shared" ca="1" si="382"/>
        <v>457.58661701819074</v>
      </c>
    </row>
    <row r="8190" spans="2:4" x14ac:dyDescent="0.25">
      <c r="B8190">
        <f t="shared" ca="1" si="383"/>
        <v>46840.077600679899</v>
      </c>
      <c r="C8190">
        <f t="shared" ca="1" si="381"/>
        <v>0</v>
      </c>
      <c r="D8190">
        <f t="shared" ca="1" si="382"/>
        <v>6840.0776006798988</v>
      </c>
    </row>
    <row r="8191" spans="2:4" x14ac:dyDescent="0.25">
      <c r="B8191">
        <f t="shared" ca="1" si="383"/>
        <v>42495.903911800553</v>
      </c>
      <c r="C8191">
        <f t="shared" ca="1" si="381"/>
        <v>0</v>
      </c>
      <c r="D8191">
        <f t="shared" ca="1" si="382"/>
        <v>2495.903911800553</v>
      </c>
    </row>
    <row r="8192" spans="2:4" x14ac:dyDescent="0.25">
      <c r="B8192">
        <f t="shared" ca="1" si="383"/>
        <v>40217.714913821437</v>
      </c>
      <c r="C8192">
        <f t="shared" ca="1" si="381"/>
        <v>0</v>
      </c>
      <c r="D8192">
        <f t="shared" ca="1" si="382"/>
        <v>217.71491382143722</v>
      </c>
    </row>
    <row r="8193" spans="2:4" x14ac:dyDescent="0.25">
      <c r="B8193">
        <f t="shared" ca="1" si="383"/>
        <v>45006.40597904483</v>
      </c>
      <c r="C8193">
        <f t="shared" ca="1" si="381"/>
        <v>0</v>
      </c>
      <c r="D8193">
        <f t="shared" ca="1" si="382"/>
        <v>5006.40597904483</v>
      </c>
    </row>
    <row r="8194" spans="2:4" x14ac:dyDescent="0.25">
      <c r="B8194">
        <f t="shared" ca="1" si="383"/>
        <v>44226.799717445698</v>
      </c>
      <c r="C8194">
        <f t="shared" ca="1" si="381"/>
        <v>0</v>
      </c>
      <c r="D8194">
        <f t="shared" ca="1" si="382"/>
        <v>4226.7997174456978</v>
      </c>
    </row>
    <row r="8195" spans="2:4" x14ac:dyDescent="0.25">
      <c r="B8195">
        <f t="shared" ca="1" si="383"/>
        <v>47693.589155693167</v>
      </c>
      <c r="C8195">
        <f t="shared" ca="1" si="381"/>
        <v>0</v>
      </c>
      <c r="D8195">
        <f t="shared" ca="1" si="382"/>
        <v>7693.5891556931674</v>
      </c>
    </row>
    <row r="8196" spans="2:4" x14ac:dyDescent="0.25">
      <c r="B8196">
        <f t="shared" ca="1" si="383"/>
        <v>48433.0596389083</v>
      </c>
      <c r="C8196">
        <f t="shared" ca="1" si="381"/>
        <v>0</v>
      </c>
      <c r="D8196">
        <f t="shared" ca="1" si="382"/>
        <v>8433.0596389083003</v>
      </c>
    </row>
    <row r="8197" spans="2:4" x14ac:dyDescent="0.25">
      <c r="B8197">
        <f t="shared" ca="1" si="383"/>
        <v>52969.980511108937</v>
      </c>
      <c r="C8197">
        <f t="shared" ca="1" si="381"/>
        <v>0</v>
      </c>
      <c r="D8197">
        <f t="shared" ca="1" si="382"/>
        <v>12969.980511108937</v>
      </c>
    </row>
    <row r="8198" spans="2:4" x14ac:dyDescent="0.25">
      <c r="B8198">
        <f t="shared" ca="1" si="383"/>
        <v>58140.900605450828</v>
      </c>
      <c r="C8198">
        <f t="shared" ca="1" si="381"/>
        <v>0</v>
      </c>
      <c r="D8198">
        <f t="shared" ca="1" si="382"/>
        <v>18140.900605450828</v>
      </c>
    </row>
    <row r="8199" spans="2:4" x14ac:dyDescent="0.25">
      <c r="B8199">
        <f t="shared" ca="1" si="383"/>
        <v>41320.323334630186</v>
      </c>
      <c r="C8199">
        <f t="shared" ca="1" si="381"/>
        <v>0</v>
      </c>
      <c r="D8199">
        <f t="shared" ca="1" si="382"/>
        <v>1320.3233346301859</v>
      </c>
    </row>
    <row r="8200" spans="2:4" x14ac:dyDescent="0.25">
      <c r="B8200">
        <f t="shared" ca="1" si="383"/>
        <v>35010.414665036194</v>
      </c>
      <c r="C8200">
        <f t="shared" ca="1" si="381"/>
        <v>4989.5853349638055</v>
      </c>
      <c r="D8200">
        <f t="shared" ca="1" si="382"/>
        <v>0</v>
      </c>
    </row>
    <row r="8201" spans="2:4" x14ac:dyDescent="0.25">
      <c r="B8201">
        <f t="shared" ca="1" si="383"/>
        <v>43945.846914732851</v>
      </c>
      <c r="C8201">
        <f t="shared" ca="1" si="381"/>
        <v>0</v>
      </c>
      <c r="D8201">
        <f t="shared" ca="1" si="382"/>
        <v>3945.8469147328506</v>
      </c>
    </row>
    <row r="8202" spans="2:4" x14ac:dyDescent="0.25">
      <c r="B8202">
        <f t="shared" ca="1" si="383"/>
        <v>51388.625814211053</v>
      </c>
      <c r="C8202">
        <f t="shared" ca="1" si="381"/>
        <v>0</v>
      </c>
      <c r="D8202">
        <f t="shared" ca="1" si="382"/>
        <v>11388.625814211053</v>
      </c>
    </row>
    <row r="8203" spans="2:4" x14ac:dyDescent="0.25">
      <c r="B8203">
        <f t="shared" ca="1" si="383"/>
        <v>40358.669175479547</v>
      </c>
      <c r="C8203">
        <f t="shared" ca="1" si="381"/>
        <v>0</v>
      </c>
      <c r="D8203">
        <f t="shared" ca="1" si="382"/>
        <v>358.66917547954654</v>
      </c>
    </row>
    <row r="8204" spans="2:4" x14ac:dyDescent="0.25">
      <c r="B8204">
        <f t="shared" ca="1" si="383"/>
        <v>47425.380829695503</v>
      </c>
      <c r="C8204">
        <f t="shared" ref="C8204:C8267" ca="1" si="384">IF(MAX($B$2-B8204)&lt;0,0,$B$2-B8204)</f>
        <v>0</v>
      </c>
      <c r="D8204">
        <f t="shared" ref="D8204:D8267" ca="1" si="385">IF(MAX(B8204-$B$2)&lt;0,0,B8204-$B$2)</f>
        <v>7425.3808296955031</v>
      </c>
    </row>
    <row r="8205" spans="2:4" x14ac:dyDescent="0.25">
      <c r="B8205">
        <f t="shared" ref="B8205:B8268" ca="1" si="386">$B$1*EXP((($B$4-($B$3^2)/2)*$B$5+$B$3*SQRT($B$5)*NORMSINV(RAND())))</f>
        <v>46655.268798644094</v>
      </c>
      <c r="C8205">
        <f t="shared" ca="1" si="384"/>
        <v>0</v>
      </c>
      <c r="D8205">
        <f t="shared" ca="1" si="385"/>
        <v>6655.2687986440942</v>
      </c>
    </row>
    <row r="8206" spans="2:4" x14ac:dyDescent="0.25">
      <c r="B8206">
        <f t="shared" ca="1" si="386"/>
        <v>49435.740352714456</v>
      </c>
      <c r="C8206">
        <f t="shared" ca="1" si="384"/>
        <v>0</v>
      </c>
      <c r="D8206">
        <f t="shared" ca="1" si="385"/>
        <v>9435.7403527144561</v>
      </c>
    </row>
    <row r="8207" spans="2:4" x14ac:dyDescent="0.25">
      <c r="B8207">
        <f t="shared" ca="1" si="386"/>
        <v>44444.543440151174</v>
      </c>
      <c r="C8207">
        <f t="shared" ca="1" si="384"/>
        <v>0</v>
      </c>
      <c r="D8207">
        <f t="shared" ca="1" si="385"/>
        <v>4444.5434401511739</v>
      </c>
    </row>
    <row r="8208" spans="2:4" x14ac:dyDescent="0.25">
      <c r="B8208">
        <f t="shared" ca="1" si="386"/>
        <v>45635.007538570964</v>
      </c>
      <c r="C8208">
        <f t="shared" ca="1" si="384"/>
        <v>0</v>
      </c>
      <c r="D8208">
        <f t="shared" ca="1" si="385"/>
        <v>5635.0075385709642</v>
      </c>
    </row>
    <row r="8209" spans="2:4" x14ac:dyDescent="0.25">
      <c r="B8209">
        <f t="shared" ca="1" si="386"/>
        <v>48389.211156107071</v>
      </c>
      <c r="C8209">
        <f t="shared" ca="1" si="384"/>
        <v>0</v>
      </c>
      <c r="D8209">
        <f t="shared" ca="1" si="385"/>
        <v>8389.2111561070706</v>
      </c>
    </row>
    <row r="8210" spans="2:4" x14ac:dyDescent="0.25">
      <c r="B8210">
        <f t="shared" ca="1" si="386"/>
        <v>37043.564385676771</v>
      </c>
      <c r="C8210">
        <f t="shared" ca="1" si="384"/>
        <v>2956.4356143232289</v>
      </c>
      <c r="D8210">
        <f t="shared" ca="1" si="385"/>
        <v>0</v>
      </c>
    </row>
    <row r="8211" spans="2:4" x14ac:dyDescent="0.25">
      <c r="B8211">
        <f t="shared" ca="1" si="386"/>
        <v>48706.742727218843</v>
      </c>
      <c r="C8211">
        <f t="shared" ca="1" si="384"/>
        <v>0</v>
      </c>
      <c r="D8211">
        <f t="shared" ca="1" si="385"/>
        <v>8706.7427272188434</v>
      </c>
    </row>
    <row r="8212" spans="2:4" x14ac:dyDescent="0.25">
      <c r="B8212">
        <f t="shared" ca="1" si="386"/>
        <v>45585.069337637527</v>
      </c>
      <c r="C8212">
        <f t="shared" ca="1" si="384"/>
        <v>0</v>
      </c>
      <c r="D8212">
        <f t="shared" ca="1" si="385"/>
        <v>5585.0693376375275</v>
      </c>
    </row>
    <row r="8213" spans="2:4" x14ac:dyDescent="0.25">
      <c r="B8213">
        <f t="shared" ca="1" si="386"/>
        <v>43030.495967043877</v>
      </c>
      <c r="C8213">
        <f t="shared" ca="1" si="384"/>
        <v>0</v>
      </c>
      <c r="D8213">
        <f t="shared" ca="1" si="385"/>
        <v>3030.4959670438766</v>
      </c>
    </row>
    <row r="8214" spans="2:4" x14ac:dyDescent="0.25">
      <c r="B8214">
        <f t="shared" ca="1" si="386"/>
        <v>44451.009259452039</v>
      </c>
      <c r="C8214">
        <f t="shared" ca="1" si="384"/>
        <v>0</v>
      </c>
      <c r="D8214">
        <f t="shared" ca="1" si="385"/>
        <v>4451.0092594520393</v>
      </c>
    </row>
    <row r="8215" spans="2:4" x14ac:dyDescent="0.25">
      <c r="B8215">
        <f t="shared" ca="1" si="386"/>
        <v>43570.801287446535</v>
      </c>
      <c r="C8215">
        <f t="shared" ca="1" si="384"/>
        <v>0</v>
      </c>
      <c r="D8215">
        <f t="shared" ca="1" si="385"/>
        <v>3570.8012874465348</v>
      </c>
    </row>
    <row r="8216" spans="2:4" x14ac:dyDescent="0.25">
      <c r="B8216">
        <f t="shared" ca="1" si="386"/>
        <v>36541.98710530164</v>
      </c>
      <c r="C8216">
        <f t="shared" ca="1" si="384"/>
        <v>3458.0128946983605</v>
      </c>
      <c r="D8216">
        <f t="shared" ca="1" si="385"/>
        <v>0</v>
      </c>
    </row>
    <row r="8217" spans="2:4" x14ac:dyDescent="0.25">
      <c r="B8217">
        <f t="shared" ca="1" si="386"/>
        <v>48694.107938599358</v>
      </c>
      <c r="C8217">
        <f t="shared" ca="1" si="384"/>
        <v>0</v>
      </c>
      <c r="D8217">
        <f t="shared" ca="1" si="385"/>
        <v>8694.107938599358</v>
      </c>
    </row>
    <row r="8218" spans="2:4" x14ac:dyDescent="0.25">
      <c r="B8218">
        <f t="shared" ca="1" si="386"/>
        <v>45520.666977880021</v>
      </c>
      <c r="C8218">
        <f t="shared" ca="1" si="384"/>
        <v>0</v>
      </c>
      <c r="D8218">
        <f t="shared" ca="1" si="385"/>
        <v>5520.6669778800206</v>
      </c>
    </row>
    <row r="8219" spans="2:4" x14ac:dyDescent="0.25">
      <c r="B8219">
        <f t="shared" ca="1" si="386"/>
        <v>43741.117820353771</v>
      </c>
      <c r="C8219">
        <f t="shared" ca="1" si="384"/>
        <v>0</v>
      </c>
      <c r="D8219">
        <f t="shared" ca="1" si="385"/>
        <v>3741.1178203537711</v>
      </c>
    </row>
    <row r="8220" spans="2:4" x14ac:dyDescent="0.25">
      <c r="B8220">
        <f t="shared" ca="1" si="386"/>
        <v>53301.969653419757</v>
      </c>
      <c r="C8220">
        <f t="shared" ca="1" si="384"/>
        <v>0</v>
      </c>
      <c r="D8220">
        <f t="shared" ca="1" si="385"/>
        <v>13301.969653419757</v>
      </c>
    </row>
    <row r="8221" spans="2:4" x14ac:dyDescent="0.25">
      <c r="B8221">
        <f t="shared" ca="1" si="386"/>
        <v>42033.138884058113</v>
      </c>
      <c r="C8221">
        <f t="shared" ca="1" si="384"/>
        <v>0</v>
      </c>
      <c r="D8221">
        <f t="shared" ca="1" si="385"/>
        <v>2033.138884058113</v>
      </c>
    </row>
    <row r="8222" spans="2:4" x14ac:dyDescent="0.25">
      <c r="B8222">
        <f t="shared" ca="1" si="386"/>
        <v>58662.634785306691</v>
      </c>
      <c r="C8222">
        <f t="shared" ca="1" si="384"/>
        <v>0</v>
      </c>
      <c r="D8222">
        <f t="shared" ca="1" si="385"/>
        <v>18662.634785306691</v>
      </c>
    </row>
    <row r="8223" spans="2:4" x14ac:dyDescent="0.25">
      <c r="B8223">
        <f t="shared" ca="1" si="386"/>
        <v>47618.18209882603</v>
      </c>
      <c r="C8223">
        <f t="shared" ca="1" si="384"/>
        <v>0</v>
      </c>
      <c r="D8223">
        <f t="shared" ca="1" si="385"/>
        <v>7618.1820988260297</v>
      </c>
    </row>
    <row r="8224" spans="2:4" x14ac:dyDescent="0.25">
      <c r="B8224">
        <f t="shared" ca="1" si="386"/>
        <v>35692.30808084493</v>
      </c>
      <c r="C8224">
        <f t="shared" ca="1" si="384"/>
        <v>4307.6919191550696</v>
      </c>
      <c r="D8224">
        <f t="shared" ca="1" si="385"/>
        <v>0</v>
      </c>
    </row>
    <row r="8225" spans="2:4" x14ac:dyDescent="0.25">
      <c r="B8225">
        <f t="shared" ca="1" si="386"/>
        <v>49739.670813015706</v>
      </c>
      <c r="C8225">
        <f t="shared" ca="1" si="384"/>
        <v>0</v>
      </c>
      <c r="D8225">
        <f t="shared" ca="1" si="385"/>
        <v>9739.6708130157058</v>
      </c>
    </row>
    <row r="8226" spans="2:4" x14ac:dyDescent="0.25">
      <c r="B8226">
        <f t="shared" ca="1" si="386"/>
        <v>54260.276411546656</v>
      </c>
      <c r="C8226">
        <f t="shared" ca="1" si="384"/>
        <v>0</v>
      </c>
      <c r="D8226">
        <f t="shared" ca="1" si="385"/>
        <v>14260.276411546656</v>
      </c>
    </row>
    <row r="8227" spans="2:4" x14ac:dyDescent="0.25">
      <c r="B8227">
        <f t="shared" ca="1" si="386"/>
        <v>48149.198791006776</v>
      </c>
      <c r="C8227">
        <f t="shared" ca="1" si="384"/>
        <v>0</v>
      </c>
      <c r="D8227">
        <f t="shared" ca="1" si="385"/>
        <v>8149.1987910067764</v>
      </c>
    </row>
    <row r="8228" spans="2:4" x14ac:dyDescent="0.25">
      <c r="B8228">
        <f t="shared" ca="1" si="386"/>
        <v>46931.952776871105</v>
      </c>
      <c r="C8228">
        <f t="shared" ca="1" si="384"/>
        <v>0</v>
      </c>
      <c r="D8228">
        <f t="shared" ca="1" si="385"/>
        <v>6931.952776871105</v>
      </c>
    </row>
    <row r="8229" spans="2:4" x14ac:dyDescent="0.25">
      <c r="B8229">
        <f t="shared" ca="1" si="386"/>
        <v>42602.365636039067</v>
      </c>
      <c r="C8229">
        <f t="shared" ca="1" si="384"/>
        <v>0</v>
      </c>
      <c r="D8229">
        <f t="shared" ca="1" si="385"/>
        <v>2602.3656360390669</v>
      </c>
    </row>
    <row r="8230" spans="2:4" x14ac:dyDescent="0.25">
      <c r="B8230">
        <f t="shared" ca="1" si="386"/>
        <v>40744.821119845954</v>
      </c>
      <c r="C8230">
        <f t="shared" ca="1" si="384"/>
        <v>0</v>
      </c>
      <c r="D8230">
        <f t="shared" ca="1" si="385"/>
        <v>744.82111984595394</v>
      </c>
    </row>
    <row r="8231" spans="2:4" x14ac:dyDescent="0.25">
      <c r="B8231">
        <f t="shared" ca="1" si="386"/>
        <v>44708.001534921052</v>
      </c>
      <c r="C8231">
        <f t="shared" ca="1" si="384"/>
        <v>0</v>
      </c>
      <c r="D8231">
        <f t="shared" ca="1" si="385"/>
        <v>4708.0015349210516</v>
      </c>
    </row>
    <row r="8232" spans="2:4" x14ac:dyDescent="0.25">
      <c r="B8232">
        <f t="shared" ca="1" si="386"/>
        <v>47807.722812203639</v>
      </c>
      <c r="C8232">
        <f t="shared" ca="1" si="384"/>
        <v>0</v>
      </c>
      <c r="D8232">
        <f t="shared" ca="1" si="385"/>
        <v>7807.7228122036395</v>
      </c>
    </row>
    <row r="8233" spans="2:4" x14ac:dyDescent="0.25">
      <c r="B8233">
        <f t="shared" ca="1" si="386"/>
        <v>43581.452758292515</v>
      </c>
      <c r="C8233">
        <f t="shared" ca="1" si="384"/>
        <v>0</v>
      </c>
      <c r="D8233">
        <f t="shared" ca="1" si="385"/>
        <v>3581.4527582925148</v>
      </c>
    </row>
    <row r="8234" spans="2:4" x14ac:dyDescent="0.25">
      <c r="B8234">
        <f t="shared" ca="1" si="386"/>
        <v>46417.0861675087</v>
      </c>
      <c r="C8234">
        <f t="shared" ca="1" si="384"/>
        <v>0</v>
      </c>
      <c r="D8234">
        <f t="shared" ca="1" si="385"/>
        <v>6417.0861675086999</v>
      </c>
    </row>
    <row r="8235" spans="2:4" x14ac:dyDescent="0.25">
      <c r="B8235">
        <f t="shared" ca="1" si="386"/>
        <v>47754.738016713643</v>
      </c>
      <c r="C8235">
        <f t="shared" ca="1" si="384"/>
        <v>0</v>
      </c>
      <c r="D8235">
        <f t="shared" ca="1" si="385"/>
        <v>7754.7380167136434</v>
      </c>
    </row>
    <row r="8236" spans="2:4" x14ac:dyDescent="0.25">
      <c r="B8236">
        <f t="shared" ca="1" si="386"/>
        <v>44514.55807371188</v>
      </c>
      <c r="C8236">
        <f t="shared" ca="1" si="384"/>
        <v>0</v>
      </c>
      <c r="D8236">
        <f t="shared" ca="1" si="385"/>
        <v>4514.5580737118798</v>
      </c>
    </row>
    <row r="8237" spans="2:4" x14ac:dyDescent="0.25">
      <c r="B8237">
        <f t="shared" ca="1" si="386"/>
        <v>44738.816293758209</v>
      </c>
      <c r="C8237">
        <f t="shared" ca="1" si="384"/>
        <v>0</v>
      </c>
      <c r="D8237">
        <f t="shared" ca="1" si="385"/>
        <v>4738.8162937582092</v>
      </c>
    </row>
    <row r="8238" spans="2:4" x14ac:dyDescent="0.25">
      <c r="B8238">
        <f t="shared" ca="1" si="386"/>
        <v>40008.057846255928</v>
      </c>
      <c r="C8238">
        <f t="shared" ca="1" si="384"/>
        <v>0</v>
      </c>
      <c r="D8238">
        <f t="shared" ca="1" si="385"/>
        <v>8.0578462559278705</v>
      </c>
    </row>
    <row r="8239" spans="2:4" x14ac:dyDescent="0.25">
      <c r="B8239">
        <f t="shared" ca="1" si="386"/>
        <v>41589.246320892154</v>
      </c>
      <c r="C8239">
        <f t="shared" ca="1" si="384"/>
        <v>0</v>
      </c>
      <c r="D8239">
        <f t="shared" ca="1" si="385"/>
        <v>1589.2463208921545</v>
      </c>
    </row>
    <row r="8240" spans="2:4" x14ac:dyDescent="0.25">
      <c r="B8240">
        <f t="shared" ca="1" si="386"/>
        <v>39150.440889907302</v>
      </c>
      <c r="C8240">
        <f t="shared" ca="1" si="384"/>
        <v>849.55911009269767</v>
      </c>
      <c r="D8240">
        <f t="shared" ca="1" si="385"/>
        <v>0</v>
      </c>
    </row>
    <row r="8241" spans="2:4" x14ac:dyDescent="0.25">
      <c r="B8241">
        <f t="shared" ca="1" si="386"/>
        <v>42019.709433520351</v>
      </c>
      <c r="C8241">
        <f t="shared" ca="1" si="384"/>
        <v>0</v>
      </c>
      <c r="D8241">
        <f t="shared" ca="1" si="385"/>
        <v>2019.709433520351</v>
      </c>
    </row>
    <row r="8242" spans="2:4" x14ac:dyDescent="0.25">
      <c r="B8242">
        <f t="shared" ca="1" si="386"/>
        <v>40220.011701665673</v>
      </c>
      <c r="C8242">
        <f t="shared" ca="1" si="384"/>
        <v>0</v>
      </c>
      <c r="D8242">
        <f t="shared" ca="1" si="385"/>
        <v>220.01170166567317</v>
      </c>
    </row>
    <row r="8243" spans="2:4" x14ac:dyDescent="0.25">
      <c r="B8243">
        <f t="shared" ca="1" si="386"/>
        <v>46682.731588164046</v>
      </c>
      <c r="C8243">
        <f t="shared" ca="1" si="384"/>
        <v>0</v>
      </c>
      <c r="D8243">
        <f t="shared" ca="1" si="385"/>
        <v>6682.7315881640461</v>
      </c>
    </row>
    <row r="8244" spans="2:4" x14ac:dyDescent="0.25">
      <c r="B8244">
        <f t="shared" ca="1" si="386"/>
        <v>41886.05848993313</v>
      </c>
      <c r="C8244">
        <f t="shared" ca="1" si="384"/>
        <v>0</v>
      </c>
      <c r="D8244">
        <f t="shared" ca="1" si="385"/>
        <v>1886.0584899331297</v>
      </c>
    </row>
    <row r="8245" spans="2:4" x14ac:dyDescent="0.25">
      <c r="B8245">
        <f t="shared" ca="1" si="386"/>
        <v>53913.163043743101</v>
      </c>
      <c r="C8245">
        <f t="shared" ca="1" si="384"/>
        <v>0</v>
      </c>
      <c r="D8245">
        <f t="shared" ca="1" si="385"/>
        <v>13913.163043743101</v>
      </c>
    </row>
    <row r="8246" spans="2:4" x14ac:dyDescent="0.25">
      <c r="B8246">
        <f t="shared" ca="1" si="386"/>
        <v>39044.035250724039</v>
      </c>
      <c r="C8246">
        <f t="shared" ca="1" si="384"/>
        <v>955.96474927596137</v>
      </c>
      <c r="D8246">
        <f t="shared" ca="1" si="385"/>
        <v>0</v>
      </c>
    </row>
    <row r="8247" spans="2:4" x14ac:dyDescent="0.25">
      <c r="B8247">
        <f t="shared" ca="1" si="386"/>
        <v>42618.455283113122</v>
      </c>
      <c r="C8247">
        <f t="shared" ca="1" si="384"/>
        <v>0</v>
      </c>
      <c r="D8247">
        <f t="shared" ca="1" si="385"/>
        <v>2618.4552831131223</v>
      </c>
    </row>
    <row r="8248" spans="2:4" x14ac:dyDescent="0.25">
      <c r="B8248">
        <f t="shared" ca="1" si="386"/>
        <v>42729.777348319956</v>
      </c>
      <c r="C8248">
        <f t="shared" ca="1" si="384"/>
        <v>0</v>
      </c>
      <c r="D8248">
        <f t="shared" ca="1" si="385"/>
        <v>2729.7773483199562</v>
      </c>
    </row>
    <row r="8249" spans="2:4" x14ac:dyDescent="0.25">
      <c r="B8249">
        <f t="shared" ca="1" si="386"/>
        <v>42676.207876035987</v>
      </c>
      <c r="C8249">
        <f t="shared" ca="1" si="384"/>
        <v>0</v>
      </c>
      <c r="D8249">
        <f t="shared" ca="1" si="385"/>
        <v>2676.2078760359873</v>
      </c>
    </row>
    <row r="8250" spans="2:4" x14ac:dyDescent="0.25">
      <c r="B8250">
        <f t="shared" ca="1" si="386"/>
        <v>47612.436006906784</v>
      </c>
      <c r="C8250">
        <f t="shared" ca="1" si="384"/>
        <v>0</v>
      </c>
      <c r="D8250">
        <f t="shared" ca="1" si="385"/>
        <v>7612.4360069067843</v>
      </c>
    </row>
    <row r="8251" spans="2:4" x14ac:dyDescent="0.25">
      <c r="B8251">
        <f t="shared" ca="1" si="386"/>
        <v>50771.281106452552</v>
      </c>
      <c r="C8251">
        <f t="shared" ca="1" si="384"/>
        <v>0</v>
      </c>
      <c r="D8251">
        <f t="shared" ca="1" si="385"/>
        <v>10771.281106452552</v>
      </c>
    </row>
    <row r="8252" spans="2:4" x14ac:dyDescent="0.25">
      <c r="B8252">
        <f t="shared" ca="1" si="386"/>
        <v>42908.526785827686</v>
      </c>
      <c r="C8252">
        <f t="shared" ca="1" si="384"/>
        <v>0</v>
      </c>
      <c r="D8252">
        <f t="shared" ca="1" si="385"/>
        <v>2908.5267858276857</v>
      </c>
    </row>
    <row r="8253" spans="2:4" x14ac:dyDescent="0.25">
      <c r="B8253">
        <f t="shared" ca="1" si="386"/>
        <v>49254.968256586573</v>
      </c>
      <c r="C8253">
        <f t="shared" ca="1" si="384"/>
        <v>0</v>
      </c>
      <c r="D8253">
        <f t="shared" ca="1" si="385"/>
        <v>9254.9682565865733</v>
      </c>
    </row>
    <row r="8254" spans="2:4" x14ac:dyDescent="0.25">
      <c r="B8254">
        <f t="shared" ca="1" si="386"/>
        <v>48398.951037745122</v>
      </c>
      <c r="C8254">
        <f t="shared" ca="1" si="384"/>
        <v>0</v>
      </c>
      <c r="D8254">
        <f t="shared" ca="1" si="385"/>
        <v>8398.9510377451224</v>
      </c>
    </row>
    <row r="8255" spans="2:4" x14ac:dyDescent="0.25">
      <c r="B8255">
        <f t="shared" ca="1" si="386"/>
        <v>43311.987068929964</v>
      </c>
      <c r="C8255">
        <f t="shared" ca="1" si="384"/>
        <v>0</v>
      </c>
      <c r="D8255">
        <f t="shared" ca="1" si="385"/>
        <v>3311.9870689299642</v>
      </c>
    </row>
    <row r="8256" spans="2:4" x14ac:dyDescent="0.25">
      <c r="B8256">
        <f t="shared" ca="1" si="386"/>
        <v>50011.132641184529</v>
      </c>
      <c r="C8256">
        <f t="shared" ca="1" si="384"/>
        <v>0</v>
      </c>
      <c r="D8256">
        <f t="shared" ca="1" si="385"/>
        <v>10011.132641184529</v>
      </c>
    </row>
    <row r="8257" spans="2:4" x14ac:dyDescent="0.25">
      <c r="B8257">
        <f t="shared" ca="1" si="386"/>
        <v>46980.257045952894</v>
      </c>
      <c r="C8257">
        <f t="shared" ca="1" si="384"/>
        <v>0</v>
      </c>
      <c r="D8257">
        <f t="shared" ca="1" si="385"/>
        <v>6980.2570459528943</v>
      </c>
    </row>
    <row r="8258" spans="2:4" x14ac:dyDescent="0.25">
      <c r="B8258">
        <f t="shared" ca="1" si="386"/>
        <v>38379.154999028484</v>
      </c>
      <c r="C8258">
        <f t="shared" ca="1" si="384"/>
        <v>1620.8450009715161</v>
      </c>
      <c r="D8258">
        <f t="shared" ca="1" si="385"/>
        <v>0</v>
      </c>
    </row>
    <row r="8259" spans="2:4" x14ac:dyDescent="0.25">
      <c r="B8259">
        <f t="shared" ca="1" si="386"/>
        <v>46134.853304309741</v>
      </c>
      <c r="C8259">
        <f t="shared" ca="1" si="384"/>
        <v>0</v>
      </c>
      <c r="D8259">
        <f t="shared" ca="1" si="385"/>
        <v>6134.8533043097414</v>
      </c>
    </row>
    <row r="8260" spans="2:4" x14ac:dyDescent="0.25">
      <c r="B8260">
        <f t="shared" ca="1" si="386"/>
        <v>49389.748462324838</v>
      </c>
      <c r="C8260">
        <f t="shared" ca="1" si="384"/>
        <v>0</v>
      </c>
      <c r="D8260">
        <f t="shared" ca="1" si="385"/>
        <v>9389.7484623248383</v>
      </c>
    </row>
    <row r="8261" spans="2:4" x14ac:dyDescent="0.25">
      <c r="B8261">
        <f t="shared" ca="1" si="386"/>
        <v>41676.51741660892</v>
      </c>
      <c r="C8261">
        <f t="shared" ca="1" si="384"/>
        <v>0</v>
      </c>
      <c r="D8261">
        <f t="shared" ca="1" si="385"/>
        <v>1676.51741660892</v>
      </c>
    </row>
    <row r="8262" spans="2:4" x14ac:dyDescent="0.25">
      <c r="B8262">
        <f t="shared" ca="1" si="386"/>
        <v>45809.351420844345</v>
      </c>
      <c r="C8262">
        <f t="shared" ca="1" si="384"/>
        <v>0</v>
      </c>
      <c r="D8262">
        <f t="shared" ca="1" si="385"/>
        <v>5809.3514208443448</v>
      </c>
    </row>
    <row r="8263" spans="2:4" x14ac:dyDescent="0.25">
      <c r="B8263">
        <f t="shared" ca="1" si="386"/>
        <v>46846.152611659636</v>
      </c>
      <c r="C8263">
        <f t="shared" ca="1" si="384"/>
        <v>0</v>
      </c>
      <c r="D8263">
        <f t="shared" ca="1" si="385"/>
        <v>6846.152611659636</v>
      </c>
    </row>
    <row r="8264" spans="2:4" x14ac:dyDescent="0.25">
      <c r="B8264">
        <f t="shared" ca="1" si="386"/>
        <v>41017.326733513532</v>
      </c>
      <c r="C8264">
        <f t="shared" ca="1" si="384"/>
        <v>0</v>
      </c>
      <c r="D8264">
        <f t="shared" ca="1" si="385"/>
        <v>1017.3267335135315</v>
      </c>
    </row>
    <row r="8265" spans="2:4" x14ac:dyDescent="0.25">
      <c r="B8265">
        <f t="shared" ca="1" si="386"/>
        <v>42104.40667701402</v>
      </c>
      <c r="C8265">
        <f t="shared" ca="1" si="384"/>
        <v>0</v>
      </c>
      <c r="D8265">
        <f t="shared" ca="1" si="385"/>
        <v>2104.4066770140198</v>
      </c>
    </row>
    <row r="8266" spans="2:4" x14ac:dyDescent="0.25">
      <c r="B8266">
        <f t="shared" ca="1" si="386"/>
        <v>36075.658947048709</v>
      </c>
      <c r="C8266">
        <f t="shared" ca="1" si="384"/>
        <v>3924.3410529512912</v>
      </c>
      <c r="D8266">
        <f t="shared" ca="1" si="385"/>
        <v>0</v>
      </c>
    </row>
    <row r="8267" spans="2:4" x14ac:dyDescent="0.25">
      <c r="B8267">
        <f t="shared" ca="1" si="386"/>
        <v>51965.766371927079</v>
      </c>
      <c r="C8267">
        <f t="shared" ca="1" si="384"/>
        <v>0</v>
      </c>
      <c r="D8267">
        <f t="shared" ca="1" si="385"/>
        <v>11965.766371927079</v>
      </c>
    </row>
    <row r="8268" spans="2:4" x14ac:dyDescent="0.25">
      <c r="B8268">
        <f t="shared" ca="1" si="386"/>
        <v>46973.971886127219</v>
      </c>
      <c r="C8268">
        <f t="shared" ref="C8268:C8331" ca="1" si="387">IF(MAX($B$2-B8268)&lt;0,0,$B$2-B8268)</f>
        <v>0</v>
      </c>
      <c r="D8268">
        <f t="shared" ref="D8268:D8331" ca="1" si="388">IF(MAX(B8268-$B$2)&lt;0,0,B8268-$B$2)</f>
        <v>6973.9718861272195</v>
      </c>
    </row>
    <row r="8269" spans="2:4" x14ac:dyDescent="0.25">
      <c r="B8269">
        <f t="shared" ref="B8269:B8332" ca="1" si="389">$B$1*EXP((($B$4-($B$3^2)/2)*$B$5+$B$3*SQRT($B$5)*NORMSINV(RAND())))</f>
        <v>42508.38880157582</v>
      </c>
      <c r="C8269">
        <f t="shared" ca="1" si="387"/>
        <v>0</v>
      </c>
      <c r="D8269">
        <f t="shared" ca="1" si="388"/>
        <v>2508.3888015758203</v>
      </c>
    </row>
    <row r="8270" spans="2:4" x14ac:dyDescent="0.25">
      <c r="B8270">
        <f t="shared" ca="1" si="389"/>
        <v>47917.844210518444</v>
      </c>
      <c r="C8270">
        <f t="shared" ca="1" si="387"/>
        <v>0</v>
      </c>
      <c r="D8270">
        <f t="shared" ca="1" si="388"/>
        <v>7917.844210518444</v>
      </c>
    </row>
    <row r="8271" spans="2:4" x14ac:dyDescent="0.25">
      <c r="B8271">
        <f t="shared" ca="1" si="389"/>
        <v>47513.813654972197</v>
      </c>
      <c r="C8271">
        <f t="shared" ca="1" si="387"/>
        <v>0</v>
      </c>
      <c r="D8271">
        <f t="shared" ca="1" si="388"/>
        <v>7513.8136549721967</v>
      </c>
    </row>
    <row r="8272" spans="2:4" x14ac:dyDescent="0.25">
      <c r="B8272">
        <f t="shared" ca="1" si="389"/>
        <v>46523.002475648012</v>
      </c>
      <c r="C8272">
        <f t="shared" ca="1" si="387"/>
        <v>0</v>
      </c>
      <c r="D8272">
        <f t="shared" ca="1" si="388"/>
        <v>6523.0024756480125</v>
      </c>
    </row>
    <row r="8273" spans="2:4" x14ac:dyDescent="0.25">
      <c r="B8273">
        <f t="shared" ca="1" si="389"/>
        <v>43843.258342001791</v>
      </c>
      <c r="C8273">
        <f t="shared" ca="1" si="387"/>
        <v>0</v>
      </c>
      <c r="D8273">
        <f t="shared" ca="1" si="388"/>
        <v>3843.2583420017909</v>
      </c>
    </row>
    <row r="8274" spans="2:4" x14ac:dyDescent="0.25">
      <c r="B8274">
        <f t="shared" ca="1" si="389"/>
        <v>43577.825423481954</v>
      </c>
      <c r="C8274">
        <f t="shared" ca="1" si="387"/>
        <v>0</v>
      </c>
      <c r="D8274">
        <f t="shared" ca="1" si="388"/>
        <v>3577.8254234819542</v>
      </c>
    </row>
    <row r="8275" spans="2:4" x14ac:dyDescent="0.25">
      <c r="B8275">
        <f t="shared" ca="1" si="389"/>
        <v>56584.930788243459</v>
      </c>
      <c r="C8275">
        <f t="shared" ca="1" si="387"/>
        <v>0</v>
      </c>
      <c r="D8275">
        <f t="shared" ca="1" si="388"/>
        <v>16584.930788243459</v>
      </c>
    </row>
    <row r="8276" spans="2:4" x14ac:dyDescent="0.25">
      <c r="B8276">
        <f t="shared" ca="1" si="389"/>
        <v>43850.153464162489</v>
      </c>
      <c r="C8276">
        <f t="shared" ca="1" si="387"/>
        <v>0</v>
      </c>
      <c r="D8276">
        <f t="shared" ca="1" si="388"/>
        <v>3850.1534641624894</v>
      </c>
    </row>
    <row r="8277" spans="2:4" x14ac:dyDescent="0.25">
      <c r="B8277">
        <f t="shared" ca="1" si="389"/>
        <v>43399.384864285261</v>
      </c>
      <c r="C8277">
        <f t="shared" ca="1" si="387"/>
        <v>0</v>
      </c>
      <c r="D8277">
        <f t="shared" ca="1" si="388"/>
        <v>3399.3848642852608</v>
      </c>
    </row>
    <row r="8278" spans="2:4" x14ac:dyDescent="0.25">
      <c r="B8278">
        <f t="shared" ca="1" si="389"/>
        <v>44924.421280408009</v>
      </c>
      <c r="C8278">
        <f t="shared" ca="1" si="387"/>
        <v>0</v>
      </c>
      <c r="D8278">
        <f t="shared" ca="1" si="388"/>
        <v>4924.4212804080089</v>
      </c>
    </row>
    <row r="8279" spans="2:4" x14ac:dyDescent="0.25">
      <c r="B8279">
        <f t="shared" ca="1" si="389"/>
        <v>43405.097313491577</v>
      </c>
      <c r="C8279">
        <f t="shared" ca="1" si="387"/>
        <v>0</v>
      </c>
      <c r="D8279">
        <f t="shared" ca="1" si="388"/>
        <v>3405.0973134915766</v>
      </c>
    </row>
    <row r="8280" spans="2:4" x14ac:dyDescent="0.25">
      <c r="B8280">
        <f t="shared" ca="1" si="389"/>
        <v>46352.465619024711</v>
      </c>
      <c r="C8280">
        <f t="shared" ca="1" si="387"/>
        <v>0</v>
      </c>
      <c r="D8280">
        <f t="shared" ca="1" si="388"/>
        <v>6352.4656190247115</v>
      </c>
    </row>
    <row r="8281" spans="2:4" x14ac:dyDescent="0.25">
      <c r="B8281">
        <f t="shared" ca="1" si="389"/>
        <v>49275.462241443667</v>
      </c>
      <c r="C8281">
        <f t="shared" ca="1" si="387"/>
        <v>0</v>
      </c>
      <c r="D8281">
        <f t="shared" ca="1" si="388"/>
        <v>9275.4622414436672</v>
      </c>
    </row>
    <row r="8282" spans="2:4" x14ac:dyDescent="0.25">
      <c r="B8282">
        <f t="shared" ca="1" si="389"/>
        <v>44079.936507623068</v>
      </c>
      <c r="C8282">
        <f t="shared" ca="1" si="387"/>
        <v>0</v>
      </c>
      <c r="D8282">
        <f t="shared" ca="1" si="388"/>
        <v>4079.9365076230679</v>
      </c>
    </row>
    <row r="8283" spans="2:4" x14ac:dyDescent="0.25">
      <c r="B8283">
        <f t="shared" ca="1" si="389"/>
        <v>38653.691965202161</v>
      </c>
      <c r="C8283">
        <f t="shared" ca="1" si="387"/>
        <v>1346.3080347978394</v>
      </c>
      <c r="D8283">
        <f t="shared" ca="1" si="388"/>
        <v>0</v>
      </c>
    </row>
    <row r="8284" spans="2:4" x14ac:dyDescent="0.25">
      <c r="B8284">
        <f t="shared" ca="1" si="389"/>
        <v>45718.975453390434</v>
      </c>
      <c r="C8284">
        <f t="shared" ca="1" si="387"/>
        <v>0</v>
      </c>
      <c r="D8284">
        <f t="shared" ca="1" si="388"/>
        <v>5718.9754533904343</v>
      </c>
    </row>
    <row r="8285" spans="2:4" x14ac:dyDescent="0.25">
      <c r="B8285">
        <f t="shared" ca="1" si="389"/>
        <v>42932.389833809299</v>
      </c>
      <c r="C8285">
        <f t="shared" ca="1" si="387"/>
        <v>0</v>
      </c>
      <c r="D8285">
        <f t="shared" ca="1" si="388"/>
        <v>2932.3898338092986</v>
      </c>
    </row>
    <row r="8286" spans="2:4" x14ac:dyDescent="0.25">
      <c r="B8286">
        <f t="shared" ca="1" si="389"/>
        <v>38397.219840913182</v>
      </c>
      <c r="C8286">
        <f t="shared" ca="1" si="387"/>
        <v>1602.7801590868185</v>
      </c>
      <c r="D8286">
        <f t="shared" ca="1" si="388"/>
        <v>0</v>
      </c>
    </row>
    <row r="8287" spans="2:4" x14ac:dyDescent="0.25">
      <c r="B8287">
        <f t="shared" ca="1" si="389"/>
        <v>40951.129400878155</v>
      </c>
      <c r="C8287">
        <f t="shared" ca="1" si="387"/>
        <v>0</v>
      </c>
      <c r="D8287">
        <f t="shared" ca="1" si="388"/>
        <v>951.12940087815514</v>
      </c>
    </row>
    <row r="8288" spans="2:4" x14ac:dyDescent="0.25">
      <c r="B8288">
        <f t="shared" ca="1" si="389"/>
        <v>48930.734199261744</v>
      </c>
      <c r="C8288">
        <f t="shared" ca="1" si="387"/>
        <v>0</v>
      </c>
      <c r="D8288">
        <f t="shared" ca="1" si="388"/>
        <v>8930.7341992617439</v>
      </c>
    </row>
    <row r="8289" spans="2:4" x14ac:dyDescent="0.25">
      <c r="B8289">
        <f t="shared" ca="1" si="389"/>
        <v>50376.225317356657</v>
      </c>
      <c r="C8289">
        <f t="shared" ca="1" si="387"/>
        <v>0</v>
      </c>
      <c r="D8289">
        <f t="shared" ca="1" si="388"/>
        <v>10376.225317356657</v>
      </c>
    </row>
    <row r="8290" spans="2:4" x14ac:dyDescent="0.25">
      <c r="B8290">
        <f t="shared" ca="1" si="389"/>
        <v>47657.695701139441</v>
      </c>
      <c r="C8290">
        <f t="shared" ca="1" si="387"/>
        <v>0</v>
      </c>
      <c r="D8290">
        <f t="shared" ca="1" si="388"/>
        <v>7657.6957011394406</v>
      </c>
    </row>
    <row r="8291" spans="2:4" x14ac:dyDescent="0.25">
      <c r="B8291">
        <f t="shared" ca="1" si="389"/>
        <v>46813.72986554708</v>
      </c>
      <c r="C8291">
        <f t="shared" ca="1" si="387"/>
        <v>0</v>
      </c>
      <c r="D8291">
        <f t="shared" ca="1" si="388"/>
        <v>6813.7298655470804</v>
      </c>
    </row>
    <row r="8292" spans="2:4" x14ac:dyDescent="0.25">
      <c r="B8292">
        <f t="shared" ca="1" si="389"/>
        <v>44798.794131626695</v>
      </c>
      <c r="C8292">
        <f t="shared" ca="1" si="387"/>
        <v>0</v>
      </c>
      <c r="D8292">
        <f t="shared" ca="1" si="388"/>
        <v>4798.7941316266952</v>
      </c>
    </row>
    <row r="8293" spans="2:4" x14ac:dyDescent="0.25">
      <c r="B8293">
        <f t="shared" ca="1" si="389"/>
        <v>40690.313586262455</v>
      </c>
      <c r="C8293">
        <f t="shared" ca="1" si="387"/>
        <v>0</v>
      </c>
      <c r="D8293">
        <f t="shared" ca="1" si="388"/>
        <v>690.31358626245492</v>
      </c>
    </row>
    <row r="8294" spans="2:4" x14ac:dyDescent="0.25">
      <c r="B8294">
        <f t="shared" ca="1" si="389"/>
        <v>43301.643993873942</v>
      </c>
      <c r="C8294">
        <f t="shared" ca="1" si="387"/>
        <v>0</v>
      </c>
      <c r="D8294">
        <f t="shared" ca="1" si="388"/>
        <v>3301.6439938739422</v>
      </c>
    </row>
    <row r="8295" spans="2:4" x14ac:dyDescent="0.25">
      <c r="B8295">
        <f t="shared" ca="1" si="389"/>
        <v>53361.432082776962</v>
      </c>
      <c r="C8295">
        <f t="shared" ca="1" si="387"/>
        <v>0</v>
      </c>
      <c r="D8295">
        <f t="shared" ca="1" si="388"/>
        <v>13361.432082776962</v>
      </c>
    </row>
    <row r="8296" spans="2:4" x14ac:dyDescent="0.25">
      <c r="B8296">
        <f t="shared" ca="1" si="389"/>
        <v>41724.852548581424</v>
      </c>
      <c r="C8296">
        <f t="shared" ca="1" si="387"/>
        <v>0</v>
      </c>
      <c r="D8296">
        <f t="shared" ca="1" si="388"/>
        <v>1724.8525485814243</v>
      </c>
    </row>
    <row r="8297" spans="2:4" x14ac:dyDescent="0.25">
      <c r="B8297">
        <f t="shared" ca="1" si="389"/>
        <v>44759.846587034444</v>
      </c>
      <c r="C8297">
        <f t="shared" ca="1" si="387"/>
        <v>0</v>
      </c>
      <c r="D8297">
        <f t="shared" ca="1" si="388"/>
        <v>4759.8465870344444</v>
      </c>
    </row>
    <row r="8298" spans="2:4" x14ac:dyDescent="0.25">
      <c r="B8298">
        <f t="shared" ca="1" si="389"/>
        <v>41286.883706360895</v>
      </c>
      <c r="C8298">
        <f t="shared" ca="1" si="387"/>
        <v>0</v>
      </c>
      <c r="D8298">
        <f t="shared" ca="1" si="388"/>
        <v>1286.8837063608953</v>
      </c>
    </row>
    <row r="8299" spans="2:4" x14ac:dyDescent="0.25">
      <c r="B8299">
        <f t="shared" ca="1" si="389"/>
        <v>51580.845161753146</v>
      </c>
      <c r="C8299">
        <f t="shared" ca="1" si="387"/>
        <v>0</v>
      </c>
      <c r="D8299">
        <f t="shared" ca="1" si="388"/>
        <v>11580.845161753146</v>
      </c>
    </row>
    <row r="8300" spans="2:4" x14ac:dyDescent="0.25">
      <c r="B8300">
        <f t="shared" ca="1" si="389"/>
        <v>41332.314218636806</v>
      </c>
      <c r="C8300">
        <f t="shared" ca="1" si="387"/>
        <v>0</v>
      </c>
      <c r="D8300">
        <f t="shared" ca="1" si="388"/>
        <v>1332.3142186368059</v>
      </c>
    </row>
    <row r="8301" spans="2:4" x14ac:dyDescent="0.25">
      <c r="B8301">
        <f t="shared" ca="1" si="389"/>
        <v>39298.073597531758</v>
      </c>
      <c r="C8301">
        <f t="shared" ca="1" si="387"/>
        <v>701.92640246824158</v>
      </c>
      <c r="D8301">
        <f t="shared" ca="1" si="388"/>
        <v>0</v>
      </c>
    </row>
    <row r="8302" spans="2:4" x14ac:dyDescent="0.25">
      <c r="B8302">
        <f t="shared" ca="1" si="389"/>
        <v>48997.719003615377</v>
      </c>
      <c r="C8302">
        <f t="shared" ca="1" si="387"/>
        <v>0</v>
      </c>
      <c r="D8302">
        <f t="shared" ca="1" si="388"/>
        <v>8997.719003615377</v>
      </c>
    </row>
    <row r="8303" spans="2:4" x14ac:dyDescent="0.25">
      <c r="B8303">
        <f t="shared" ca="1" si="389"/>
        <v>42034.939329468943</v>
      </c>
      <c r="C8303">
        <f t="shared" ca="1" si="387"/>
        <v>0</v>
      </c>
      <c r="D8303">
        <f t="shared" ca="1" si="388"/>
        <v>2034.9393294689435</v>
      </c>
    </row>
    <row r="8304" spans="2:4" x14ac:dyDescent="0.25">
      <c r="B8304">
        <f t="shared" ca="1" si="389"/>
        <v>48930.931532925591</v>
      </c>
      <c r="C8304">
        <f t="shared" ca="1" si="387"/>
        <v>0</v>
      </c>
      <c r="D8304">
        <f t="shared" ca="1" si="388"/>
        <v>8930.9315329255915</v>
      </c>
    </row>
    <row r="8305" spans="2:4" x14ac:dyDescent="0.25">
      <c r="B8305">
        <f t="shared" ca="1" si="389"/>
        <v>48254.834169815796</v>
      </c>
      <c r="C8305">
        <f t="shared" ca="1" si="387"/>
        <v>0</v>
      </c>
      <c r="D8305">
        <f t="shared" ca="1" si="388"/>
        <v>8254.8341698157965</v>
      </c>
    </row>
    <row r="8306" spans="2:4" x14ac:dyDescent="0.25">
      <c r="B8306">
        <f t="shared" ca="1" si="389"/>
        <v>44197.707461163962</v>
      </c>
      <c r="C8306">
        <f t="shared" ca="1" si="387"/>
        <v>0</v>
      </c>
      <c r="D8306">
        <f t="shared" ca="1" si="388"/>
        <v>4197.7074611639619</v>
      </c>
    </row>
    <row r="8307" spans="2:4" x14ac:dyDescent="0.25">
      <c r="B8307">
        <f t="shared" ca="1" si="389"/>
        <v>35739.228240692013</v>
      </c>
      <c r="C8307">
        <f t="shared" ca="1" si="387"/>
        <v>4260.7717593079869</v>
      </c>
      <c r="D8307">
        <f t="shared" ca="1" si="388"/>
        <v>0</v>
      </c>
    </row>
    <row r="8308" spans="2:4" x14ac:dyDescent="0.25">
      <c r="B8308">
        <f t="shared" ca="1" si="389"/>
        <v>44593.928390815287</v>
      </c>
      <c r="C8308">
        <f t="shared" ca="1" si="387"/>
        <v>0</v>
      </c>
      <c r="D8308">
        <f t="shared" ca="1" si="388"/>
        <v>4593.9283908152865</v>
      </c>
    </row>
    <row r="8309" spans="2:4" x14ac:dyDescent="0.25">
      <c r="B8309">
        <f t="shared" ca="1" si="389"/>
        <v>42473.410425002643</v>
      </c>
      <c r="C8309">
        <f t="shared" ca="1" si="387"/>
        <v>0</v>
      </c>
      <c r="D8309">
        <f t="shared" ca="1" si="388"/>
        <v>2473.410425002643</v>
      </c>
    </row>
    <row r="8310" spans="2:4" x14ac:dyDescent="0.25">
      <c r="B8310">
        <f t="shared" ca="1" si="389"/>
        <v>50693.400223447272</v>
      </c>
      <c r="C8310">
        <f t="shared" ca="1" si="387"/>
        <v>0</v>
      </c>
      <c r="D8310">
        <f t="shared" ca="1" si="388"/>
        <v>10693.400223447272</v>
      </c>
    </row>
    <row r="8311" spans="2:4" x14ac:dyDescent="0.25">
      <c r="B8311">
        <f t="shared" ca="1" si="389"/>
        <v>44893.842800701612</v>
      </c>
      <c r="C8311">
        <f t="shared" ca="1" si="387"/>
        <v>0</v>
      </c>
      <c r="D8311">
        <f t="shared" ca="1" si="388"/>
        <v>4893.8428007016118</v>
      </c>
    </row>
    <row r="8312" spans="2:4" x14ac:dyDescent="0.25">
      <c r="B8312">
        <f t="shared" ca="1" si="389"/>
        <v>36222.349008617508</v>
      </c>
      <c r="C8312">
        <f t="shared" ca="1" si="387"/>
        <v>3777.6509913824921</v>
      </c>
      <c r="D8312">
        <f t="shared" ca="1" si="388"/>
        <v>0</v>
      </c>
    </row>
    <row r="8313" spans="2:4" x14ac:dyDescent="0.25">
      <c r="B8313">
        <f t="shared" ca="1" si="389"/>
        <v>45870.971666267505</v>
      </c>
      <c r="C8313">
        <f t="shared" ca="1" si="387"/>
        <v>0</v>
      </c>
      <c r="D8313">
        <f t="shared" ca="1" si="388"/>
        <v>5870.9716662675055</v>
      </c>
    </row>
    <row r="8314" spans="2:4" x14ac:dyDescent="0.25">
      <c r="B8314">
        <f t="shared" ca="1" si="389"/>
        <v>44573.982321578464</v>
      </c>
      <c r="C8314">
        <f t="shared" ca="1" si="387"/>
        <v>0</v>
      </c>
      <c r="D8314">
        <f t="shared" ca="1" si="388"/>
        <v>4573.9823215784636</v>
      </c>
    </row>
    <row r="8315" spans="2:4" x14ac:dyDescent="0.25">
      <c r="B8315">
        <f t="shared" ca="1" si="389"/>
        <v>46231.475499732289</v>
      </c>
      <c r="C8315">
        <f t="shared" ca="1" si="387"/>
        <v>0</v>
      </c>
      <c r="D8315">
        <f t="shared" ca="1" si="388"/>
        <v>6231.4754997322889</v>
      </c>
    </row>
    <row r="8316" spans="2:4" x14ac:dyDescent="0.25">
      <c r="B8316">
        <f t="shared" ca="1" si="389"/>
        <v>46213.310584373095</v>
      </c>
      <c r="C8316">
        <f t="shared" ca="1" si="387"/>
        <v>0</v>
      </c>
      <c r="D8316">
        <f t="shared" ca="1" si="388"/>
        <v>6213.3105843730955</v>
      </c>
    </row>
    <row r="8317" spans="2:4" x14ac:dyDescent="0.25">
      <c r="B8317">
        <f t="shared" ca="1" si="389"/>
        <v>50064.568666406849</v>
      </c>
      <c r="C8317">
        <f t="shared" ca="1" si="387"/>
        <v>0</v>
      </c>
      <c r="D8317">
        <f t="shared" ca="1" si="388"/>
        <v>10064.568666406849</v>
      </c>
    </row>
    <row r="8318" spans="2:4" x14ac:dyDescent="0.25">
      <c r="B8318">
        <f t="shared" ca="1" si="389"/>
        <v>49376.505853649913</v>
      </c>
      <c r="C8318">
        <f t="shared" ca="1" si="387"/>
        <v>0</v>
      </c>
      <c r="D8318">
        <f t="shared" ca="1" si="388"/>
        <v>9376.5058536499128</v>
      </c>
    </row>
    <row r="8319" spans="2:4" x14ac:dyDescent="0.25">
      <c r="B8319">
        <f t="shared" ca="1" si="389"/>
        <v>47211.498899424725</v>
      </c>
      <c r="C8319">
        <f t="shared" ca="1" si="387"/>
        <v>0</v>
      </c>
      <c r="D8319">
        <f t="shared" ca="1" si="388"/>
        <v>7211.4988994247251</v>
      </c>
    </row>
    <row r="8320" spans="2:4" x14ac:dyDescent="0.25">
      <c r="B8320">
        <f t="shared" ca="1" si="389"/>
        <v>46958.576582860318</v>
      </c>
      <c r="C8320">
        <f t="shared" ca="1" si="387"/>
        <v>0</v>
      </c>
      <c r="D8320">
        <f t="shared" ca="1" si="388"/>
        <v>6958.576582860318</v>
      </c>
    </row>
    <row r="8321" spans="2:4" x14ac:dyDescent="0.25">
      <c r="B8321">
        <f t="shared" ca="1" si="389"/>
        <v>37415.461308774262</v>
      </c>
      <c r="C8321">
        <f t="shared" ca="1" si="387"/>
        <v>2584.5386912257381</v>
      </c>
      <c r="D8321">
        <f t="shared" ca="1" si="388"/>
        <v>0</v>
      </c>
    </row>
    <row r="8322" spans="2:4" x14ac:dyDescent="0.25">
      <c r="B8322">
        <f t="shared" ca="1" si="389"/>
        <v>50697.967229398615</v>
      </c>
      <c r="C8322">
        <f t="shared" ca="1" si="387"/>
        <v>0</v>
      </c>
      <c r="D8322">
        <f t="shared" ca="1" si="388"/>
        <v>10697.967229398615</v>
      </c>
    </row>
    <row r="8323" spans="2:4" x14ac:dyDescent="0.25">
      <c r="B8323">
        <f t="shared" ca="1" si="389"/>
        <v>46894.742196963321</v>
      </c>
      <c r="C8323">
        <f t="shared" ca="1" si="387"/>
        <v>0</v>
      </c>
      <c r="D8323">
        <f t="shared" ca="1" si="388"/>
        <v>6894.7421969633215</v>
      </c>
    </row>
    <row r="8324" spans="2:4" x14ac:dyDescent="0.25">
      <c r="B8324">
        <f t="shared" ca="1" si="389"/>
        <v>37680.607271723697</v>
      </c>
      <c r="C8324">
        <f t="shared" ca="1" si="387"/>
        <v>2319.3927282763034</v>
      </c>
      <c r="D8324">
        <f t="shared" ca="1" si="388"/>
        <v>0</v>
      </c>
    </row>
    <row r="8325" spans="2:4" x14ac:dyDescent="0.25">
      <c r="B8325">
        <f t="shared" ca="1" si="389"/>
        <v>42223.077783418186</v>
      </c>
      <c r="C8325">
        <f t="shared" ca="1" si="387"/>
        <v>0</v>
      </c>
      <c r="D8325">
        <f t="shared" ca="1" si="388"/>
        <v>2223.0777834181863</v>
      </c>
    </row>
    <row r="8326" spans="2:4" x14ac:dyDescent="0.25">
      <c r="B8326">
        <f t="shared" ca="1" si="389"/>
        <v>43340.919100703279</v>
      </c>
      <c r="C8326">
        <f t="shared" ca="1" si="387"/>
        <v>0</v>
      </c>
      <c r="D8326">
        <f t="shared" ca="1" si="388"/>
        <v>3340.9191007032787</v>
      </c>
    </row>
    <row r="8327" spans="2:4" x14ac:dyDescent="0.25">
      <c r="B8327">
        <f t="shared" ca="1" si="389"/>
        <v>56742.652101230284</v>
      </c>
      <c r="C8327">
        <f t="shared" ca="1" si="387"/>
        <v>0</v>
      </c>
      <c r="D8327">
        <f t="shared" ca="1" si="388"/>
        <v>16742.652101230284</v>
      </c>
    </row>
    <row r="8328" spans="2:4" x14ac:dyDescent="0.25">
      <c r="B8328">
        <f t="shared" ca="1" si="389"/>
        <v>44758.601555164758</v>
      </c>
      <c r="C8328">
        <f t="shared" ca="1" si="387"/>
        <v>0</v>
      </c>
      <c r="D8328">
        <f t="shared" ca="1" si="388"/>
        <v>4758.6015551647579</v>
      </c>
    </row>
    <row r="8329" spans="2:4" x14ac:dyDescent="0.25">
      <c r="B8329">
        <f t="shared" ca="1" si="389"/>
        <v>57323.854299311162</v>
      </c>
      <c r="C8329">
        <f t="shared" ca="1" si="387"/>
        <v>0</v>
      </c>
      <c r="D8329">
        <f t="shared" ca="1" si="388"/>
        <v>17323.854299311162</v>
      </c>
    </row>
    <row r="8330" spans="2:4" x14ac:dyDescent="0.25">
      <c r="B8330">
        <f t="shared" ca="1" si="389"/>
        <v>42218.777497320727</v>
      </c>
      <c r="C8330">
        <f t="shared" ca="1" si="387"/>
        <v>0</v>
      </c>
      <c r="D8330">
        <f t="shared" ca="1" si="388"/>
        <v>2218.777497320727</v>
      </c>
    </row>
    <row r="8331" spans="2:4" x14ac:dyDescent="0.25">
      <c r="B8331">
        <f t="shared" ca="1" si="389"/>
        <v>46714.917214994515</v>
      </c>
      <c r="C8331">
        <f t="shared" ca="1" si="387"/>
        <v>0</v>
      </c>
      <c r="D8331">
        <f t="shared" ca="1" si="388"/>
        <v>6714.9172149945152</v>
      </c>
    </row>
    <row r="8332" spans="2:4" x14ac:dyDescent="0.25">
      <c r="B8332">
        <f t="shared" ca="1" si="389"/>
        <v>43549.231963074482</v>
      </c>
      <c r="C8332">
        <f t="shared" ref="C8332:C8395" ca="1" si="390">IF(MAX($B$2-B8332)&lt;0,0,$B$2-B8332)</f>
        <v>0</v>
      </c>
      <c r="D8332">
        <f t="shared" ref="D8332:D8395" ca="1" si="391">IF(MAX(B8332-$B$2)&lt;0,0,B8332-$B$2)</f>
        <v>3549.2319630744823</v>
      </c>
    </row>
    <row r="8333" spans="2:4" x14ac:dyDescent="0.25">
      <c r="B8333">
        <f t="shared" ref="B8333:B8396" ca="1" si="392">$B$1*EXP((($B$4-($B$3^2)/2)*$B$5+$B$3*SQRT($B$5)*NORMSINV(RAND())))</f>
        <v>41722.369216404833</v>
      </c>
      <c r="C8333">
        <f t="shared" ca="1" si="390"/>
        <v>0</v>
      </c>
      <c r="D8333">
        <f t="shared" ca="1" si="391"/>
        <v>1722.3692164048334</v>
      </c>
    </row>
    <row r="8334" spans="2:4" x14ac:dyDescent="0.25">
      <c r="B8334">
        <f t="shared" ca="1" si="392"/>
        <v>43441.813633905811</v>
      </c>
      <c r="C8334">
        <f t="shared" ca="1" si="390"/>
        <v>0</v>
      </c>
      <c r="D8334">
        <f t="shared" ca="1" si="391"/>
        <v>3441.813633905811</v>
      </c>
    </row>
    <row r="8335" spans="2:4" x14ac:dyDescent="0.25">
      <c r="B8335">
        <f t="shared" ca="1" si="392"/>
        <v>47079.128489938434</v>
      </c>
      <c r="C8335">
        <f t="shared" ca="1" si="390"/>
        <v>0</v>
      </c>
      <c r="D8335">
        <f t="shared" ca="1" si="391"/>
        <v>7079.1284899384336</v>
      </c>
    </row>
    <row r="8336" spans="2:4" x14ac:dyDescent="0.25">
      <c r="B8336">
        <f t="shared" ca="1" si="392"/>
        <v>47646.207620286958</v>
      </c>
      <c r="C8336">
        <f t="shared" ca="1" si="390"/>
        <v>0</v>
      </c>
      <c r="D8336">
        <f t="shared" ca="1" si="391"/>
        <v>7646.2076202869575</v>
      </c>
    </row>
    <row r="8337" spans="2:4" x14ac:dyDescent="0.25">
      <c r="B8337">
        <f t="shared" ca="1" si="392"/>
        <v>41839.371399963937</v>
      </c>
      <c r="C8337">
        <f t="shared" ca="1" si="390"/>
        <v>0</v>
      </c>
      <c r="D8337">
        <f t="shared" ca="1" si="391"/>
        <v>1839.3713999639367</v>
      </c>
    </row>
    <row r="8338" spans="2:4" x14ac:dyDescent="0.25">
      <c r="B8338">
        <f t="shared" ca="1" si="392"/>
        <v>48590.997288543185</v>
      </c>
      <c r="C8338">
        <f t="shared" ca="1" si="390"/>
        <v>0</v>
      </c>
      <c r="D8338">
        <f t="shared" ca="1" si="391"/>
        <v>8590.9972885431853</v>
      </c>
    </row>
    <row r="8339" spans="2:4" x14ac:dyDescent="0.25">
      <c r="B8339">
        <f t="shared" ca="1" si="392"/>
        <v>45385.595506745194</v>
      </c>
      <c r="C8339">
        <f t="shared" ca="1" si="390"/>
        <v>0</v>
      </c>
      <c r="D8339">
        <f t="shared" ca="1" si="391"/>
        <v>5385.5955067451941</v>
      </c>
    </row>
    <row r="8340" spans="2:4" x14ac:dyDescent="0.25">
      <c r="B8340">
        <f t="shared" ca="1" si="392"/>
        <v>40890.715993334954</v>
      </c>
      <c r="C8340">
        <f t="shared" ca="1" si="390"/>
        <v>0</v>
      </c>
      <c r="D8340">
        <f t="shared" ca="1" si="391"/>
        <v>890.71599333495396</v>
      </c>
    </row>
    <row r="8341" spans="2:4" x14ac:dyDescent="0.25">
      <c r="B8341">
        <f t="shared" ca="1" si="392"/>
        <v>44192.416627577099</v>
      </c>
      <c r="C8341">
        <f t="shared" ca="1" si="390"/>
        <v>0</v>
      </c>
      <c r="D8341">
        <f t="shared" ca="1" si="391"/>
        <v>4192.4166275770986</v>
      </c>
    </row>
    <row r="8342" spans="2:4" x14ac:dyDescent="0.25">
      <c r="B8342">
        <f t="shared" ca="1" si="392"/>
        <v>47712.974946419403</v>
      </c>
      <c r="C8342">
        <f t="shared" ca="1" si="390"/>
        <v>0</v>
      </c>
      <c r="D8342">
        <f t="shared" ca="1" si="391"/>
        <v>7712.9749464194028</v>
      </c>
    </row>
    <row r="8343" spans="2:4" x14ac:dyDescent="0.25">
      <c r="B8343">
        <f t="shared" ca="1" si="392"/>
        <v>40091.155235757564</v>
      </c>
      <c r="C8343">
        <f t="shared" ca="1" si="390"/>
        <v>0</v>
      </c>
      <c r="D8343">
        <f t="shared" ca="1" si="391"/>
        <v>91.155235757563787</v>
      </c>
    </row>
    <row r="8344" spans="2:4" x14ac:dyDescent="0.25">
      <c r="B8344">
        <f t="shared" ca="1" si="392"/>
        <v>41184.408185528409</v>
      </c>
      <c r="C8344">
        <f t="shared" ca="1" si="390"/>
        <v>0</v>
      </c>
      <c r="D8344">
        <f t="shared" ca="1" si="391"/>
        <v>1184.4081855284094</v>
      </c>
    </row>
    <row r="8345" spans="2:4" x14ac:dyDescent="0.25">
      <c r="B8345">
        <f t="shared" ca="1" si="392"/>
        <v>38844.214728252249</v>
      </c>
      <c r="C8345">
        <f t="shared" ca="1" si="390"/>
        <v>1155.7852717477508</v>
      </c>
      <c r="D8345">
        <f t="shared" ca="1" si="391"/>
        <v>0</v>
      </c>
    </row>
    <row r="8346" spans="2:4" x14ac:dyDescent="0.25">
      <c r="B8346">
        <f t="shared" ca="1" si="392"/>
        <v>49200.353624928808</v>
      </c>
      <c r="C8346">
        <f t="shared" ca="1" si="390"/>
        <v>0</v>
      </c>
      <c r="D8346">
        <f t="shared" ca="1" si="391"/>
        <v>9200.3536249288081</v>
      </c>
    </row>
    <row r="8347" spans="2:4" x14ac:dyDescent="0.25">
      <c r="B8347">
        <f t="shared" ca="1" si="392"/>
        <v>48771.153056051146</v>
      </c>
      <c r="C8347">
        <f t="shared" ca="1" si="390"/>
        <v>0</v>
      </c>
      <c r="D8347">
        <f t="shared" ca="1" si="391"/>
        <v>8771.1530560511455</v>
      </c>
    </row>
    <row r="8348" spans="2:4" x14ac:dyDescent="0.25">
      <c r="B8348">
        <f t="shared" ca="1" si="392"/>
        <v>43115.893381297981</v>
      </c>
      <c r="C8348">
        <f t="shared" ca="1" si="390"/>
        <v>0</v>
      </c>
      <c r="D8348">
        <f t="shared" ca="1" si="391"/>
        <v>3115.8933812979813</v>
      </c>
    </row>
    <row r="8349" spans="2:4" x14ac:dyDescent="0.25">
      <c r="B8349">
        <f t="shared" ca="1" si="392"/>
        <v>46445.130603152225</v>
      </c>
      <c r="C8349">
        <f t="shared" ca="1" si="390"/>
        <v>0</v>
      </c>
      <c r="D8349">
        <f t="shared" ca="1" si="391"/>
        <v>6445.1306031522254</v>
      </c>
    </row>
    <row r="8350" spans="2:4" x14ac:dyDescent="0.25">
      <c r="B8350">
        <f t="shared" ca="1" si="392"/>
        <v>40400.105273254099</v>
      </c>
      <c r="C8350">
        <f t="shared" ca="1" si="390"/>
        <v>0</v>
      </c>
      <c r="D8350">
        <f t="shared" ca="1" si="391"/>
        <v>400.1052732540993</v>
      </c>
    </row>
    <row r="8351" spans="2:4" x14ac:dyDescent="0.25">
      <c r="B8351">
        <f t="shared" ca="1" si="392"/>
        <v>42133.087638891317</v>
      </c>
      <c r="C8351">
        <f t="shared" ca="1" si="390"/>
        <v>0</v>
      </c>
      <c r="D8351">
        <f t="shared" ca="1" si="391"/>
        <v>2133.0876388913166</v>
      </c>
    </row>
    <row r="8352" spans="2:4" x14ac:dyDescent="0.25">
      <c r="B8352">
        <f t="shared" ca="1" si="392"/>
        <v>41347.762266040721</v>
      </c>
      <c r="C8352">
        <f t="shared" ca="1" si="390"/>
        <v>0</v>
      </c>
      <c r="D8352">
        <f t="shared" ca="1" si="391"/>
        <v>1347.7622660407214</v>
      </c>
    </row>
    <row r="8353" spans="2:4" x14ac:dyDescent="0.25">
      <c r="B8353">
        <f t="shared" ca="1" si="392"/>
        <v>41254.493388330804</v>
      </c>
      <c r="C8353">
        <f t="shared" ca="1" si="390"/>
        <v>0</v>
      </c>
      <c r="D8353">
        <f t="shared" ca="1" si="391"/>
        <v>1254.493388330804</v>
      </c>
    </row>
    <row r="8354" spans="2:4" x14ac:dyDescent="0.25">
      <c r="B8354">
        <f t="shared" ca="1" si="392"/>
        <v>44640.908598658352</v>
      </c>
      <c r="C8354">
        <f t="shared" ca="1" si="390"/>
        <v>0</v>
      </c>
      <c r="D8354">
        <f t="shared" ca="1" si="391"/>
        <v>4640.9085986583523</v>
      </c>
    </row>
    <row r="8355" spans="2:4" x14ac:dyDescent="0.25">
      <c r="B8355">
        <f t="shared" ca="1" si="392"/>
        <v>41062.012304549695</v>
      </c>
      <c r="C8355">
        <f t="shared" ca="1" si="390"/>
        <v>0</v>
      </c>
      <c r="D8355">
        <f t="shared" ca="1" si="391"/>
        <v>1062.0123045496948</v>
      </c>
    </row>
    <row r="8356" spans="2:4" x14ac:dyDescent="0.25">
      <c r="B8356">
        <f t="shared" ca="1" si="392"/>
        <v>39651.824932932861</v>
      </c>
      <c r="C8356">
        <f t="shared" ca="1" si="390"/>
        <v>348.17506706713903</v>
      </c>
      <c r="D8356">
        <f t="shared" ca="1" si="391"/>
        <v>0</v>
      </c>
    </row>
    <row r="8357" spans="2:4" x14ac:dyDescent="0.25">
      <c r="B8357">
        <f t="shared" ca="1" si="392"/>
        <v>41259.322197265639</v>
      </c>
      <c r="C8357">
        <f t="shared" ca="1" si="390"/>
        <v>0</v>
      </c>
      <c r="D8357">
        <f t="shared" ca="1" si="391"/>
        <v>1259.3221972656393</v>
      </c>
    </row>
    <row r="8358" spans="2:4" x14ac:dyDescent="0.25">
      <c r="B8358">
        <f t="shared" ca="1" si="392"/>
        <v>37516.969186721537</v>
      </c>
      <c r="C8358">
        <f t="shared" ca="1" si="390"/>
        <v>2483.030813278463</v>
      </c>
      <c r="D8358">
        <f t="shared" ca="1" si="391"/>
        <v>0</v>
      </c>
    </row>
    <row r="8359" spans="2:4" x14ac:dyDescent="0.25">
      <c r="B8359">
        <f t="shared" ca="1" si="392"/>
        <v>45161.124659717396</v>
      </c>
      <c r="C8359">
        <f t="shared" ca="1" si="390"/>
        <v>0</v>
      </c>
      <c r="D8359">
        <f t="shared" ca="1" si="391"/>
        <v>5161.1246597173958</v>
      </c>
    </row>
    <row r="8360" spans="2:4" x14ac:dyDescent="0.25">
      <c r="B8360">
        <f t="shared" ca="1" si="392"/>
        <v>36910.025381490821</v>
      </c>
      <c r="C8360">
        <f t="shared" ca="1" si="390"/>
        <v>3089.974618509179</v>
      </c>
      <c r="D8360">
        <f t="shared" ca="1" si="391"/>
        <v>0</v>
      </c>
    </row>
    <row r="8361" spans="2:4" x14ac:dyDescent="0.25">
      <c r="B8361">
        <f t="shared" ca="1" si="392"/>
        <v>40329.48483177695</v>
      </c>
      <c r="C8361">
        <f t="shared" ca="1" si="390"/>
        <v>0</v>
      </c>
      <c r="D8361">
        <f t="shared" ca="1" si="391"/>
        <v>329.48483177695016</v>
      </c>
    </row>
    <row r="8362" spans="2:4" x14ac:dyDescent="0.25">
      <c r="B8362">
        <f t="shared" ca="1" si="392"/>
        <v>47041.413144621038</v>
      </c>
      <c r="C8362">
        <f t="shared" ca="1" si="390"/>
        <v>0</v>
      </c>
      <c r="D8362">
        <f t="shared" ca="1" si="391"/>
        <v>7041.4131446210376</v>
      </c>
    </row>
    <row r="8363" spans="2:4" x14ac:dyDescent="0.25">
      <c r="B8363">
        <f t="shared" ca="1" si="392"/>
        <v>44952.50582705011</v>
      </c>
      <c r="C8363">
        <f t="shared" ca="1" si="390"/>
        <v>0</v>
      </c>
      <c r="D8363">
        <f t="shared" ca="1" si="391"/>
        <v>4952.5058270501104</v>
      </c>
    </row>
    <row r="8364" spans="2:4" x14ac:dyDescent="0.25">
      <c r="B8364">
        <f t="shared" ca="1" si="392"/>
        <v>52635.603377950123</v>
      </c>
      <c r="C8364">
        <f t="shared" ca="1" si="390"/>
        <v>0</v>
      </c>
      <c r="D8364">
        <f t="shared" ca="1" si="391"/>
        <v>12635.603377950123</v>
      </c>
    </row>
    <row r="8365" spans="2:4" x14ac:dyDescent="0.25">
      <c r="B8365">
        <f t="shared" ca="1" si="392"/>
        <v>41965.984678419925</v>
      </c>
      <c r="C8365">
        <f t="shared" ca="1" si="390"/>
        <v>0</v>
      </c>
      <c r="D8365">
        <f t="shared" ca="1" si="391"/>
        <v>1965.9846784199253</v>
      </c>
    </row>
    <row r="8366" spans="2:4" x14ac:dyDescent="0.25">
      <c r="B8366">
        <f t="shared" ca="1" si="392"/>
        <v>50009.899208902294</v>
      </c>
      <c r="C8366">
        <f t="shared" ca="1" si="390"/>
        <v>0</v>
      </c>
      <c r="D8366">
        <f t="shared" ca="1" si="391"/>
        <v>10009.899208902294</v>
      </c>
    </row>
    <row r="8367" spans="2:4" x14ac:dyDescent="0.25">
      <c r="B8367">
        <f t="shared" ca="1" si="392"/>
        <v>42027.922597059558</v>
      </c>
      <c r="C8367">
        <f t="shared" ca="1" si="390"/>
        <v>0</v>
      </c>
      <c r="D8367">
        <f t="shared" ca="1" si="391"/>
        <v>2027.922597059558</v>
      </c>
    </row>
    <row r="8368" spans="2:4" x14ac:dyDescent="0.25">
      <c r="B8368">
        <f t="shared" ca="1" si="392"/>
        <v>45482.96858045274</v>
      </c>
      <c r="C8368">
        <f t="shared" ca="1" si="390"/>
        <v>0</v>
      </c>
      <c r="D8368">
        <f t="shared" ca="1" si="391"/>
        <v>5482.9685804527398</v>
      </c>
    </row>
    <row r="8369" spans="2:4" x14ac:dyDescent="0.25">
      <c r="B8369">
        <f t="shared" ca="1" si="392"/>
        <v>45360.440273310116</v>
      </c>
      <c r="C8369">
        <f t="shared" ca="1" si="390"/>
        <v>0</v>
      </c>
      <c r="D8369">
        <f t="shared" ca="1" si="391"/>
        <v>5360.440273310116</v>
      </c>
    </row>
    <row r="8370" spans="2:4" x14ac:dyDescent="0.25">
      <c r="B8370">
        <f t="shared" ca="1" si="392"/>
        <v>46401.96155493355</v>
      </c>
      <c r="C8370">
        <f t="shared" ca="1" si="390"/>
        <v>0</v>
      </c>
      <c r="D8370">
        <f t="shared" ca="1" si="391"/>
        <v>6401.9615549335504</v>
      </c>
    </row>
    <row r="8371" spans="2:4" x14ac:dyDescent="0.25">
      <c r="B8371">
        <f t="shared" ca="1" si="392"/>
        <v>46716.002032568344</v>
      </c>
      <c r="C8371">
        <f t="shared" ca="1" si="390"/>
        <v>0</v>
      </c>
      <c r="D8371">
        <f t="shared" ca="1" si="391"/>
        <v>6716.0020325683436</v>
      </c>
    </row>
    <row r="8372" spans="2:4" x14ac:dyDescent="0.25">
      <c r="B8372">
        <f t="shared" ca="1" si="392"/>
        <v>42266.965228145054</v>
      </c>
      <c r="C8372">
        <f t="shared" ca="1" si="390"/>
        <v>0</v>
      </c>
      <c r="D8372">
        <f t="shared" ca="1" si="391"/>
        <v>2266.9652281450544</v>
      </c>
    </row>
    <row r="8373" spans="2:4" x14ac:dyDescent="0.25">
      <c r="B8373">
        <f t="shared" ca="1" si="392"/>
        <v>38511.784668930435</v>
      </c>
      <c r="C8373">
        <f t="shared" ca="1" si="390"/>
        <v>1488.2153310695649</v>
      </c>
      <c r="D8373">
        <f t="shared" ca="1" si="391"/>
        <v>0</v>
      </c>
    </row>
    <row r="8374" spans="2:4" x14ac:dyDescent="0.25">
      <c r="B8374">
        <f t="shared" ca="1" si="392"/>
        <v>41672.116114820725</v>
      </c>
      <c r="C8374">
        <f t="shared" ca="1" si="390"/>
        <v>0</v>
      </c>
      <c r="D8374">
        <f t="shared" ca="1" si="391"/>
        <v>1672.1161148207248</v>
      </c>
    </row>
    <row r="8375" spans="2:4" x14ac:dyDescent="0.25">
      <c r="B8375">
        <f t="shared" ca="1" si="392"/>
        <v>55311.1907557901</v>
      </c>
      <c r="C8375">
        <f t="shared" ca="1" si="390"/>
        <v>0</v>
      </c>
      <c r="D8375">
        <f t="shared" ca="1" si="391"/>
        <v>15311.1907557901</v>
      </c>
    </row>
    <row r="8376" spans="2:4" x14ac:dyDescent="0.25">
      <c r="B8376">
        <f t="shared" ca="1" si="392"/>
        <v>43613.489554034059</v>
      </c>
      <c r="C8376">
        <f t="shared" ca="1" si="390"/>
        <v>0</v>
      </c>
      <c r="D8376">
        <f t="shared" ca="1" si="391"/>
        <v>3613.4895540340585</v>
      </c>
    </row>
    <row r="8377" spans="2:4" x14ac:dyDescent="0.25">
      <c r="B8377">
        <f t="shared" ca="1" si="392"/>
        <v>35554.556986690004</v>
      </c>
      <c r="C8377">
        <f t="shared" ca="1" si="390"/>
        <v>4445.4430133099959</v>
      </c>
      <c r="D8377">
        <f t="shared" ca="1" si="391"/>
        <v>0</v>
      </c>
    </row>
    <row r="8378" spans="2:4" x14ac:dyDescent="0.25">
      <c r="B8378">
        <f t="shared" ca="1" si="392"/>
        <v>56192.097515960908</v>
      </c>
      <c r="C8378">
        <f t="shared" ca="1" si="390"/>
        <v>0</v>
      </c>
      <c r="D8378">
        <f t="shared" ca="1" si="391"/>
        <v>16192.097515960908</v>
      </c>
    </row>
    <row r="8379" spans="2:4" x14ac:dyDescent="0.25">
      <c r="B8379">
        <f t="shared" ca="1" si="392"/>
        <v>46050.045495990176</v>
      </c>
      <c r="C8379">
        <f t="shared" ca="1" si="390"/>
        <v>0</v>
      </c>
      <c r="D8379">
        <f t="shared" ca="1" si="391"/>
        <v>6050.0454959901763</v>
      </c>
    </row>
    <row r="8380" spans="2:4" x14ac:dyDescent="0.25">
      <c r="B8380">
        <f t="shared" ca="1" si="392"/>
        <v>50151.66239095106</v>
      </c>
      <c r="C8380">
        <f t="shared" ca="1" si="390"/>
        <v>0</v>
      </c>
      <c r="D8380">
        <f t="shared" ca="1" si="391"/>
        <v>10151.66239095106</v>
      </c>
    </row>
    <row r="8381" spans="2:4" x14ac:dyDescent="0.25">
      <c r="B8381">
        <f t="shared" ca="1" si="392"/>
        <v>47399.73412431938</v>
      </c>
      <c r="C8381">
        <f t="shared" ca="1" si="390"/>
        <v>0</v>
      </c>
      <c r="D8381">
        <f t="shared" ca="1" si="391"/>
        <v>7399.7341243193805</v>
      </c>
    </row>
    <row r="8382" spans="2:4" x14ac:dyDescent="0.25">
      <c r="B8382">
        <f t="shared" ca="1" si="392"/>
        <v>43523.075333956382</v>
      </c>
      <c r="C8382">
        <f t="shared" ca="1" si="390"/>
        <v>0</v>
      </c>
      <c r="D8382">
        <f t="shared" ca="1" si="391"/>
        <v>3523.0753339563817</v>
      </c>
    </row>
    <row r="8383" spans="2:4" x14ac:dyDescent="0.25">
      <c r="B8383">
        <f t="shared" ca="1" si="392"/>
        <v>50988.024728112323</v>
      </c>
      <c r="C8383">
        <f t="shared" ca="1" si="390"/>
        <v>0</v>
      </c>
      <c r="D8383">
        <f t="shared" ca="1" si="391"/>
        <v>10988.024728112323</v>
      </c>
    </row>
    <row r="8384" spans="2:4" x14ac:dyDescent="0.25">
      <c r="B8384">
        <f t="shared" ca="1" si="392"/>
        <v>39921.129326848961</v>
      </c>
      <c r="C8384">
        <f t="shared" ca="1" si="390"/>
        <v>78.870673151039227</v>
      </c>
      <c r="D8384">
        <f t="shared" ca="1" si="391"/>
        <v>0</v>
      </c>
    </row>
    <row r="8385" spans="2:4" x14ac:dyDescent="0.25">
      <c r="B8385">
        <f t="shared" ca="1" si="392"/>
        <v>44426.745792633017</v>
      </c>
      <c r="C8385">
        <f t="shared" ca="1" si="390"/>
        <v>0</v>
      </c>
      <c r="D8385">
        <f t="shared" ca="1" si="391"/>
        <v>4426.7457926330171</v>
      </c>
    </row>
    <row r="8386" spans="2:4" x14ac:dyDescent="0.25">
      <c r="B8386">
        <f t="shared" ca="1" si="392"/>
        <v>35621.970989478279</v>
      </c>
      <c r="C8386">
        <f t="shared" ca="1" si="390"/>
        <v>4378.0290105217209</v>
      </c>
      <c r="D8386">
        <f t="shared" ca="1" si="391"/>
        <v>0</v>
      </c>
    </row>
    <row r="8387" spans="2:4" x14ac:dyDescent="0.25">
      <c r="B8387">
        <f t="shared" ca="1" si="392"/>
        <v>42392.446063108167</v>
      </c>
      <c r="C8387">
        <f t="shared" ca="1" si="390"/>
        <v>0</v>
      </c>
      <c r="D8387">
        <f t="shared" ca="1" si="391"/>
        <v>2392.4460631081674</v>
      </c>
    </row>
    <row r="8388" spans="2:4" x14ac:dyDescent="0.25">
      <c r="B8388">
        <f t="shared" ca="1" si="392"/>
        <v>41456.520545900712</v>
      </c>
      <c r="C8388">
        <f t="shared" ca="1" si="390"/>
        <v>0</v>
      </c>
      <c r="D8388">
        <f t="shared" ca="1" si="391"/>
        <v>1456.520545900712</v>
      </c>
    </row>
    <row r="8389" spans="2:4" x14ac:dyDescent="0.25">
      <c r="B8389">
        <f t="shared" ca="1" si="392"/>
        <v>42608.196954838153</v>
      </c>
      <c r="C8389">
        <f t="shared" ca="1" si="390"/>
        <v>0</v>
      </c>
      <c r="D8389">
        <f t="shared" ca="1" si="391"/>
        <v>2608.196954838153</v>
      </c>
    </row>
    <row r="8390" spans="2:4" x14ac:dyDescent="0.25">
      <c r="B8390">
        <f t="shared" ca="1" si="392"/>
        <v>40054.346371518623</v>
      </c>
      <c r="C8390">
        <f t="shared" ca="1" si="390"/>
        <v>0</v>
      </c>
      <c r="D8390">
        <f t="shared" ca="1" si="391"/>
        <v>54.346371518622618</v>
      </c>
    </row>
    <row r="8391" spans="2:4" x14ac:dyDescent="0.25">
      <c r="B8391">
        <f t="shared" ca="1" si="392"/>
        <v>49552.294533057611</v>
      </c>
      <c r="C8391">
        <f t="shared" ca="1" si="390"/>
        <v>0</v>
      </c>
      <c r="D8391">
        <f t="shared" ca="1" si="391"/>
        <v>9552.2945330576113</v>
      </c>
    </row>
    <row r="8392" spans="2:4" x14ac:dyDescent="0.25">
      <c r="B8392">
        <f t="shared" ca="1" si="392"/>
        <v>39837.43970182928</v>
      </c>
      <c r="C8392">
        <f t="shared" ca="1" si="390"/>
        <v>162.56029817071976</v>
      </c>
      <c r="D8392">
        <f t="shared" ca="1" si="391"/>
        <v>0</v>
      </c>
    </row>
    <row r="8393" spans="2:4" x14ac:dyDescent="0.25">
      <c r="B8393">
        <f t="shared" ca="1" si="392"/>
        <v>40859.285396425199</v>
      </c>
      <c r="C8393">
        <f t="shared" ca="1" si="390"/>
        <v>0</v>
      </c>
      <c r="D8393">
        <f t="shared" ca="1" si="391"/>
        <v>859.285396425199</v>
      </c>
    </row>
    <row r="8394" spans="2:4" x14ac:dyDescent="0.25">
      <c r="B8394">
        <f t="shared" ca="1" si="392"/>
        <v>53662.521319014995</v>
      </c>
      <c r="C8394">
        <f t="shared" ca="1" si="390"/>
        <v>0</v>
      </c>
      <c r="D8394">
        <f t="shared" ca="1" si="391"/>
        <v>13662.521319014995</v>
      </c>
    </row>
    <row r="8395" spans="2:4" x14ac:dyDescent="0.25">
      <c r="B8395">
        <f t="shared" ca="1" si="392"/>
        <v>41067.565633416882</v>
      </c>
      <c r="C8395">
        <f t="shared" ca="1" si="390"/>
        <v>0</v>
      </c>
      <c r="D8395">
        <f t="shared" ca="1" si="391"/>
        <v>1067.5656334168816</v>
      </c>
    </row>
    <row r="8396" spans="2:4" x14ac:dyDescent="0.25">
      <c r="B8396">
        <f t="shared" ca="1" si="392"/>
        <v>44116.339555962433</v>
      </c>
      <c r="C8396">
        <f t="shared" ref="C8396:C8459" ca="1" si="393">IF(MAX($B$2-B8396)&lt;0,0,$B$2-B8396)</f>
        <v>0</v>
      </c>
      <c r="D8396">
        <f t="shared" ref="D8396:D8459" ca="1" si="394">IF(MAX(B8396-$B$2)&lt;0,0,B8396-$B$2)</f>
        <v>4116.3395559624332</v>
      </c>
    </row>
    <row r="8397" spans="2:4" x14ac:dyDescent="0.25">
      <c r="B8397">
        <f t="shared" ref="B8397:B8460" ca="1" si="395">$B$1*EXP((($B$4-($B$3^2)/2)*$B$5+$B$3*SQRT($B$5)*NORMSINV(RAND())))</f>
        <v>40667.246328718582</v>
      </c>
      <c r="C8397">
        <f t="shared" ca="1" si="393"/>
        <v>0</v>
      </c>
      <c r="D8397">
        <f t="shared" ca="1" si="394"/>
        <v>667.24632871858194</v>
      </c>
    </row>
    <row r="8398" spans="2:4" x14ac:dyDescent="0.25">
      <c r="B8398">
        <f t="shared" ca="1" si="395"/>
        <v>45152.412264804239</v>
      </c>
      <c r="C8398">
        <f t="shared" ca="1" si="393"/>
        <v>0</v>
      </c>
      <c r="D8398">
        <f t="shared" ca="1" si="394"/>
        <v>5152.4122648042394</v>
      </c>
    </row>
    <row r="8399" spans="2:4" x14ac:dyDescent="0.25">
      <c r="B8399">
        <f t="shared" ca="1" si="395"/>
        <v>43800.925990926939</v>
      </c>
      <c r="C8399">
        <f t="shared" ca="1" si="393"/>
        <v>0</v>
      </c>
      <c r="D8399">
        <f t="shared" ca="1" si="394"/>
        <v>3800.9259909269385</v>
      </c>
    </row>
    <row r="8400" spans="2:4" x14ac:dyDescent="0.25">
      <c r="B8400">
        <f t="shared" ca="1" si="395"/>
        <v>48589.026558294237</v>
      </c>
      <c r="C8400">
        <f t="shared" ca="1" si="393"/>
        <v>0</v>
      </c>
      <c r="D8400">
        <f t="shared" ca="1" si="394"/>
        <v>8589.0265582942375</v>
      </c>
    </row>
    <row r="8401" spans="2:4" x14ac:dyDescent="0.25">
      <c r="B8401">
        <f t="shared" ca="1" si="395"/>
        <v>43753.551969681481</v>
      </c>
      <c r="C8401">
        <f t="shared" ca="1" si="393"/>
        <v>0</v>
      </c>
      <c r="D8401">
        <f t="shared" ca="1" si="394"/>
        <v>3753.5519696814808</v>
      </c>
    </row>
    <row r="8402" spans="2:4" x14ac:dyDescent="0.25">
      <c r="B8402">
        <f t="shared" ca="1" si="395"/>
        <v>45202.725131115687</v>
      </c>
      <c r="C8402">
        <f t="shared" ca="1" si="393"/>
        <v>0</v>
      </c>
      <c r="D8402">
        <f t="shared" ca="1" si="394"/>
        <v>5202.725131115687</v>
      </c>
    </row>
    <row r="8403" spans="2:4" x14ac:dyDescent="0.25">
      <c r="B8403">
        <f t="shared" ca="1" si="395"/>
        <v>48190.989097868369</v>
      </c>
      <c r="C8403">
        <f t="shared" ca="1" si="393"/>
        <v>0</v>
      </c>
      <c r="D8403">
        <f t="shared" ca="1" si="394"/>
        <v>8190.9890978683688</v>
      </c>
    </row>
    <row r="8404" spans="2:4" x14ac:dyDescent="0.25">
      <c r="B8404">
        <f t="shared" ca="1" si="395"/>
        <v>53167.642188633938</v>
      </c>
      <c r="C8404">
        <f t="shared" ca="1" si="393"/>
        <v>0</v>
      </c>
      <c r="D8404">
        <f t="shared" ca="1" si="394"/>
        <v>13167.642188633938</v>
      </c>
    </row>
    <row r="8405" spans="2:4" x14ac:dyDescent="0.25">
      <c r="B8405">
        <f t="shared" ca="1" si="395"/>
        <v>41498.14395349157</v>
      </c>
      <c r="C8405">
        <f t="shared" ca="1" si="393"/>
        <v>0</v>
      </c>
      <c r="D8405">
        <f t="shared" ca="1" si="394"/>
        <v>1498.1439534915698</v>
      </c>
    </row>
    <row r="8406" spans="2:4" x14ac:dyDescent="0.25">
      <c r="B8406">
        <f t="shared" ca="1" si="395"/>
        <v>48345.581072115892</v>
      </c>
      <c r="C8406">
        <f t="shared" ca="1" si="393"/>
        <v>0</v>
      </c>
      <c r="D8406">
        <f t="shared" ca="1" si="394"/>
        <v>8345.5810721158923</v>
      </c>
    </row>
    <row r="8407" spans="2:4" x14ac:dyDescent="0.25">
      <c r="B8407">
        <f t="shared" ca="1" si="395"/>
        <v>43459.252267446813</v>
      </c>
      <c r="C8407">
        <f t="shared" ca="1" si="393"/>
        <v>0</v>
      </c>
      <c r="D8407">
        <f t="shared" ca="1" si="394"/>
        <v>3459.2522674468128</v>
      </c>
    </row>
    <row r="8408" spans="2:4" x14ac:dyDescent="0.25">
      <c r="B8408">
        <f t="shared" ca="1" si="395"/>
        <v>48575.101229296306</v>
      </c>
      <c r="C8408">
        <f t="shared" ca="1" si="393"/>
        <v>0</v>
      </c>
      <c r="D8408">
        <f t="shared" ca="1" si="394"/>
        <v>8575.101229296306</v>
      </c>
    </row>
    <row r="8409" spans="2:4" x14ac:dyDescent="0.25">
      <c r="B8409">
        <f t="shared" ca="1" si="395"/>
        <v>46437.934172876754</v>
      </c>
      <c r="C8409">
        <f t="shared" ca="1" si="393"/>
        <v>0</v>
      </c>
      <c r="D8409">
        <f t="shared" ca="1" si="394"/>
        <v>6437.934172876754</v>
      </c>
    </row>
    <row r="8410" spans="2:4" x14ac:dyDescent="0.25">
      <c r="B8410">
        <f t="shared" ca="1" si="395"/>
        <v>38514.712608093716</v>
      </c>
      <c r="C8410">
        <f t="shared" ca="1" si="393"/>
        <v>1485.287391906284</v>
      </c>
      <c r="D8410">
        <f t="shared" ca="1" si="394"/>
        <v>0</v>
      </c>
    </row>
    <row r="8411" spans="2:4" x14ac:dyDescent="0.25">
      <c r="B8411">
        <f t="shared" ca="1" si="395"/>
        <v>45916.91519301269</v>
      </c>
      <c r="C8411">
        <f t="shared" ca="1" si="393"/>
        <v>0</v>
      </c>
      <c r="D8411">
        <f t="shared" ca="1" si="394"/>
        <v>5916.91519301269</v>
      </c>
    </row>
    <row r="8412" spans="2:4" x14ac:dyDescent="0.25">
      <c r="B8412">
        <f t="shared" ca="1" si="395"/>
        <v>47816.008504734076</v>
      </c>
      <c r="C8412">
        <f t="shared" ca="1" si="393"/>
        <v>0</v>
      </c>
      <c r="D8412">
        <f t="shared" ca="1" si="394"/>
        <v>7816.0085047340763</v>
      </c>
    </row>
    <row r="8413" spans="2:4" x14ac:dyDescent="0.25">
      <c r="B8413">
        <f t="shared" ca="1" si="395"/>
        <v>43027.991342548819</v>
      </c>
      <c r="C8413">
        <f t="shared" ca="1" si="393"/>
        <v>0</v>
      </c>
      <c r="D8413">
        <f t="shared" ca="1" si="394"/>
        <v>3027.9913425488194</v>
      </c>
    </row>
    <row r="8414" spans="2:4" x14ac:dyDescent="0.25">
      <c r="B8414">
        <f t="shared" ca="1" si="395"/>
        <v>45308.17054083792</v>
      </c>
      <c r="C8414">
        <f t="shared" ca="1" si="393"/>
        <v>0</v>
      </c>
      <c r="D8414">
        <f t="shared" ca="1" si="394"/>
        <v>5308.1705408379203</v>
      </c>
    </row>
    <row r="8415" spans="2:4" x14ac:dyDescent="0.25">
      <c r="B8415">
        <f t="shared" ca="1" si="395"/>
        <v>39986.91375514189</v>
      </c>
      <c r="C8415">
        <f t="shared" ca="1" si="393"/>
        <v>13.086244858110149</v>
      </c>
      <c r="D8415">
        <f t="shared" ca="1" si="394"/>
        <v>0</v>
      </c>
    </row>
    <row r="8416" spans="2:4" x14ac:dyDescent="0.25">
      <c r="B8416">
        <f t="shared" ca="1" si="395"/>
        <v>43785.750382474427</v>
      </c>
      <c r="C8416">
        <f t="shared" ca="1" si="393"/>
        <v>0</v>
      </c>
      <c r="D8416">
        <f t="shared" ca="1" si="394"/>
        <v>3785.7503824744272</v>
      </c>
    </row>
    <row r="8417" spans="2:4" x14ac:dyDescent="0.25">
      <c r="B8417">
        <f t="shared" ca="1" si="395"/>
        <v>42538.884673261498</v>
      </c>
      <c r="C8417">
        <f t="shared" ca="1" si="393"/>
        <v>0</v>
      </c>
      <c r="D8417">
        <f t="shared" ca="1" si="394"/>
        <v>2538.8846732614984</v>
      </c>
    </row>
    <row r="8418" spans="2:4" x14ac:dyDescent="0.25">
      <c r="B8418">
        <f t="shared" ca="1" si="395"/>
        <v>44961.286315311751</v>
      </c>
      <c r="C8418">
        <f t="shared" ca="1" si="393"/>
        <v>0</v>
      </c>
      <c r="D8418">
        <f t="shared" ca="1" si="394"/>
        <v>4961.2863153117505</v>
      </c>
    </row>
    <row r="8419" spans="2:4" x14ac:dyDescent="0.25">
      <c r="B8419">
        <f t="shared" ca="1" si="395"/>
        <v>51850.835254592894</v>
      </c>
      <c r="C8419">
        <f t="shared" ca="1" si="393"/>
        <v>0</v>
      </c>
      <c r="D8419">
        <f t="shared" ca="1" si="394"/>
        <v>11850.835254592894</v>
      </c>
    </row>
    <row r="8420" spans="2:4" x14ac:dyDescent="0.25">
      <c r="B8420">
        <f t="shared" ca="1" si="395"/>
        <v>49214.717667403347</v>
      </c>
      <c r="C8420">
        <f t="shared" ca="1" si="393"/>
        <v>0</v>
      </c>
      <c r="D8420">
        <f t="shared" ca="1" si="394"/>
        <v>9214.7176674033471</v>
      </c>
    </row>
    <row r="8421" spans="2:4" x14ac:dyDescent="0.25">
      <c r="B8421">
        <f t="shared" ca="1" si="395"/>
        <v>44018.97303756063</v>
      </c>
      <c r="C8421">
        <f t="shared" ca="1" si="393"/>
        <v>0</v>
      </c>
      <c r="D8421">
        <f t="shared" ca="1" si="394"/>
        <v>4018.9730375606305</v>
      </c>
    </row>
    <row r="8422" spans="2:4" x14ac:dyDescent="0.25">
      <c r="B8422">
        <f t="shared" ca="1" si="395"/>
        <v>38820.378905755635</v>
      </c>
      <c r="C8422">
        <f t="shared" ca="1" si="393"/>
        <v>1179.6210942443649</v>
      </c>
      <c r="D8422">
        <f t="shared" ca="1" si="394"/>
        <v>0</v>
      </c>
    </row>
    <row r="8423" spans="2:4" x14ac:dyDescent="0.25">
      <c r="B8423">
        <f t="shared" ca="1" si="395"/>
        <v>38632.876212388546</v>
      </c>
      <c r="C8423">
        <f t="shared" ca="1" si="393"/>
        <v>1367.1237876114537</v>
      </c>
      <c r="D8423">
        <f t="shared" ca="1" si="394"/>
        <v>0</v>
      </c>
    </row>
    <row r="8424" spans="2:4" x14ac:dyDescent="0.25">
      <c r="B8424">
        <f t="shared" ca="1" si="395"/>
        <v>42078.231411003173</v>
      </c>
      <c r="C8424">
        <f t="shared" ca="1" si="393"/>
        <v>0</v>
      </c>
      <c r="D8424">
        <f t="shared" ca="1" si="394"/>
        <v>2078.231411003173</v>
      </c>
    </row>
    <row r="8425" spans="2:4" x14ac:dyDescent="0.25">
      <c r="B8425">
        <f t="shared" ca="1" si="395"/>
        <v>44254.679001450706</v>
      </c>
      <c r="C8425">
        <f t="shared" ca="1" si="393"/>
        <v>0</v>
      </c>
      <c r="D8425">
        <f t="shared" ca="1" si="394"/>
        <v>4254.679001450706</v>
      </c>
    </row>
    <row r="8426" spans="2:4" x14ac:dyDescent="0.25">
      <c r="B8426">
        <f t="shared" ca="1" si="395"/>
        <v>42316.51679247983</v>
      </c>
      <c r="C8426">
        <f t="shared" ca="1" si="393"/>
        <v>0</v>
      </c>
      <c r="D8426">
        <f t="shared" ca="1" si="394"/>
        <v>2316.5167924798297</v>
      </c>
    </row>
    <row r="8427" spans="2:4" x14ac:dyDescent="0.25">
      <c r="B8427">
        <f t="shared" ca="1" si="395"/>
        <v>35486.392138284573</v>
      </c>
      <c r="C8427">
        <f t="shared" ca="1" si="393"/>
        <v>4513.6078617154271</v>
      </c>
      <c r="D8427">
        <f t="shared" ca="1" si="394"/>
        <v>0</v>
      </c>
    </row>
    <row r="8428" spans="2:4" x14ac:dyDescent="0.25">
      <c r="B8428">
        <f t="shared" ca="1" si="395"/>
        <v>47381.446392505277</v>
      </c>
      <c r="C8428">
        <f t="shared" ca="1" si="393"/>
        <v>0</v>
      </c>
      <c r="D8428">
        <f t="shared" ca="1" si="394"/>
        <v>7381.4463925052769</v>
      </c>
    </row>
    <row r="8429" spans="2:4" x14ac:dyDescent="0.25">
      <c r="B8429">
        <f t="shared" ca="1" si="395"/>
        <v>51105.860116911412</v>
      </c>
      <c r="C8429">
        <f t="shared" ca="1" si="393"/>
        <v>0</v>
      </c>
      <c r="D8429">
        <f t="shared" ca="1" si="394"/>
        <v>11105.860116911412</v>
      </c>
    </row>
    <row r="8430" spans="2:4" x14ac:dyDescent="0.25">
      <c r="B8430">
        <f t="shared" ca="1" si="395"/>
        <v>44710.221259616301</v>
      </c>
      <c r="C8430">
        <f t="shared" ca="1" si="393"/>
        <v>0</v>
      </c>
      <c r="D8430">
        <f t="shared" ca="1" si="394"/>
        <v>4710.2212596163008</v>
      </c>
    </row>
    <row r="8431" spans="2:4" x14ac:dyDescent="0.25">
      <c r="B8431">
        <f t="shared" ca="1" si="395"/>
        <v>49175.464607239388</v>
      </c>
      <c r="C8431">
        <f t="shared" ca="1" si="393"/>
        <v>0</v>
      </c>
      <c r="D8431">
        <f t="shared" ca="1" si="394"/>
        <v>9175.464607239388</v>
      </c>
    </row>
    <row r="8432" spans="2:4" x14ac:dyDescent="0.25">
      <c r="B8432">
        <f t="shared" ca="1" si="395"/>
        <v>42391.905237804218</v>
      </c>
      <c r="C8432">
        <f t="shared" ca="1" si="393"/>
        <v>0</v>
      </c>
      <c r="D8432">
        <f t="shared" ca="1" si="394"/>
        <v>2391.9052378042179</v>
      </c>
    </row>
    <row r="8433" spans="2:4" x14ac:dyDescent="0.25">
      <c r="B8433">
        <f t="shared" ca="1" si="395"/>
        <v>46730.903750400983</v>
      </c>
      <c r="C8433">
        <f t="shared" ca="1" si="393"/>
        <v>0</v>
      </c>
      <c r="D8433">
        <f t="shared" ca="1" si="394"/>
        <v>6730.903750400983</v>
      </c>
    </row>
    <row r="8434" spans="2:4" x14ac:dyDescent="0.25">
      <c r="B8434">
        <f t="shared" ca="1" si="395"/>
        <v>44451.410060195078</v>
      </c>
      <c r="C8434">
        <f t="shared" ca="1" si="393"/>
        <v>0</v>
      </c>
      <c r="D8434">
        <f t="shared" ca="1" si="394"/>
        <v>4451.4100601950777</v>
      </c>
    </row>
    <row r="8435" spans="2:4" x14ac:dyDescent="0.25">
      <c r="B8435">
        <f t="shared" ca="1" si="395"/>
        <v>48977.15286994254</v>
      </c>
      <c r="C8435">
        <f t="shared" ca="1" si="393"/>
        <v>0</v>
      </c>
      <c r="D8435">
        <f t="shared" ca="1" si="394"/>
        <v>8977.1528699425398</v>
      </c>
    </row>
    <row r="8436" spans="2:4" x14ac:dyDescent="0.25">
      <c r="B8436">
        <f t="shared" ca="1" si="395"/>
        <v>47567.695898995233</v>
      </c>
      <c r="C8436">
        <f t="shared" ca="1" si="393"/>
        <v>0</v>
      </c>
      <c r="D8436">
        <f t="shared" ca="1" si="394"/>
        <v>7567.6958989952327</v>
      </c>
    </row>
    <row r="8437" spans="2:4" x14ac:dyDescent="0.25">
      <c r="B8437">
        <f t="shared" ca="1" si="395"/>
        <v>48700.088396677107</v>
      </c>
      <c r="C8437">
        <f t="shared" ca="1" si="393"/>
        <v>0</v>
      </c>
      <c r="D8437">
        <f t="shared" ca="1" si="394"/>
        <v>8700.0883966771071</v>
      </c>
    </row>
    <row r="8438" spans="2:4" x14ac:dyDescent="0.25">
      <c r="B8438">
        <f t="shared" ca="1" si="395"/>
        <v>38493.883395997793</v>
      </c>
      <c r="C8438">
        <f t="shared" ca="1" si="393"/>
        <v>1506.1166040022072</v>
      </c>
      <c r="D8438">
        <f t="shared" ca="1" si="394"/>
        <v>0</v>
      </c>
    </row>
    <row r="8439" spans="2:4" x14ac:dyDescent="0.25">
      <c r="B8439">
        <f t="shared" ca="1" si="395"/>
        <v>44105.294808201907</v>
      </c>
      <c r="C8439">
        <f t="shared" ca="1" si="393"/>
        <v>0</v>
      </c>
      <c r="D8439">
        <f t="shared" ca="1" si="394"/>
        <v>4105.2948082019066</v>
      </c>
    </row>
    <row r="8440" spans="2:4" x14ac:dyDescent="0.25">
      <c r="B8440">
        <f t="shared" ca="1" si="395"/>
        <v>45893.908414145553</v>
      </c>
      <c r="C8440">
        <f t="shared" ca="1" si="393"/>
        <v>0</v>
      </c>
      <c r="D8440">
        <f t="shared" ca="1" si="394"/>
        <v>5893.9084141455533</v>
      </c>
    </row>
    <row r="8441" spans="2:4" x14ac:dyDescent="0.25">
      <c r="B8441">
        <f t="shared" ca="1" si="395"/>
        <v>49369.144891064869</v>
      </c>
      <c r="C8441">
        <f t="shared" ca="1" si="393"/>
        <v>0</v>
      </c>
      <c r="D8441">
        <f t="shared" ca="1" si="394"/>
        <v>9369.1448910648687</v>
      </c>
    </row>
    <row r="8442" spans="2:4" x14ac:dyDescent="0.25">
      <c r="B8442">
        <f t="shared" ca="1" si="395"/>
        <v>55670.4768929825</v>
      </c>
      <c r="C8442">
        <f t="shared" ca="1" si="393"/>
        <v>0</v>
      </c>
      <c r="D8442">
        <f t="shared" ca="1" si="394"/>
        <v>15670.4768929825</v>
      </c>
    </row>
    <row r="8443" spans="2:4" x14ac:dyDescent="0.25">
      <c r="B8443">
        <f t="shared" ca="1" si="395"/>
        <v>44229.445350762886</v>
      </c>
      <c r="C8443">
        <f t="shared" ca="1" si="393"/>
        <v>0</v>
      </c>
      <c r="D8443">
        <f t="shared" ca="1" si="394"/>
        <v>4229.4453507628859</v>
      </c>
    </row>
    <row r="8444" spans="2:4" x14ac:dyDescent="0.25">
      <c r="B8444">
        <f t="shared" ca="1" si="395"/>
        <v>44862.033075578169</v>
      </c>
      <c r="C8444">
        <f t="shared" ca="1" si="393"/>
        <v>0</v>
      </c>
      <c r="D8444">
        <f t="shared" ca="1" si="394"/>
        <v>4862.0330755781688</v>
      </c>
    </row>
    <row r="8445" spans="2:4" x14ac:dyDescent="0.25">
      <c r="B8445">
        <f t="shared" ca="1" si="395"/>
        <v>42891.759455533997</v>
      </c>
      <c r="C8445">
        <f t="shared" ca="1" si="393"/>
        <v>0</v>
      </c>
      <c r="D8445">
        <f t="shared" ca="1" si="394"/>
        <v>2891.7594555339965</v>
      </c>
    </row>
    <row r="8446" spans="2:4" x14ac:dyDescent="0.25">
      <c r="B8446">
        <f t="shared" ca="1" si="395"/>
        <v>40027.125121120727</v>
      </c>
      <c r="C8446">
        <f t="shared" ca="1" si="393"/>
        <v>0</v>
      </c>
      <c r="D8446">
        <f t="shared" ca="1" si="394"/>
        <v>27.125121120727272</v>
      </c>
    </row>
    <row r="8447" spans="2:4" x14ac:dyDescent="0.25">
      <c r="B8447">
        <f t="shared" ca="1" si="395"/>
        <v>40194.164603465513</v>
      </c>
      <c r="C8447">
        <f t="shared" ca="1" si="393"/>
        <v>0</v>
      </c>
      <c r="D8447">
        <f t="shared" ca="1" si="394"/>
        <v>194.16460346551321</v>
      </c>
    </row>
    <row r="8448" spans="2:4" x14ac:dyDescent="0.25">
      <c r="B8448">
        <f t="shared" ca="1" si="395"/>
        <v>50005.100025390762</v>
      </c>
      <c r="C8448">
        <f t="shared" ca="1" si="393"/>
        <v>0</v>
      </c>
      <c r="D8448">
        <f t="shared" ca="1" si="394"/>
        <v>10005.100025390762</v>
      </c>
    </row>
    <row r="8449" spans="2:4" x14ac:dyDescent="0.25">
      <c r="B8449">
        <f t="shared" ca="1" si="395"/>
        <v>48883.45089667492</v>
      </c>
      <c r="C8449">
        <f t="shared" ca="1" si="393"/>
        <v>0</v>
      </c>
      <c r="D8449">
        <f t="shared" ca="1" si="394"/>
        <v>8883.4508966749199</v>
      </c>
    </row>
    <row r="8450" spans="2:4" x14ac:dyDescent="0.25">
      <c r="B8450">
        <f t="shared" ca="1" si="395"/>
        <v>46842.751840944446</v>
      </c>
      <c r="C8450">
        <f t="shared" ca="1" si="393"/>
        <v>0</v>
      </c>
      <c r="D8450">
        <f t="shared" ca="1" si="394"/>
        <v>6842.7518409444456</v>
      </c>
    </row>
    <row r="8451" spans="2:4" x14ac:dyDescent="0.25">
      <c r="B8451">
        <f t="shared" ca="1" si="395"/>
        <v>48715.046617967244</v>
      </c>
      <c r="C8451">
        <f t="shared" ca="1" si="393"/>
        <v>0</v>
      </c>
      <c r="D8451">
        <f t="shared" ca="1" si="394"/>
        <v>8715.0466179672439</v>
      </c>
    </row>
    <row r="8452" spans="2:4" x14ac:dyDescent="0.25">
      <c r="B8452">
        <f t="shared" ca="1" si="395"/>
        <v>38354.062811311851</v>
      </c>
      <c r="C8452">
        <f t="shared" ca="1" si="393"/>
        <v>1645.937188688149</v>
      </c>
      <c r="D8452">
        <f t="shared" ca="1" si="394"/>
        <v>0</v>
      </c>
    </row>
    <row r="8453" spans="2:4" x14ac:dyDescent="0.25">
      <c r="B8453">
        <f t="shared" ca="1" si="395"/>
        <v>48097.709921358008</v>
      </c>
      <c r="C8453">
        <f t="shared" ca="1" si="393"/>
        <v>0</v>
      </c>
      <c r="D8453">
        <f t="shared" ca="1" si="394"/>
        <v>8097.7099213580077</v>
      </c>
    </row>
    <row r="8454" spans="2:4" x14ac:dyDescent="0.25">
      <c r="B8454">
        <f t="shared" ca="1" si="395"/>
        <v>39782.967798089361</v>
      </c>
      <c r="C8454">
        <f t="shared" ca="1" si="393"/>
        <v>217.03220191063883</v>
      </c>
      <c r="D8454">
        <f t="shared" ca="1" si="394"/>
        <v>0</v>
      </c>
    </row>
    <row r="8455" spans="2:4" x14ac:dyDescent="0.25">
      <c r="B8455">
        <f t="shared" ca="1" si="395"/>
        <v>40657.266868279738</v>
      </c>
      <c r="C8455">
        <f t="shared" ca="1" si="393"/>
        <v>0</v>
      </c>
      <c r="D8455">
        <f t="shared" ca="1" si="394"/>
        <v>657.26686827973754</v>
      </c>
    </row>
    <row r="8456" spans="2:4" x14ac:dyDescent="0.25">
      <c r="B8456">
        <f t="shared" ca="1" si="395"/>
        <v>39487.474734399962</v>
      </c>
      <c r="C8456">
        <f t="shared" ca="1" si="393"/>
        <v>512.52526560003753</v>
      </c>
      <c r="D8456">
        <f t="shared" ca="1" si="394"/>
        <v>0</v>
      </c>
    </row>
    <row r="8457" spans="2:4" x14ac:dyDescent="0.25">
      <c r="B8457">
        <f t="shared" ca="1" si="395"/>
        <v>47785.474657251929</v>
      </c>
      <c r="C8457">
        <f t="shared" ca="1" si="393"/>
        <v>0</v>
      </c>
      <c r="D8457">
        <f t="shared" ca="1" si="394"/>
        <v>7785.4746572519289</v>
      </c>
    </row>
    <row r="8458" spans="2:4" x14ac:dyDescent="0.25">
      <c r="B8458">
        <f t="shared" ca="1" si="395"/>
        <v>43726.615278065728</v>
      </c>
      <c r="C8458">
        <f t="shared" ca="1" si="393"/>
        <v>0</v>
      </c>
      <c r="D8458">
        <f t="shared" ca="1" si="394"/>
        <v>3726.6152780657285</v>
      </c>
    </row>
    <row r="8459" spans="2:4" x14ac:dyDescent="0.25">
      <c r="B8459">
        <f t="shared" ca="1" si="395"/>
        <v>45946.135489393731</v>
      </c>
      <c r="C8459">
        <f t="shared" ca="1" si="393"/>
        <v>0</v>
      </c>
      <c r="D8459">
        <f t="shared" ca="1" si="394"/>
        <v>5946.1354893937314</v>
      </c>
    </row>
    <row r="8460" spans="2:4" x14ac:dyDescent="0.25">
      <c r="B8460">
        <f t="shared" ca="1" si="395"/>
        <v>48640.775517081333</v>
      </c>
      <c r="C8460">
        <f t="shared" ref="C8460:C8523" ca="1" si="396">IF(MAX($B$2-B8460)&lt;0,0,$B$2-B8460)</f>
        <v>0</v>
      </c>
      <c r="D8460">
        <f t="shared" ref="D8460:D8523" ca="1" si="397">IF(MAX(B8460-$B$2)&lt;0,0,B8460-$B$2)</f>
        <v>8640.7755170813325</v>
      </c>
    </row>
    <row r="8461" spans="2:4" x14ac:dyDescent="0.25">
      <c r="B8461">
        <f t="shared" ref="B8461:B8524" ca="1" si="398">$B$1*EXP((($B$4-($B$3^2)/2)*$B$5+$B$3*SQRT($B$5)*NORMSINV(RAND())))</f>
        <v>41044.440119112827</v>
      </c>
      <c r="C8461">
        <f t="shared" ca="1" si="396"/>
        <v>0</v>
      </c>
      <c r="D8461">
        <f t="shared" ca="1" si="397"/>
        <v>1044.4401191128272</v>
      </c>
    </row>
    <row r="8462" spans="2:4" x14ac:dyDescent="0.25">
      <c r="B8462">
        <f t="shared" ca="1" si="398"/>
        <v>44830.78242990451</v>
      </c>
      <c r="C8462">
        <f t="shared" ca="1" si="396"/>
        <v>0</v>
      </c>
      <c r="D8462">
        <f t="shared" ca="1" si="397"/>
        <v>4830.7824299045096</v>
      </c>
    </row>
    <row r="8463" spans="2:4" x14ac:dyDescent="0.25">
      <c r="B8463">
        <f t="shared" ca="1" si="398"/>
        <v>43270.403046078696</v>
      </c>
      <c r="C8463">
        <f t="shared" ca="1" si="396"/>
        <v>0</v>
      </c>
      <c r="D8463">
        <f t="shared" ca="1" si="397"/>
        <v>3270.4030460786962</v>
      </c>
    </row>
    <row r="8464" spans="2:4" x14ac:dyDescent="0.25">
      <c r="B8464">
        <f t="shared" ca="1" si="398"/>
        <v>44389.023658324724</v>
      </c>
      <c r="C8464">
        <f t="shared" ca="1" si="396"/>
        <v>0</v>
      </c>
      <c r="D8464">
        <f t="shared" ca="1" si="397"/>
        <v>4389.0236583247242</v>
      </c>
    </row>
    <row r="8465" spans="2:4" x14ac:dyDescent="0.25">
      <c r="B8465">
        <f t="shared" ca="1" si="398"/>
        <v>46002.199239936184</v>
      </c>
      <c r="C8465">
        <f t="shared" ca="1" si="396"/>
        <v>0</v>
      </c>
      <c r="D8465">
        <f t="shared" ca="1" si="397"/>
        <v>6002.1992399361843</v>
      </c>
    </row>
    <row r="8466" spans="2:4" x14ac:dyDescent="0.25">
      <c r="B8466">
        <f t="shared" ca="1" si="398"/>
        <v>41456.91201227955</v>
      </c>
      <c r="C8466">
        <f t="shared" ca="1" si="396"/>
        <v>0</v>
      </c>
      <c r="D8466">
        <f t="shared" ca="1" si="397"/>
        <v>1456.9120122795503</v>
      </c>
    </row>
    <row r="8467" spans="2:4" x14ac:dyDescent="0.25">
      <c r="B8467">
        <f t="shared" ca="1" si="398"/>
        <v>54603.826140044395</v>
      </c>
      <c r="C8467">
        <f t="shared" ca="1" si="396"/>
        <v>0</v>
      </c>
      <c r="D8467">
        <f t="shared" ca="1" si="397"/>
        <v>14603.826140044395</v>
      </c>
    </row>
    <row r="8468" spans="2:4" x14ac:dyDescent="0.25">
      <c r="B8468">
        <f t="shared" ca="1" si="398"/>
        <v>49340.958175315289</v>
      </c>
      <c r="C8468">
        <f t="shared" ca="1" si="396"/>
        <v>0</v>
      </c>
      <c r="D8468">
        <f t="shared" ca="1" si="397"/>
        <v>9340.9581753152888</v>
      </c>
    </row>
    <row r="8469" spans="2:4" x14ac:dyDescent="0.25">
      <c r="B8469">
        <f t="shared" ca="1" si="398"/>
        <v>49997.249479673148</v>
      </c>
      <c r="C8469">
        <f t="shared" ca="1" si="396"/>
        <v>0</v>
      </c>
      <c r="D8469">
        <f t="shared" ca="1" si="397"/>
        <v>9997.249479673148</v>
      </c>
    </row>
    <row r="8470" spans="2:4" x14ac:dyDescent="0.25">
      <c r="B8470">
        <f t="shared" ca="1" si="398"/>
        <v>38475.842753162025</v>
      </c>
      <c r="C8470">
        <f t="shared" ca="1" si="396"/>
        <v>1524.1572468379745</v>
      </c>
      <c r="D8470">
        <f t="shared" ca="1" si="397"/>
        <v>0</v>
      </c>
    </row>
    <row r="8471" spans="2:4" x14ac:dyDescent="0.25">
      <c r="B8471">
        <f t="shared" ca="1" si="398"/>
        <v>51301.451662170002</v>
      </c>
      <c r="C8471">
        <f t="shared" ca="1" si="396"/>
        <v>0</v>
      </c>
      <c r="D8471">
        <f t="shared" ca="1" si="397"/>
        <v>11301.451662170002</v>
      </c>
    </row>
    <row r="8472" spans="2:4" x14ac:dyDescent="0.25">
      <c r="B8472">
        <f t="shared" ca="1" si="398"/>
        <v>44951.877701287565</v>
      </c>
      <c r="C8472">
        <f t="shared" ca="1" si="396"/>
        <v>0</v>
      </c>
      <c r="D8472">
        <f t="shared" ca="1" si="397"/>
        <v>4951.8777012875653</v>
      </c>
    </row>
    <row r="8473" spans="2:4" x14ac:dyDescent="0.25">
      <c r="B8473">
        <f t="shared" ca="1" si="398"/>
        <v>49568.482782826235</v>
      </c>
      <c r="C8473">
        <f t="shared" ca="1" si="396"/>
        <v>0</v>
      </c>
      <c r="D8473">
        <f t="shared" ca="1" si="397"/>
        <v>9568.4827828262351</v>
      </c>
    </row>
    <row r="8474" spans="2:4" x14ac:dyDescent="0.25">
      <c r="B8474">
        <f t="shared" ca="1" si="398"/>
        <v>37896.852587965943</v>
      </c>
      <c r="C8474">
        <f t="shared" ca="1" si="396"/>
        <v>2103.1474120340572</v>
      </c>
      <c r="D8474">
        <f t="shared" ca="1" si="397"/>
        <v>0</v>
      </c>
    </row>
    <row r="8475" spans="2:4" x14ac:dyDescent="0.25">
      <c r="B8475">
        <f t="shared" ca="1" si="398"/>
        <v>45202.002097691467</v>
      </c>
      <c r="C8475">
        <f t="shared" ca="1" si="396"/>
        <v>0</v>
      </c>
      <c r="D8475">
        <f t="shared" ca="1" si="397"/>
        <v>5202.0020976914675</v>
      </c>
    </row>
    <row r="8476" spans="2:4" x14ac:dyDescent="0.25">
      <c r="B8476">
        <f t="shared" ca="1" si="398"/>
        <v>43807.842334784254</v>
      </c>
      <c r="C8476">
        <f t="shared" ca="1" si="396"/>
        <v>0</v>
      </c>
      <c r="D8476">
        <f t="shared" ca="1" si="397"/>
        <v>3807.8423347842545</v>
      </c>
    </row>
    <row r="8477" spans="2:4" x14ac:dyDescent="0.25">
      <c r="B8477">
        <f t="shared" ca="1" si="398"/>
        <v>50685.536374073046</v>
      </c>
      <c r="C8477">
        <f t="shared" ca="1" si="396"/>
        <v>0</v>
      </c>
      <c r="D8477">
        <f t="shared" ca="1" si="397"/>
        <v>10685.536374073046</v>
      </c>
    </row>
    <row r="8478" spans="2:4" x14ac:dyDescent="0.25">
      <c r="B8478">
        <f t="shared" ca="1" si="398"/>
        <v>38386.74320881936</v>
      </c>
      <c r="C8478">
        <f t="shared" ca="1" si="396"/>
        <v>1613.25679118064</v>
      </c>
      <c r="D8478">
        <f t="shared" ca="1" si="397"/>
        <v>0</v>
      </c>
    </row>
    <row r="8479" spans="2:4" x14ac:dyDescent="0.25">
      <c r="B8479">
        <f t="shared" ca="1" si="398"/>
        <v>43195.060107833415</v>
      </c>
      <c r="C8479">
        <f t="shared" ca="1" si="396"/>
        <v>0</v>
      </c>
      <c r="D8479">
        <f t="shared" ca="1" si="397"/>
        <v>3195.0601078334148</v>
      </c>
    </row>
    <row r="8480" spans="2:4" x14ac:dyDescent="0.25">
      <c r="B8480">
        <f t="shared" ca="1" si="398"/>
        <v>35809.127879829633</v>
      </c>
      <c r="C8480">
        <f t="shared" ca="1" si="396"/>
        <v>4190.8721201703665</v>
      </c>
      <c r="D8480">
        <f t="shared" ca="1" si="397"/>
        <v>0</v>
      </c>
    </row>
    <row r="8481" spans="2:4" x14ac:dyDescent="0.25">
      <c r="B8481">
        <f t="shared" ca="1" si="398"/>
        <v>43090.005153101367</v>
      </c>
      <c r="C8481">
        <f t="shared" ca="1" si="396"/>
        <v>0</v>
      </c>
      <c r="D8481">
        <f t="shared" ca="1" si="397"/>
        <v>3090.0051531013669</v>
      </c>
    </row>
    <row r="8482" spans="2:4" x14ac:dyDescent="0.25">
      <c r="B8482">
        <f t="shared" ca="1" si="398"/>
        <v>49239.185482773246</v>
      </c>
      <c r="C8482">
        <f t="shared" ca="1" si="396"/>
        <v>0</v>
      </c>
      <c r="D8482">
        <f t="shared" ca="1" si="397"/>
        <v>9239.1854827732459</v>
      </c>
    </row>
    <row r="8483" spans="2:4" x14ac:dyDescent="0.25">
      <c r="B8483">
        <f t="shared" ca="1" si="398"/>
        <v>50347.675731448187</v>
      </c>
      <c r="C8483">
        <f t="shared" ca="1" si="396"/>
        <v>0</v>
      </c>
      <c r="D8483">
        <f t="shared" ca="1" si="397"/>
        <v>10347.675731448187</v>
      </c>
    </row>
    <row r="8484" spans="2:4" x14ac:dyDescent="0.25">
      <c r="B8484">
        <f t="shared" ca="1" si="398"/>
        <v>39299.726642650043</v>
      </c>
      <c r="C8484">
        <f t="shared" ca="1" si="396"/>
        <v>700.27335734995722</v>
      </c>
      <c r="D8484">
        <f t="shared" ca="1" si="397"/>
        <v>0</v>
      </c>
    </row>
    <row r="8485" spans="2:4" x14ac:dyDescent="0.25">
      <c r="B8485">
        <f t="shared" ca="1" si="398"/>
        <v>43453.878433989608</v>
      </c>
      <c r="C8485">
        <f t="shared" ca="1" si="396"/>
        <v>0</v>
      </c>
      <c r="D8485">
        <f t="shared" ca="1" si="397"/>
        <v>3453.8784339896083</v>
      </c>
    </row>
    <row r="8486" spans="2:4" x14ac:dyDescent="0.25">
      <c r="B8486">
        <f t="shared" ca="1" si="398"/>
        <v>40776.306708334509</v>
      </c>
      <c r="C8486">
        <f t="shared" ca="1" si="396"/>
        <v>0</v>
      </c>
      <c r="D8486">
        <f t="shared" ca="1" si="397"/>
        <v>776.30670833450858</v>
      </c>
    </row>
    <row r="8487" spans="2:4" x14ac:dyDescent="0.25">
      <c r="B8487">
        <f t="shared" ca="1" si="398"/>
        <v>47313.444048734396</v>
      </c>
      <c r="C8487">
        <f t="shared" ca="1" si="396"/>
        <v>0</v>
      </c>
      <c r="D8487">
        <f t="shared" ca="1" si="397"/>
        <v>7313.4440487343963</v>
      </c>
    </row>
    <row r="8488" spans="2:4" x14ac:dyDescent="0.25">
      <c r="B8488">
        <f t="shared" ca="1" si="398"/>
        <v>50488.036797525172</v>
      </c>
      <c r="C8488">
        <f t="shared" ca="1" si="396"/>
        <v>0</v>
      </c>
      <c r="D8488">
        <f t="shared" ca="1" si="397"/>
        <v>10488.036797525172</v>
      </c>
    </row>
    <row r="8489" spans="2:4" x14ac:dyDescent="0.25">
      <c r="B8489">
        <f t="shared" ca="1" si="398"/>
        <v>47690.840000884928</v>
      </c>
      <c r="C8489">
        <f t="shared" ca="1" si="396"/>
        <v>0</v>
      </c>
      <c r="D8489">
        <f t="shared" ca="1" si="397"/>
        <v>7690.8400008849276</v>
      </c>
    </row>
    <row r="8490" spans="2:4" x14ac:dyDescent="0.25">
      <c r="B8490">
        <f t="shared" ca="1" si="398"/>
        <v>46288.394456720118</v>
      </c>
      <c r="C8490">
        <f t="shared" ca="1" si="396"/>
        <v>0</v>
      </c>
      <c r="D8490">
        <f t="shared" ca="1" si="397"/>
        <v>6288.3944567201179</v>
      </c>
    </row>
    <row r="8491" spans="2:4" x14ac:dyDescent="0.25">
      <c r="B8491">
        <f t="shared" ca="1" si="398"/>
        <v>50659.341305918257</v>
      </c>
      <c r="C8491">
        <f t="shared" ca="1" si="396"/>
        <v>0</v>
      </c>
      <c r="D8491">
        <f t="shared" ca="1" si="397"/>
        <v>10659.341305918257</v>
      </c>
    </row>
    <row r="8492" spans="2:4" x14ac:dyDescent="0.25">
      <c r="B8492">
        <f t="shared" ca="1" si="398"/>
        <v>47309.413846004565</v>
      </c>
      <c r="C8492">
        <f t="shared" ca="1" si="396"/>
        <v>0</v>
      </c>
      <c r="D8492">
        <f t="shared" ca="1" si="397"/>
        <v>7309.4138460045651</v>
      </c>
    </row>
    <row r="8493" spans="2:4" x14ac:dyDescent="0.25">
      <c r="B8493">
        <f t="shared" ca="1" si="398"/>
        <v>43196.839908075526</v>
      </c>
      <c r="C8493">
        <f t="shared" ca="1" si="396"/>
        <v>0</v>
      </c>
      <c r="D8493">
        <f t="shared" ca="1" si="397"/>
        <v>3196.8399080755262</v>
      </c>
    </row>
    <row r="8494" spans="2:4" x14ac:dyDescent="0.25">
      <c r="B8494">
        <f t="shared" ca="1" si="398"/>
        <v>38197.020293185509</v>
      </c>
      <c r="C8494">
        <f t="shared" ca="1" si="396"/>
        <v>1802.9797068144908</v>
      </c>
      <c r="D8494">
        <f t="shared" ca="1" si="397"/>
        <v>0</v>
      </c>
    </row>
    <row r="8495" spans="2:4" x14ac:dyDescent="0.25">
      <c r="B8495">
        <f t="shared" ca="1" si="398"/>
        <v>56358.872395360195</v>
      </c>
      <c r="C8495">
        <f t="shared" ca="1" si="396"/>
        <v>0</v>
      </c>
      <c r="D8495">
        <f t="shared" ca="1" si="397"/>
        <v>16358.872395360195</v>
      </c>
    </row>
    <row r="8496" spans="2:4" x14ac:dyDescent="0.25">
      <c r="B8496">
        <f t="shared" ca="1" si="398"/>
        <v>46899.00650219978</v>
      </c>
      <c r="C8496">
        <f t="shared" ca="1" si="396"/>
        <v>0</v>
      </c>
      <c r="D8496">
        <f t="shared" ca="1" si="397"/>
        <v>6899.0065021997798</v>
      </c>
    </row>
    <row r="8497" spans="2:4" x14ac:dyDescent="0.25">
      <c r="B8497">
        <f t="shared" ca="1" si="398"/>
        <v>34944.689578933008</v>
      </c>
      <c r="C8497">
        <f t="shared" ca="1" si="396"/>
        <v>5055.3104210669917</v>
      </c>
      <c r="D8497">
        <f t="shared" ca="1" si="397"/>
        <v>0</v>
      </c>
    </row>
    <row r="8498" spans="2:4" x14ac:dyDescent="0.25">
      <c r="B8498">
        <f t="shared" ca="1" si="398"/>
        <v>38255.58788204415</v>
      </c>
      <c r="C8498">
        <f t="shared" ca="1" si="396"/>
        <v>1744.4121179558497</v>
      </c>
      <c r="D8498">
        <f t="shared" ca="1" si="397"/>
        <v>0</v>
      </c>
    </row>
    <row r="8499" spans="2:4" x14ac:dyDescent="0.25">
      <c r="B8499">
        <f t="shared" ca="1" si="398"/>
        <v>44544.780395252077</v>
      </c>
      <c r="C8499">
        <f t="shared" ca="1" si="396"/>
        <v>0</v>
      </c>
      <c r="D8499">
        <f t="shared" ca="1" si="397"/>
        <v>4544.7803952520771</v>
      </c>
    </row>
    <row r="8500" spans="2:4" x14ac:dyDescent="0.25">
      <c r="B8500">
        <f t="shared" ca="1" si="398"/>
        <v>36858.026399879818</v>
      </c>
      <c r="C8500">
        <f t="shared" ca="1" si="396"/>
        <v>3141.9736001201818</v>
      </c>
      <c r="D8500">
        <f t="shared" ca="1" si="397"/>
        <v>0</v>
      </c>
    </row>
    <row r="8501" spans="2:4" x14ac:dyDescent="0.25">
      <c r="B8501">
        <f t="shared" ca="1" si="398"/>
        <v>42245.453370278403</v>
      </c>
      <c r="C8501">
        <f t="shared" ca="1" si="396"/>
        <v>0</v>
      </c>
      <c r="D8501">
        <f t="shared" ca="1" si="397"/>
        <v>2245.4533702784029</v>
      </c>
    </row>
    <row r="8502" spans="2:4" x14ac:dyDescent="0.25">
      <c r="B8502">
        <f t="shared" ca="1" si="398"/>
        <v>47944.985334607074</v>
      </c>
      <c r="C8502">
        <f t="shared" ca="1" si="396"/>
        <v>0</v>
      </c>
      <c r="D8502">
        <f t="shared" ca="1" si="397"/>
        <v>7944.985334607074</v>
      </c>
    </row>
    <row r="8503" spans="2:4" x14ac:dyDescent="0.25">
      <c r="B8503">
        <f t="shared" ca="1" si="398"/>
        <v>50019.528169214042</v>
      </c>
      <c r="C8503">
        <f t="shared" ca="1" si="396"/>
        <v>0</v>
      </c>
      <c r="D8503">
        <f t="shared" ca="1" si="397"/>
        <v>10019.528169214042</v>
      </c>
    </row>
    <row r="8504" spans="2:4" x14ac:dyDescent="0.25">
      <c r="B8504">
        <f t="shared" ca="1" si="398"/>
        <v>38697.98946310165</v>
      </c>
      <c r="C8504">
        <f t="shared" ca="1" si="396"/>
        <v>1302.0105368983495</v>
      </c>
      <c r="D8504">
        <f t="shared" ca="1" si="397"/>
        <v>0</v>
      </c>
    </row>
    <row r="8505" spans="2:4" x14ac:dyDescent="0.25">
      <c r="B8505">
        <f t="shared" ca="1" si="398"/>
        <v>40584.140354210118</v>
      </c>
      <c r="C8505">
        <f t="shared" ca="1" si="396"/>
        <v>0</v>
      </c>
      <c r="D8505">
        <f t="shared" ca="1" si="397"/>
        <v>584.14035421011795</v>
      </c>
    </row>
    <row r="8506" spans="2:4" x14ac:dyDescent="0.25">
      <c r="B8506">
        <f t="shared" ca="1" si="398"/>
        <v>40307.817698489562</v>
      </c>
      <c r="C8506">
        <f t="shared" ca="1" si="396"/>
        <v>0</v>
      </c>
      <c r="D8506">
        <f t="shared" ca="1" si="397"/>
        <v>307.81769848956174</v>
      </c>
    </row>
    <row r="8507" spans="2:4" x14ac:dyDescent="0.25">
      <c r="B8507">
        <f t="shared" ca="1" si="398"/>
        <v>39254.032866781032</v>
      </c>
      <c r="C8507">
        <f t="shared" ca="1" si="396"/>
        <v>745.96713321896823</v>
      </c>
      <c r="D8507">
        <f t="shared" ca="1" si="397"/>
        <v>0</v>
      </c>
    </row>
    <row r="8508" spans="2:4" x14ac:dyDescent="0.25">
      <c r="B8508">
        <f t="shared" ca="1" si="398"/>
        <v>44707.411086864849</v>
      </c>
      <c r="C8508">
        <f t="shared" ca="1" si="396"/>
        <v>0</v>
      </c>
      <c r="D8508">
        <f t="shared" ca="1" si="397"/>
        <v>4707.4110868648495</v>
      </c>
    </row>
    <row r="8509" spans="2:4" x14ac:dyDescent="0.25">
      <c r="B8509">
        <f t="shared" ca="1" si="398"/>
        <v>39342.005352783322</v>
      </c>
      <c r="C8509">
        <f t="shared" ca="1" si="396"/>
        <v>657.99464721667755</v>
      </c>
      <c r="D8509">
        <f t="shared" ca="1" si="397"/>
        <v>0</v>
      </c>
    </row>
    <row r="8510" spans="2:4" x14ac:dyDescent="0.25">
      <c r="B8510">
        <f t="shared" ca="1" si="398"/>
        <v>41046.535096430991</v>
      </c>
      <c r="C8510">
        <f t="shared" ca="1" si="396"/>
        <v>0</v>
      </c>
      <c r="D8510">
        <f t="shared" ca="1" si="397"/>
        <v>1046.535096430991</v>
      </c>
    </row>
    <row r="8511" spans="2:4" x14ac:dyDescent="0.25">
      <c r="B8511">
        <f t="shared" ca="1" si="398"/>
        <v>45121.551058108424</v>
      </c>
      <c r="C8511">
        <f t="shared" ca="1" si="396"/>
        <v>0</v>
      </c>
      <c r="D8511">
        <f t="shared" ca="1" si="397"/>
        <v>5121.5510581084236</v>
      </c>
    </row>
    <row r="8512" spans="2:4" x14ac:dyDescent="0.25">
      <c r="B8512">
        <f t="shared" ca="1" si="398"/>
        <v>44171.063132749856</v>
      </c>
      <c r="C8512">
        <f t="shared" ca="1" si="396"/>
        <v>0</v>
      </c>
      <c r="D8512">
        <f t="shared" ca="1" si="397"/>
        <v>4171.0631327498559</v>
      </c>
    </row>
    <row r="8513" spans="2:4" x14ac:dyDescent="0.25">
      <c r="B8513">
        <f t="shared" ca="1" si="398"/>
        <v>47696.046717915771</v>
      </c>
      <c r="C8513">
        <f t="shared" ca="1" si="396"/>
        <v>0</v>
      </c>
      <c r="D8513">
        <f t="shared" ca="1" si="397"/>
        <v>7696.0467179157713</v>
      </c>
    </row>
    <row r="8514" spans="2:4" x14ac:dyDescent="0.25">
      <c r="B8514">
        <f t="shared" ca="1" si="398"/>
        <v>42825.980894727851</v>
      </c>
      <c r="C8514">
        <f t="shared" ca="1" si="396"/>
        <v>0</v>
      </c>
      <c r="D8514">
        <f t="shared" ca="1" si="397"/>
        <v>2825.9808947278507</v>
      </c>
    </row>
    <row r="8515" spans="2:4" x14ac:dyDescent="0.25">
      <c r="B8515">
        <f t="shared" ca="1" si="398"/>
        <v>51786.12367434358</v>
      </c>
      <c r="C8515">
        <f t="shared" ca="1" si="396"/>
        <v>0</v>
      </c>
      <c r="D8515">
        <f t="shared" ca="1" si="397"/>
        <v>11786.12367434358</v>
      </c>
    </row>
    <row r="8516" spans="2:4" x14ac:dyDescent="0.25">
      <c r="B8516">
        <f t="shared" ca="1" si="398"/>
        <v>46702.094951176587</v>
      </c>
      <c r="C8516">
        <f t="shared" ca="1" si="396"/>
        <v>0</v>
      </c>
      <c r="D8516">
        <f t="shared" ca="1" si="397"/>
        <v>6702.0949511765866</v>
      </c>
    </row>
    <row r="8517" spans="2:4" x14ac:dyDescent="0.25">
      <c r="B8517">
        <f t="shared" ca="1" si="398"/>
        <v>48510.52097625591</v>
      </c>
      <c r="C8517">
        <f t="shared" ca="1" si="396"/>
        <v>0</v>
      </c>
      <c r="D8517">
        <f t="shared" ca="1" si="397"/>
        <v>8510.5209762559098</v>
      </c>
    </row>
    <row r="8518" spans="2:4" x14ac:dyDescent="0.25">
      <c r="B8518">
        <f t="shared" ca="1" si="398"/>
        <v>45538.563176129283</v>
      </c>
      <c r="C8518">
        <f t="shared" ca="1" si="396"/>
        <v>0</v>
      </c>
      <c r="D8518">
        <f t="shared" ca="1" si="397"/>
        <v>5538.5631761292825</v>
      </c>
    </row>
    <row r="8519" spans="2:4" x14ac:dyDescent="0.25">
      <c r="B8519">
        <f t="shared" ca="1" si="398"/>
        <v>46263.362494717883</v>
      </c>
      <c r="C8519">
        <f t="shared" ca="1" si="396"/>
        <v>0</v>
      </c>
      <c r="D8519">
        <f t="shared" ca="1" si="397"/>
        <v>6263.3624947178832</v>
      </c>
    </row>
    <row r="8520" spans="2:4" x14ac:dyDescent="0.25">
      <c r="B8520">
        <f t="shared" ca="1" si="398"/>
        <v>44935.031857778929</v>
      </c>
      <c r="C8520">
        <f t="shared" ca="1" si="396"/>
        <v>0</v>
      </c>
      <c r="D8520">
        <f t="shared" ca="1" si="397"/>
        <v>4935.0318577789294</v>
      </c>
    </row>
    <row r="8521" spans="2:4" x14ac:dyDescent="0.25">
      <c r="B8521">
        <f t="shared" ca="1" si="398"/>
        <v>42840.349179653538</v>
      </c>
      <c r="C8521">
        <f t="shared" ca="1" si="396"/>
        <v>0</v>
      </c>
      <c r="D8521">
        <f t="shared" ca="1" si="397"/>
        <v>2840.3491796535382</v>
      </c>
    </row>
    <row r="8522" spans="2:4" x14ac:dyDescent="0.25">
      <c r="B8522">
        <f t="shared" ca="1" si="398"/>
        <v>49343.449025138871</v>
      </c>
      <c r="C8522">
        <f t="shared" ca="1" si="396"/>
        <v>0</v>
      </c>
      <c r="D8522">
        <f t="shared" ca="1" si="397"/>
        <v>9343.4490251388706</v>
      </c>
    </row>
    <row r="8523" spans="2:4" x14ac:dyDescent="0.25">
      <c r="B8523">
        <f t="shared" ca="1" si="398"/>
        <v>40133.143763797983</v>
      </c>
      <c r="C8523">
        <f t="shared" ca="1" si="396"/>
        <v>0</v>
      </c>
      <c r="D8523">
        <f t="shared" ca="1" si="397"/>
        <v>133.14376379798341</v>
      </c>
    </row>
    <row r="8524" spans="2:4" x14ac:dyDescent="0.25">
      <c r="B8524">
        <f t="shared" ca="1" si="398"/>
        <v>43051.955470062661</v>
      </c>
      <c r="C8524">
        <f t="shared" ref="C8524:C8587" ca="1" si="399">IF(MAX($B$2-B8524)&lt;0,0,$B$2-B8524)</f>
        <v>0</v>
      </c>
      <c r="D8524">
        <f t="shared" ref="D8524:D8587" ca="1" si="400">IF(MAX(B8524-$B$2)&lt;0,0,B8524-$B$2)</f>
        <v>3051.9554700626613</v>
      </c>
    </row>
    <row r="8525" spans="2:4" x14ac:dyDescent="0.25">
      <c r="B8525">
        <f t="shared" ref="B8525:B8588" ca="1" si="401">$B$1*EXP((($B$4-($B$3^2)/2)*$B$5+$B$3*SQRT($B$5)*NORMSINV(RAND())))</f>
        <v>38795.466642270978</v>
      </c>
      <c r="C8525">
        <f t="shared" ca="1" si="399"/>
        <v>1204.5333577290221</v>
      </c>
      <c r="D8525">
        <f t="shared" ca="1" si="400"/>
        <v>0</v>
      </c>
    </row>
    <row r="8526" spans="2:4" x14ac:dyDescent="0.25">
      <c r="B8526">
        <f t="shared" ca="1" si="401"/>
        <v>49025.363432526523</v>
      </c>
      <c r="C8526">
        <f t="shared" ca="1" si="399"/>
        <v>0</v>
      </c>
      <c r="D8526">
        <f t="shared" ca="1" si="400"/>
        <v>9025.363432526523</v>
      </c>
    </row>
    <row r="8527" spans="2:4" x14ac:dyDescent="0.25">
      <c r="B8527">
        <f t="shared" ca="1" si="401"/>
        <v>44808.459887588804</v>
      </c>
      <c r="C8527">
        <f t="shared" ca="1" si="399"/>
        <v>0</v>
      </c>
      <c r="D8527">
        <f t="shared" ca="1" si="400"/>
        <v>4808.4598875888041</v>
      </c>
    </row>
    <row r="8528" spans="2:4" x14ac:dyDescent="0.25">
      <c r="B8528">
        <f t="shared" ca="1" si="401"/>
        <v>46530.494839443934</v>
      </c>
      <c r="C8528">
        <f t="shared" ca="1" si="399"/>
        <v>0</v>
      </c>
      <c r="D8528">
        <f t="shared" ca="1" si="400"/>
        <v>6530.4948394439343</v>
      </c>
    </row>
    <row r="8529" spans="2:4" x14ac:dyDescent="0.25">
      <c r="B8529">
        <f t="shared" ca="1" si="401"/>
        <v>52104.709896549917</v>
      </c>
      <c r="C8529">
        <f t="shared" ca="1" si="399"/>
        <v>0</v>
      </c>
      <c r="D8529">
        <f t="shared" ca="1" si="400"/>
        <v>12104.709896549917</v>
      </c>
    </row>
    <row r="8530" spans="2:4" x14ac:dyDescent="0.25">
      <c r="B8530">
        <f t="shared" ca="1" si="401"/>
        <v>41785.70450089618</v>
      </c>
      <c r="C8530">
        <f t="shared" ca="1" si="399"/>
        <v>0</v>
      </c>
      <c r="D8530">
        <f t="shared" ca="1" si="400"/>
        <v>1785.7045008961795</v>
      </c>
    </row>
    <row r="8531" spans="2:4" x14ac:dyDescent="0.25">
      <c r="B8531">
        <f t="shared" ca="1" si="401"/>
        <v>40838.960831259479</v>
      </c>
      <c r="C8531">
        <f t="shared" ca="1" si="399"/>
        <v>0</v>
      </c>
      <c r="D8531">
        <f t="shared" ca="1" si="400"/>
        <v>838.96083125947916</v>
      </c>
    </row>
    <row r="8532" spans="2:4" x14ac:dyDescent="0.25">
      <c r="B8532">
        <f t="shared" ca="1" si="401"/>
        <v>40671.323703254806</v>
      </c>
      <c r="C8532">
        <f t="shared" ca="1" si="399"/>
        <v>0</v>
      </c>
      <c r="D8532">
        <f t="shared" ca="1" si="400"/>
        <v>671.32370325480588</v>
      </c>
    </row>
    <row r="8533" spans="2:4" x14ac:dyDescent="0.25">
      <c r="B8533">
        <f t="shared" ca="1" si="401"/>
        <v>41929.418966975631</v>
      </c>
      <c r="C8533">
        <f t="shared" ca="1" si="399"/>
        <v>0</v>
      </c>
      <c r="D8533">
        <f t="shared" ca="1" si="400"/>
        <v>1929.4189669756306</v>
      </c>
    </row>
    <row r="8534" spans="2:4" x14ac:dyDescent="0.25">
      <c r="B8534">
        <f t="shared" ca="1" si="401"/>
        <v>45764.484758293416</v>
      </c>
      <c r="C8534">
        <f t="shared" ca="1" si="399"/>
        <v>0</v>
      </c>
      <c r="D8534">
        <f t="shared" ca="1" si="400"/>
        <v>5764.4847582934162</v>
      </c>
    </row>
    <row r="8535" spans="2:4" x14ac:dyDescent="0.25">
      <c r="B8535">
        <f t="shared" ca="1" si="401"/>
        <v>43265.355976381077</v>
      </c>
      <c r="C8535">
        <f t="shared" ca="1" si="399"/>
        <v>0</v>
      </c>
      <c r="D8535">
        <f t="shared" ca="1" si="400"/>
        <v>3265.3559763810772</v>
      </c>
    </row>
    <row r="8536" spans="2:4" x14ac:dyDescent="0.25">
      <c r="B8536">
        <f t="shared" ca="1" si="401"/>
        <v>43567.987493520923</v>
      </c>
      <c r="C8536">
        <f t="shared" ca="1" si="399"/>
        <v>0</v>
      </c>
      <c r="D8536">
        <f t="shared" ca="1" si="400"/>
        <v>3567.9874935209227</v>
      </c>
    </row>
    <row r="8537" spans="2:4" x14ac:dyDescent="0.25">
      <c r="B8537">
        <f t="shared" ca="1" si="401"/>
        <v>41668.99808673816</v>
      </c>
      <c r="C8537">
        <f t="shared" ca="1" si="399"/>
        <v>0</v>
      </c>
      <c r="D8537">
        <f t="shared" ca="1" si="400"/>
        <v>1668.9980867381601</v>
      </c>
    </row>
    <row r="8538" spans="2:4" x14ac:dyDescent="0.25">
      <c r="B8538">
        <f t="shared" ca="1" si="401"/>
        <v>49103.976525309132</v>
      </c>
      <c r="C8538">
        <f t="shared" ca="1" si="399"/>
        <v>0</v>
      </c>
      <c r="D8538">
        <f t="shared" ca="1" si="400"/>
        <v>9103.9765253091318</v>
      </c>
    </row>
    <row r="8539" spans="2:4" x14ac:dyDescent="0.25">
      <c r="B8539">
        <f t="shared" ca="1" si="401"/>
        <v>41592.912592193723</v>
      </c>
      <c r="C8539">
        <f t="shared" ca="1" si="399"/>
        <v>0</v>
      </c>
      <c r="D8539">
        <f t="shared" ca="1" si="400"/>
        <v>1592.912592193723</v>
      </c>
    </row>
    <row r="8540" spans="2:4" x14ac:dyDescent="0.25">
      <c r="B8540">
        <f t="shared" ca="1" si="401"/>
        <v>46910.61904223165</v>
      </c>
      <c r="C8540">
        <f t="shared" ca="1" si="399"/>
        <v>0</v>
      </c>
      <c r="D8540">
        <f t="shared" ca="1" si="400"/>
        <v>6910.6190422316504</v>
      </c>
    </row>
    <row r="8541" spans="2:4" x14ac:dyDescent="0.25">
      <c r="B8541">
        <f t="shared" ca="1" si="401"/>
        <v>45584.773046963972</v>
      </c>
      <c r="C8541">
        <f t="shared" ca="1" si="399"/>
        <v>0</v>
      </c>
      <c r="D8541">
        <f t="shared" ca="1" si="400"/>
        <v>5584.7730469639719</v>
      </c>
    </row>
    <row r="8542" spans="2:4" x14ac:dyDescent="0.25">
      <c r="B8542">
        <f t="shared" ca="1" si="401"/>
        <v>48824.406641166592</v>
      </c>
      <c r="C8542">
        <f t="shared" ca="1" si="399"/>
        <v>0</v>
      </c>
      <c r="D8542">
        <f t="shared" ca="1" si="400"/>
        <v>8824.4066411665917</v>
      </c>
    </row>
    <row r="8543" spans="2:4" x14ac:dyDescent="0.25">
      <c r="B8543">
        <f t="shared" ca="1" si="401"/>
        <v>45812.113291242727</v>
      </c>
      <c r="C8543">
        <f t="shared" ca="1" si="399"/>
        <v>0</v>
      </c>
      <c r="D8543">
        <f t="shared" ca="1" si="400"/>
        <v>5812.1132912427274</v>
      </c>
    </row>
    <row r="8544" spans="2:4" x14ac:dyDescent="0.25">
      <c r="B8544">
        <f t="shared" ca="1" si="401"/>
        <v>41132.022390891354</v>
      </c>
      <c r="C8544">
        <f t="shared" ca="1" si="399"/>
        <v>0</v>
      </c>
      <c r="D8544">
        <f t="shared" ca="1" si="400"/>
        <v>1132.022390891354</v>
      </c>
    </row>
    <row r="8545" spans="2:4" x14ac:dyDescent="0.25">
      <c r="B8545">
        <f t="shared" ca="1" si="401"/>
        <v>43812.097099995342</v>
      </c>
      <c r="C8545">
        <f t="shared" ca="1" si="399"/>
        <v>0</v>
      </c>
      <c r="D8545">
        <f t="shared" ca="1" si="400"/>
        <v>3812.0970999953424</v>
      </c>
    </row>
    <row r="8546" spans="2:4" x14ac:dyDescent="0.25">
      <c r="B8546">
        <f t="shared" ca="1" si="401"/>
        <v>43118.100746808908</v>
      </c>
      <c r="C8546">
        <f t="shared" ca="1" si="399"/>
        <v>0</v>
      </c>
      <c r="D8546">
        <f t="shared" ca="1" si="400"/>
        <v>3118.1007468089083</v>
      </c>
    </row>
    <row r="8547" spans="2:4" x14ac:dyDescent="0.25">
      <c r="B8547">
        <f t="shared" ca="1" si="401"/>
        <v>45215.999853881083</v>
      </c>
      <c r="C8547">
        <f t="shared" ca="1" si="399"/>
        <v>0</v>
      </c>
      <c r="D8547">
        <f t="shared" ca="1" si="400"/>
        <v>5215.9998538810833</v>
      </c>
    </row>
    <row r="8548" spans="2:4" x14ac:dyDescent="0.25">
      <c r="B8548">
        <f t="shared" ca="1" si="401"/>
        <v>45413.089474446104</v>
      </c>
      <c r="C8548">
        <f t="shared" ca="1" si="399"/>
        <v>0</v>
      </c>
      <c r="D8548">
        <f t="shared" ca="1" si="400"/>
        <v>5413.0894744461038</v>
      </c>
    </row>
    <row r="8549" spans="2:4" x14ac:dyDescent="0.25">
      <c r="B8549">
        <f t="shared" ca="1" si="401"/>
        <v>45804.597293582337</v>
      </c>
      <c r="C8549">
        <f t="shared" ca="1" si="399"/>
        <v>0</v>
      </c>
      <c r="D8549">
        <f t="shared" ca="1" si="400"/>
        <v>5804.5972935823374</v>
      </c>
    </row>
    <row r="8550" spans="2:4" x14ac:dyDescent="0.25">
      <c r="B8550">
        <f t="shared" ca="1" si="401"/>
        <v>46732.809597457599</v>
      </c>
      <c r="C8550">
        <f t="shared" ca="1" si="399"/>
        <v>0</v>
      </c>
      <c r="D8550">
        <f t="shared" ca="1" si="400"/>
        <v>6732.809597457599</v>
      </c>
    </row>
    <row r="8551" spans="2:4" x14ac:dyDescent="0.25">
      <c r="B8551">
        <f t="shared" ca="1" si="401"/>
        <v>45257.017626882844</v>
      </c>
      <c r="C8551">
        <f t="shared" ca="1" si="399"/>
        <v>0</v>
      </c>
      <c r="D8551">
        <f t="shared" ca="1" si="400"/>
        <v>5257.0176268828436</v>
      </c>
    </row>
    <row r="8552" spans="2:4" x14ac:dyDescent="0.25">
      <c r="B8552">
        <f t="shared" ca="1" si="401"/>
        <v>38343.395378383815</v>
      </c>
      <c r="C8552">
        <f t="shared" ca="1" si="399"/>
        <v>1656.6046216161849</v>
      </c>
      <c r="D8552">
        <f t="shared" ca="1" si="400"/>
        <v>0</v>
      </c>
    </row>
    <row r="8553" spans="2:4" x14ac:dyDescent="0.25">
      <c r="B8553">
        <f t="shared" ca="1" si="401"/>
        <v>48588.238643629571</v>
      </c>
      <c r="C8553">
        <f t="shared" ca="1" si="399"/>
        <v>0</v>
      </c>
      <c r="D8553">
        <f t="shared" ca="1" si="400"/>
        <v>8588.238643629571</v>
      </c>
    </row>
    <row r="8554" spans="2:4" x14ac:dyDescent="0.25">
      <c r="B8554">
        <f t="shared" ca="1" si="401"/>
        <v>48594.207962278517</v>
      </c>
      <c r="C8554">
        <f t="shared" ca="1" si="399"/>
        <v>0</v>
      </c>
      <c r="D8554">
        <f t="shared" ca="1" si="400"/>
        <v>8594.2079622785168</v>
      </c>
    </row>
    <row r="8555" spans="2:4" x14ac:dyDescent="0.25">
      <c r="B8555">
        <f t="shared" ca="1" si="401"/>
        <v>44647.073346626523</v>
      </c>
      <c r="C8555">
        <f t="shared" ca="1" si="399"/>
        <v>0</v>
      </c>
      <c r="D8555">
        <f t="shared" ca="1" si="400"/>
        <v>4647.0733466265228</v>
      </c>
    </row>
    <row r="8556" spans="2:4" x14ac:dyDescent="0.25">
      <c r="B8556">
        <f t="shared" ca="1" si="401"/>
        <v>43518.403200829955</v>
      </c>
      <c r="C8556">
        <f t="shared" ca="1" si="399"/>
        <v>0</v>
      </c>
      <c r="D8556">
        <f t="shared" ca="1" si="400"/>
        <v>3518.4032008299546</v>
      </c>
    </row>
    <row r="8557" spans="2:4" x14ac:dyDescent="0.25">
      <c r="B8557">
        <f t="shared" ca="1" si="401"/>
        <v>47474.636020155907</v>
      </c>
      <c r="C8557">
        <f t="shared" ca="1" si="399"/>
        <v>0</v>
      </c>
      <c r="D8557">
        <f t="shared" ca="1" si="400"/>
        <v>7474.6360201559073</v>
      </c>
    </row>
    <row r="8558" spans="2:4" x14ac:dyDescent="0.25">
      <c r="B8558">
        <f t="shared" ca="1" si="401"/>
        <v>43067.39588515144</v>
      </c>
      <c r="C8558">
        <f t="shared" ca="1" si="399"/>
        <v>0</v>
      </c>
      <c r="D8558">
        <f t="shared" ca="1" si="400"/>
        <v>3067.3958851514399</v>
      </c>
    </row>
    <row r="8559" spans="2:4" x14ac:dyDescent="0.25">
      <c r="B8559">
        <f t="shared" ca="1" si="401"/>
        <v>52674.329746365627</v>
      </c>
      <c r="C8559">
        <f t="shared" ca="1" si="399"/>
        <v>0</v>
      </c>
      <c r="D8559">
        <f t="shared" ca="1" si="400"/>
        <v>12674.329746365627</v>
      </c>
    </row>
    <row r="8560" spans="2:4" x14ac:dyDescent="0.25">
      <c r="B8560">
        <f t="shared" ca="1" si="401"/>
        <v>47036.318690884378</v>
      </c>
      <c r="C8560">
        <f t="shared" ca="1" si="399"/>
        <v>0</v>
      </c>
      <c r="D8560">
        <f t="shared" ca="1" si="400"/>
        <v>7036.3186908843782</v>
      </c>
    </row>
    <row r="8561" spans="2:4" x14ac:dyDescent="0.25">
      <c r="B8561">
        <f t="shared" ca="1" si="401"/>
        <v>54313.088626523204</v>
      </c>
      <c r="C8561">
        <f t="shared" ca="1" si="399"/>
        <v>0</v>
      </c>
      <c r="D8561">
        <f t="shared" ca="1" si="400"/>
        <v>14313.088626523204</v>
      </c>
    </row>
    <row r="8562" spans="2:4" x14ac:dyDescent="0.25">
      <c r="B8562">
        <f t="shared" ca="1" si="401"/>
        <v>48407.236809916729</v>
      </c>
      <c r="C8562">
        <f t="shared" ca="1" si="399"/>
        <v>0</v>
      </c>
      <c r="D8562">
        <f t="shared" ca="1" si="400"/>
        <v>8407.2368099167288</v>
      </c>
    </row>
    <row r="8563" spans="2:4" x14ac:dyDescent="0.25">
      <c r="B8563">
        <f t="shared" ca="1" si="401"/>
        <v>44921.01391127531</v>
      </c>
      <c r="C8563">
        <f t="shared" ca="1" si="399"/>
        <v>0</v>
      </c>
      <c r="D8563">
        <f t="shared" ca="1" si="400"/>
        <v>4921.0139112753095</v>
      </c>
    </row>
    <row r="8564" spans="2:4" x14ac:dyDescent="0.25">
      <c r="B8564">
        <f t="shared" ca="1" si="401"/>
        <v>40807.025525059755</v>
      </c>
      <c r="C8564">
        <f t="shared" ca="1" si="399"/>
        <v>0</v>
      </c>
      <c r="D8564">
        <f t="shared" ca="1" si="400"/>
        <v>807.02552505975473</v>
      </c>
    </row>
    <row r="8565" spans="2:4" x14ac:dyDescent="0.25">
      <c r="B8565">
        <f t="shared" ca="1" si="401"/>
        <v>41726.557147738196</v>
      </c>
      <c r="C8565">
        <f t="shared" ca="1" si="399"/>
        <v>0</v>
      </c>
      <c r="D8565">
        <f t="shared" ca="1" si="400"/>
        <v>1726.5571477381964</v>
      </c>
    </row>
    <row r="8566" spans="2:4" x14ac:dyDescent="0.25">
      <c r="B8566">
        <f t="shared" ca="1" si="401"/>
        <v>44393.097233774191</v>
      </c>
      <c r="C8566">
        <f t="shared" ca="1" si="399"/>
        <v>0</v>
      </c>
      <c r="D8566">
        <f t="shared" ca="1" si="400"/>
        <v>4393.0972337741914</v>
      </c>
    </row>
    <row r="8567" spans="2:4" x14ac:dyDescent="0.25">
      <c r="B8567">
        <f t="shared" ca="1" si="401"/>
        <v>37627.760152697614</v>
      </c>
      <c r="C8567">
        <f t="shared" ca="1" si="399"/>
        <v>2372.2398473023859</v>
      </c>
      <c r="D8567">
        <f t="shared" ca="1" si="400"/>
        <v>0</v>
      </c>
    </row>
    <row r="8568" spans="2:4" x14ac:dyDescent="0.25">
      <c r="B8568">
        <f t="shared" ca="1" si="401"/>
        <v>49547.358996155752</v>
      </c>
      <c r="C8568">
        <f t="shared" ca="1" si="399"/>
        <v>0</v>
      </c>
      <c r="D8568">
        <f t="shared" ca="1" si="400"/>
        <v>9547.3589961557518</v>
      </c>
    </row>
    <row r="8569" spans="2:4" x14ac:dyDescent="0.25">
      <c r="B8569">
        <f t="shared" ca="1" si="401"/>
        <v>42286.217818958023</v>
      </c>
      <c r="C8569">
        <f t="shared" ca="1" si="399"/>
        <v>0</v>
      </c>
      <c r="D8569">
        <f t="shared" ca="1" si="400"/>
        <v>2286.2178189580227</v>
      </c>
    </row>
    <row r="8570" spans="2:4" x14ac:dyDescent="0.25">
      <c r="B8570">
        <f t="shared" ca="1" si="401"/>
        <v>53747.764428394454</v>
      </c>
      <c r="C8570">
        <f t="shared" ca="1" si="399"/>
        <v>0</v>
      </c>
      <c r="D8570">
        <f t="shared" ca="1" si="400"/>
        <v>13747.764428394454</v>
      </c>
    </row>
    <row r="8571" spans="2:4" x14ac:dyDescent="0.25">
      <c r="B8571">
        <f t="shared" ca="1" si="401"/>
        <v>44908.919628817159</v>
      </c>
      <c r="C8571">
        <f t="shared" ca="1" si="399"/>
        <v>0</v>
      </c>
      <c r="D8571">
        <f t="shared" ca="1" si="400"/>
        <v>4908.9196288171588</v>
      </c>
    </row>
    <row r="8572" spans="2:4" x14ac:dyDescent="0.25">
      <c r="B8572">
        <f t="shared" ca="1" si="401"/>
        <v>43695.025114918659</v>
      </c>
      <c r="C8572">
        <f t="shared" ca="1" si="399"/>
        <v>0</v>
      </c>
      <c r="D8572">
        <f t="shared" ca="1" si="400"/>
        <v>3695.0251149186588</v>
      </c>
    </row>
    <row r="8573" spans="2:4" x14ac:dyDescent="0.25">
      <c r="B8573">
        <f t="shared" ca="1" si="401"/>
        <v>46941.61466340263</v>
      </c>
      <c r="C8573">
        <f t="shared" ca="1" si="399"/>
        <v>0</v>
      </c>
      <c r="D8573">
        <f t="shared" ca="1" si="400"/>
        <v>6941.61466340263</v>
      </c>
    </row>
    <row r="8574" spans="2:4" x14ac:dyDescent="0.25">
      <c r="B8574">
        <f t="shared" ca="1" si="401"/>
        <v>51144.470775437389</v>
      </c>
      <c r="C8574">
        <f t="shared" ca="1" si="399"/>
        <v>0</v>
      </c>
      <c r="D8574">
        <f t="shared" ca="1" si="400"/>
        <v>11144.470775437389</v>
      </c>
    </row>
    <row r="8575" spans="2:4" x14ac:dyDescent="0.25">
      <c r="B8575">
        <f t="shared" ca="1" si="401"/>
        <v>45306.890337728495</v>
      </c>
      <c r="C8575">
        <f t="shared" ca="1" si="399"/>
        <v>0</v>
      </c>
      <c r="D8575">
        <f t="shared" ca="1" si="400"/>
        <v>5306.8903377284951</v>
      </c>
    </row>
    <row r="8576" spans="2:4" x14ac:dyDescent="0.25">
      <c r="B8576">
        <f t="shared" ca="1" si="401"/>
        <v>43862.572535592</v>
      </c>
      <c r="C8576">
        <f t="shared" ca="1" si="399"/>
        <v>0</v>
      </c>
      <c r="D8576">
        <f t="shared" ca="1" si="400"/>
        <v>3862.5725355920003</v>
      </c>
    </row>
    <row r="8577" spans="2:4" x14ac:dyDescent="0.25">
      <c r="B8577">
        <f t="shared" ca="1" si="401"/>
        <v>36505.482152650795</v>
      </c>
      <c r="C8577">
        <f t="shared" ca="1" si="399"/>
        <v>3494.5178473492051</v>
      </c>
      <c r="D8577">
        <f t="shared" ca="1" si="400"/>
        <v>0</v>
      </c>
    </row>
    <row r="8578" spans="2:4" x14ac:dyDescent="0.25">
      <c r="B8578">
        <f t="shared" ca="1" si="401"/>
        <v>33860.703516845701</v>
      </c>
      <c r="C8578">
        <f t="shared" ca="1" si="399"/>
        <v>6139.2964831542995</v>
      </c>
      <c r="D8578">
        <f t="shared" ca="1" si="400"/>
        <v>0</v>
      </c>
    </row>
    <row r="8579" spans="2:4" x14ac:dyDescent="0.25">
      <c r="B8579">
        <f t="shared" ca="1" si="401"/>
        <v>47758.140204687574</v>
      </c>
      <c r="C8579">
        <f t="shared" ca="1" si="399"/>
        <v>0</v>
      </c>
      <c r="D8579">
        <f t="shared" ca="1" si="400"/>
        <v>7758.1402046875737</v>
      </c>
    </row>
    <row r="8580" spans="2:4" x14ac:dyDescent="0.25">
      <c r="B8580">
        <f t="shared" ca="1" si="401"/>
        <v>45134.781903071984</v>
      </c>
      <c r="C8580">
        <f t="shared" ca="1" si="399"/>
        <v>0</v>
      </c>
      <c r="D8580">
        <f t="shared" ca="1" si="400"/>
        <v>5134.7819030719838</v>
      </c>
    </row>
    <row r="8581" spans="2:4" x14ac:dyDescent="0.25">
      <c r="B8581">
        <f t="shared" ca="1" si="401"/>
        <v>44983.028734308857</v>
      </c>
      <c r="C8581">
        <f t="shared" ca="1" si="399"/>
        <v>0</v>
      </c>
      <c r="D8581">
        <f t="shared" ca="1" si="400"/>
        <v>4983.0287343088567</v>
      </c>
    </row>
    <row r="8582" spans="2:4" x14ac:dyDescent="0.25">
      <c r="B8582">
        <f t="shared" ca="1" si="401"/>
        <v>44255.644121793419</v>
      </c>
      <c r="C8582">
        <f t="shared" ca="1" si="399"/>
        <v>0</v>
      </c>
      <c r="D8582">
        <f t="shared" ca="1" si="400"/>
        <v>4255.6441217934189</v>
      </c>
    </row>
    <row r="8583" spans="2:4" x14ac:dyDescent="0.25">
      <c r="B8583">
        <f t="shared" ca="1" si="401"/>
        <v>36527.567108329153</v>
      </c>
      <c r="C8583">
        <f t="shared" ca="1" si="399"/>
        <v>3472.4328916708473</v>
      </c>
      <c r="D8583">
        <f t="shared" ca="1" si="400"/>
        <v>0</v>
      </c>
    </row>
    <row r="8584" spans="2:4" x14ac:dyDescent="0.25">
      <c r="B8584">
        <f t="shared" ca="1" si="401"/>
        <v>39728.253704007395</v>
      </c>
      <c r="C8584">
        <f t="shared" ca="1" si="399"/>
        <v>271.74629599260516</v>
      </c>
      <c r="D8584">
        <f t="shared" ca="1" si="400"/>
        <v>0</v>
      </c>
    </row>
    <row r="8585" spans="2:4" x14ac:dyDescent="0.25">
      <c r="B8585">
        <f t="shared" ca="1" si="401"/>
        <v>38918.071684048678</v>
      </c>
      <c r="C8585">
        <f t="shared" ca="1" si="399"/>
        <v>1081.9283159513216</v>
      </c>
      <c r="D8585">
        <f t="shared" ca="1" si="400"/>
        <v>0</v>
      </c>
    </row>
    <row r="8586" spans="2:4" x14ac:dyDescent="0.25">
      <c r="B8586">
        <f t="shared" ca="1" si="401"/>
        <v>44526.063741339822</v>
      </c>
      <c r="C8586">
        <f t="shared" ca="1" si="399"/>
        <v>0</v>
      </c>
      <c r="D8586">
        <f t="shared" ca="1" si="400"/>
        <v>4526.0637413398217</v>
      </c>
    </row>
    <row r="8587" spans="2:4" x14ac:dyDescent="0.25">
      <c r="B8587">
        <f t="shared" ca="1" si="401"/>
        <v>43674.485462569086</v>
      </c>
      <c r="C8587">
        <f t="shared" ca="1" si="399"/>
        <v>0</v>
      </c>
      <c r="D8587">
        <f t="shared" ca="1" si="400"/>
        <v>3674.4854625690859</v>
      </c>
    </row>
    <row r="8588" spans="2:4" x14ac:dyDescent="0.25">
      <c r="B8588">
        <f t="shared" ca="1" si="401"/>
        <v>49171.390342395396</v>
      </c>
      <c r="C8588">
        <f t="shared" ref="C8588:C8651" ca="1" si="402">IF(MAX($B$2-B8588)&lt;0,0,$B$2-B8588)</f>
        <v>0</v>
      </c>
      <c r="D8588">
        <f t="shared" ref="D8588:D8651" ca="1" si="403">IF(MAX(B8588-$B$2)&lt;0,0,B8588-$B$2)</f>
        <v>9171.3903423953961</v>
      </c>
    </row>
    <row r="8589" spans="2:4" x14ac:dyDescent="0.25">
      <c r="B8589">
        <f t="shared" ref="B8589:B8652" ca="1" si="404">$B$1*EXP((($B$4-($B$3^2)/2)*$B$5+$B$3*SQRT($B$5)*NORMSINV(RAND())))</f>
        <v>40286.381662192944</v>
      </c>
      <c r="C8589">
        <f t="shared" ca="1" si="402"/>
        <v>0</v>
      </c>
      <c r="D8589">
        <f t="shared" ca="1" si="403"/>
        <v>286.38166219294362</v>
      </c>
    </row>
    <row r="8590" spans="2:4" x14ac:dyDescent="0.25">
      <c r="B8590">
        <f t="shared" ca="1" si="404"/>
        <v>37636.07721100132</v>
      </c>
      <c r="C8590">
        <f t="shared" ca="1" si="402"/>
        <v>2363.9227889986796</v>
      </c>
      <c r="D8590">
        <f t="shared" ca="1" si="403"/>
        <v>0</v>
      </c>
    </row>
    <row r="8591" spans="2:4" x14ac:dyDescent="0.25">
      <c r="B8591">
        <f t="shared" ca="1" si="404"/>
        <v>49601.827920206517</v>
      </c>
      <c r="C8591">
        <f t="shared" ca="1" si="402"/>
        <v>0</v>
      </c>
      <c r="D8591">
        <f t="shared" ca="1" si="403"/>
        <v>9601.8279202065169</v>
      </c>
    </row>
    <row r="8592" spans="2:4" x14ac:dyDescent="0.25">
      <c r="B8592">
        <f t="shared" ca="1" si="404"/>
        <v>48792.308943274744</v>
      </c>
      <c r="C8592">
        <f t="shared" ca="1" si="402"/>
        <v>0</v>
      </c>
      <c r="D8592">
        <f t="shared" ca="1" si="403"/>
        <v>8792.3089432747438</v>
      </c>
    </row>
    <row r="8593" spans="2:4" x14ac:dyDescent="0.25">
      <c r="B8593">
        <f t="shared" ca="1" si="404"/>
        <v>40690.110338462546</v>
      </c>
      <c r="C8593">
        <f t="shared" ca="1" si="402"/>
        <v>0</v>
      </c>
      <c r="D8593">
        <f t="shared" ca="1" si="403"/>
        <v>690.11033846254577</v>
      </c>
    </row>
    <row r="8594" spans="2:4" x14ac:dyDescent="0.25">
      <c r="B8594">
        <f t="shared" ca="1" si="404"/>
        <v>42662.21874673789</v>
      </c>
      <c r="C8594">
        <f t="shared" ca="1" si="402"/>
        <v>0</v>
      </c>
      <c r="D8594">
        <f t="shared" ca="1" si="403"/>
        <v>2662.2187467378899</v>
      </c>
    </row>
    <row r="8595" spans="2:4" x14ac:dyDescent="0.25">
      <c r="B8595">
        <f t="shared" ca="1" si="404"/>
        <v>47966.959060502893</v>
      </c>
      <c r="C8595">
        <f t="shared" ca="1" si="402"/>
        <v>0</v>
      </c>
      <c r="D8595">
        <f t="shared" ca="1" si="403"/>
        <v>7966.9590605028934</v>
      </c>
    </row>
    <row r="8596" spans="2:4" x14ac:dyDescent="0.25">
      <c r="B8596">
        <f t="shared" ca="1" si="404"/>
        <v>40090.320654451789</v>
      </c>
      <c r="C8596">
        <f t="shared" ca="1" si="402"/>
        <v>0</v>
      </c>
      <c r="D8596">
        <f t="shared" ca="1" si="403"/>
        <v>90.320654451788869</v>
      </c>
    </row>
    <row r="8597" spans="2:4" x14ac:dyDescent="0.25">
      <c r="B8597">
        <f t="shared" ca="1" si="404"/>
        <v>46301.740515912818</v>
      </c>
      <c r="C8597">
        <f t="shared" ca="1" si="402"/>
        <v>0</v>
      </c>
      <c r="D8597">
        <f t="shared" ca="1" si="403"/>
        <v>6301.7405159128175</v>
      </c>
    </row>
    <row r="8598" spans="2:4" x14ac:dyDescent="0.25">
      <c r="B8598">
        <f t="shared" ca="1" si="404"/>
        <v>36029.349258583854</v>
      </c>
      <c r="C8598">
        <f t="shared" ca="1" si="402"/>
        <v>3970.650741416146</v>
      </c>
      <c r="D8598">
        <f t="shared" ca="1" si="403"/>
        <v>0</v>
      </c>
    </row>
    <row r="8599" spans="2:4" x14ac:dyDescent="0.25">
      <c r="B8599">
        <f t="shared" ca="1" si="404"/>
        <v>40708.196638404821</v>
      </c>
      <c r="C8599">
        <f t="shared" ca="1" si="402"/>
        <v>0</v>
      </c>
      <c r="D8599">
        <f t="shared" ca="1" si="403"/>
        <v>708.19663840482099</v>
      </c>
    </row>
    <row r="8600" spans="2:4" x14ac:dyDescent="0.25">
      <c r="B8600">
        <f t="shared" ca="1" si="404"/>
        <v>41105.445732002052</v>
      </c>
      <c r="C8600">
        <f t="shared" ca="1" si="402"/>
        <v>0</v>
      </c>
      <c r="D8600">
        <f t="shared" ca="1" si="403"/>
        <v>1105.445732002052</v>
      </c>
    </row>
    <row r="8601" spans="2:4" x14ac:dyDescent="0.25">
      <c r="B8601">
        <f t="shared" ca="1" si="404"/>
        <v>44296.533342982511</v>
      </c>
      <c r="C8601">
        <f t="shared" ca="1" si="402"/>
        <v>0</v>
      </c>
      <c r="D8601">
        <f t="shared" ca="1" si="403"/>
        <v>4296.5333429825114</v>
      </c>
    </row>
    <row r="8602" spans="2:4" x14ac:dyDescent="0.25">
      <c r="B8602">
        <f t="shared" ca="1" si="404"/>
        <v>40743.301566979251</v>
      </c>
      <c r="C8602">
        <f t="shared" ca="1" si="402"/>
        <v>0</v>
      </c>
      <c r="D8602">
        <f t="shared" ca="1" si="403"/>
        <v>743.30156697925122</v>
      </c>
    </row>
    <row r="8603" spans="2:4" x14ac:dyDescent="0.25">
      <c r="B8603">
        <f t="shared" ca="1" si="404"/>
        <v>41662.985245001299</v>
      </c>
      <c r="C8603">
        <f t="shared" ca="1" si="402"/>
        <v>0</v>
      </c>
      <c r="D8603">
        <f t="shared" ca="1" si="403"/>
        <v>1662.9852450012986</v>
      </c>
    </row>
    <row r="8604" spans="2:4" x14ac:dyDescent="0.25">
      <c r="B8604">
        <f t="shared" ca="1" si="404"/>
        <v>40704.708546236267</v>
      </c>
      <c r="C8604">
        <f t="shared" ca="1" si="402"/>
        <v>0</v>
      </c>
      <c r="D8604">
        <f t="shared" ca="1" si="403"/>
        <v>704.70854623626656</v>
      </c>
    </row>
    <row r="8605" spans="2:4" x14ac:dyDescent="0.25">
      <c r="B8605">
        <f t="shared" ca="1" si="404"/>
        <v>46392.300998635648</v>
      </c>
      <c r="C8605">
        <f t="shared" ca="1" si="402"/>
        <v>0</v>
      </c>
      <c r="D8605">
        <f t="shared" ca="1" si="403"/>
        <v>6392.3009986356483</v>
      </c>
    </row>
    <row r="8606" spans="2:4" x14ac:dyDescent="0.25">
      <c r="B8606">
        <f t="shared" ca="1" si="404"/>
        <v>48468.242509934738</v>
      </c>
      <c r="C8606">
        <f t="shared" ca="1" si="402"/>
        <v>0</v>
      </c>
      <c r="D8606">
        <f t="shared" ca="1" si="403"/>
        <v>8468.2425099347383</v>
      </c>
    </row>
    <row r="8607" spans="2:4" x14ac:dyDescent="0.25">
      <c r="B8607">
        <f t="shared" ca="1" si="404"/>
        <v>41549.2537289885</v>
      </c>
      <c r="C8607">
        <f t="shared" ca="1" si="402"/>
        <v>0</v>
      </c>
      <c r="D8607">
        <f t="shared" ca="1" si="403"/>
        <v>1549.2537289885004</v>
      </c>
    </row>
    <row r="8608" spans="2:4" x14ac:dyDescent="0.25">
      <c r="B8608">
        <f t="shared" ca="1" si="404"/>
        <v>44480.489990503163</v>
      </c>
      <c r="C8608">
        <f t="shared" ca="1" si="402"/>
        <v>0</v>
      </c>
      <c r="D8608">
        <f t="shared" ca="1" si="403"/>
        <v>4480.4899905031634</v>
      </c>
    </row>
    <row r="8609" spans="2:4" x14ac:dyDescent="0.25">
      <c r="B8609">
        <f t="shared" ca="1" si="404"/>
        <v>38045.840527206943</v>
      </c>
      <c r="C8609">
        <f t="shared" ca="1" si="402"/>
        <v>1954.1594727930569</v>
      </c>
      <c r="D8609">
        <f t="shared" ca="1" si="403"/>
        <v>0</v>
      </c>
    </row>
    <row r="8610" spans="2:4" x14ac:dyDescent="0.25">
      <c r="B8610">
        <f t="shared" ca="1" si="404"/>
        <v>41212.392705590013</v>
      </c>
      <c r="C8610">
        <f t="shared" ca="1" si="402"/>
        <v>0</v>
      </c>
      <c r="D8610">
        <f t="shared" ca="1" si="403"/>
        <v>1212.3927055900131</v>
      </c>
    </row>
    <row r="8611" spans="2:4" x14ac:dyDescent="0.25">
      <c r="B8611">
        <f t="shared" ca="1" si="404"/>
        <v>40888.158084187227</v>
      </c>
      <c r="C8611">
        <f t="shared" ca="1" si="402"/>
        <v>0</v>
      </c>
      <c r="D8611">
        <f t="shared" ca="1" si="403"/>
        <v>888.15808418722736</v>
      </c>
    </row>
    <row r="8612" spans="2:4" x14ac:dyDescent="0.25">
      <c r="B8612">
        <f t="shared" ca="1" si="404"/>
        <v>39571.929806167245</v>
      </c>
      <c r="C8612">
        <f t="shared" ca="1" si="402"/>
        <v>428.07019383275474</v>
      </c>
      <c r="D8612">
        <f t="shared" ca="1" si="403"/>
        <v>0</v>
      </c>
    </row>
    <row r="8613" spans="2:4" x14ac:dyDescent="0.25">
      <c r="B8613">
        <f t="shared" ca="1" si="404"/>
        <v>44110.712278479732</v>
      </c>
      <c r="C8613">
        <f t="shared" ca="1" si="402"/>
        <v>0</v>
      </c>
      <c r="D8613">
        <f t="shared" ca="1" si="403"/>
        <v>4110.712278479732</v>
      </c>
    </row>
    <row r="8614" spans="2:4" x14ac:dyDescent="0.25">
      <c r="B8614">
        <f t="shared" ca="1" si="404"/>
        <v>40706.861884405967</v>
      </c>
      <c r="C8614">
        <f t="shared" ca="1" si="402"/>
        <v>0</v>
      </c>
      <c r="D8614">
        <f t="shared" ca="1" si="403"/>
        <v>706.86188440596743</v>
      </c>
    </row>
    <row r="8615" spans="2:4" x14ac:dyDescent="0.25">
      <c r="B8615">
        <f t="shared" ca="1" si="404"/>
        <v>38747.359256429292</v>
      </c>
      <c r="C8615">
        <f t="shared" ca="1" si="402"/>
        <v>1252.6407435707079</v>
      </c>
      <c r="D8615">
        <f t="shared" ca="1" si="403"/>
        <v>0</v>
      </c>
    </row>
    <row r="8616" spans="2:4" x14ac:dyDescent="0.25">
      <c r="B8616">
        <f t="shared" ca="1" si="404"/>
        <v>46821.927507735534</v>
      </c>
      <c r="C8616">
        <f t="shared" ca="1" si="402"/>
        <v>0</v>
      </c>
      <c r="D8616">
        <f t="shared" ca="1" si="403"/>
        <v>6821.9275077355342</v>
      </c>
    </row>
    <row r="8617" spans="2:4" x14ac:dyDescent="0.25">
      <c r="B8617">
        <f t="shared" ca="1" si="404"/>
        <v>42916.642803403629</v>
      </c>
      <c r="C8617">
        <f t="shared" ca="1" si="402"/>
        <v>0</v>
      </c>
      <c r="D8617">
        <f t="shared" ca="1" si="403"/>
        <v>2916.6428034036289</v>
      </c>
    </row>
    <row r="8618" spans="2:4" x14ac:dyDescent="0.25">
      <c r="B8618">
        <f t="shared" ca="1" si="404"/>
        <v>41338.205146802669</v>
      </c>
      <c r="C8618">
        <f t="shared" ca="1" si="402"/>
        <v>0</v>
      </c>
      <c r="D8618">
        <f t="shared" ca="1" si="403"/>
        <v>1338.2051468026693</v>
      </c>
    </row>
    <row r="8619" spans="2:4" x14ac:dyDescent="0.25">
      <c r="B8619">
        <f t="shared" ca="1" si="404"/>
        <v>43397.81642100028</v>
      </c>
      <c r="C8619">
        <f t="shared" ca="1" si="402"/>
        <v>0</v>
      </c>
      <c r="D8619">
        <f t="shared" ca="1" si="403"/>
        <v>3397.8164210002797</v>
      </c>
    </row>
    <row r="8620" spans="2:4" x14ac:dyDescent="0.25">
      <c r="B8620">
        <f t="shared" ca="1" si="404"/>
        <v>42255.338386040588</v>
      </c>
      <c r="C8620">
        <f t="shared" ca="1" si="402"/>
        <v>0</v>
      </c>
      <c r="D8620">
        <f t="shared" ca="1" si="403"/>
        <v>2255.3383860405884</v>
      </c>
    </row>
    <row r="8621" spans="2:4" x14ac:dyDescent="0.25">
      <c r="B8621">
        <f t="shared" ca="1" si="404"/>
        <v>44324.083752129671</v>
      </c>
      <c r="C8621">
        <f t="shared" ca="1" si="402"/>
        <v>0</v>
      </c>
      <c r="D8621">
        <f t="shared" ca="1" si="403"/>
        <v>4324.0837521296708</v>
      </c>
    </row>
    <row r="8622" spans="2:4" x14ac:dyDescent="0.25">
      <c r="B8622">
        <f t="shared" ca="1" si="404"/>
        <v>40894.808881559882</v>
      </c>
      <c r="C8622">
        <f t="shared" ca="1" si="402"/>
        <v>0</v>
      </c>
      <c r="D8622">
        <f t="shared" ca="1" si="403"/>
        <v>894.80888155988214</v>
      </c>
    </row>
    <row r="8623" spans="2:4" x14ac:dyDescent="0.25">
      <c r="B8623">
        <f t="shared" ca="1" si="404"/>
        <v>47511.440491970745</v>
      </c>
      <c r="C8623">
        <f t="shared" ca="1" si="402"/>
        <v>0</v>
      </c>
      <c r="D8623">
        <f t="shared" ca="1" si="403"/>
        <v>7511.4404919707449</v>
      </c>
    </row>
    <row r="8624" spans="2:4" x14ac:dyDescent="0.25">
      <c r="B8624">
        <f t="shared" ca="1" si="404"/>
        <v>53002.810897082527</v>
      </c>
      <c r="C8624">
        <f t="shared" ca="1" si="402"/>
        <v>0</v>
      </c>
      <c r="D8624">
        <f t="shared" ca="1" si="403"/>
        <v>13002.810897082527</v>
      </c>
    </row>
    <row r="8625" spans="2:4" x14ac:dyDescent="0.25">
      <c r="B8625">
        <f t="shared" ca="1" si="404"/>
        <v>40490.06588074514</v>
      </c>
      <c r="C8625">
        <f t="shared" ca="1" si="402"/>
        <v>0</v>
      </c>
      <c r="D8625">
        <f t="shared" ca="1" si="403"/>
        <v>490.06588074514002</v>
      </c>
    </row>
    <row r="8626" spans="2:4" x14ac:dyDescent="0.25">
      <c r="B8626">
        <f t="shared" ca="1" si="404"/>
        <v>43804.043372704873</v>
      </c>
      <c r="C8626">
        <f t="shared" ca="1" si="402"/>
        <v>0</v>
      </c>
      <c r="D8626">
        <f t="shared" ca="1" si="403"/>
        <v>3804.043372704873</v>
      </c>
    </row>
    <row r="8627" spans="2:4" x14ac:dyDescent="0.25">
      <c r="B8627">
        <f t="shared" ca="1" si="404"/>
        <v>43214.391988388081</v>
      </c>
      <c r="C8627">
        <f t="shared" ca="1" si="402"/>
        <v>0</v>
      </c>
      <c r="D8627">
        <f t="shared" ca="1" si="403"/>
        <v>3214.3919883880808</v>
      </c>
    </row>
    <row r="8628" spans="2:4" x14ac:dyDescent="0.25">
      <c r="B8628">
        <f t="shared" ca="1" si="404"/>
        <v>45181.961347145603</v>
      </c>
      <c r="C8628">
        <f t="shared" ca="1" si="402"/>
        <v>0</v>
      </c>
      <c r="D8628">
        <f t="shared" ca="1" si="403"/>
        <v>5181.9613471456032</v>
      </c>
    </row>
    <row r="8629" spans="2:4" x14ac:dyDescent="0.25">
      <c r="B8629">
        <f t="shared" ca="1" si="404"/>
        <v>44322.018406002542</v>
      </c>
      <c r="C8629">
        <f t="shared" ca="1" si="402"/>
        <v>0</v>
      </c>
      <c r="D8629">
        <f t="shared" ca="1" si="403"/>
        <v>4322.0184060025422</v>
      </c>
    </row>
    <row r="8630" spans="2:4" x14ac:dyDescent="0.25">
      <c r="B8630">
        <f t="shared" ca="1" si="404"/>
        <v>41026.903095567955</v>
      </c>
      <c r="C8630">
        <f t="shared" ca="1" si="402"/>
        <v>0</v>
      </c>
      <c r="D8630">
        <f t="shared" ca="1" si="403"/>
        <v>1026.9030955679555</v>
      </c>
    </row>
    <row r="8631" spans="2:4" x14ac:dyDescent="0.25">
      <c r="B8631">
        <f t="shared" ca="1" si="404"/>
        <v>46802.571362987197</v>
      </c>
      <c r="C8631">
        <f t="shared" ca="1" si="402"/>
        <v>0</v>
      </c>
      <c r="D8631">
        <f t="shared" ca="1" si="403"/>
        <v>6802.5713629871971</v>
      </c>
    </row>
    <row r="8632" spans="2:4" x14ac:dyDescent="0.25">
      <c r="B8632">
        <f t="shared" ca="1" si="404"/>
        <v>49278.441064711646</v>
      </c>
      <c r="C8632">
        <f t="shared" ca="1" si="402"/>
        <v>0</v>
      </c>
      <c r="D8632">
        <f t="shared" ca="1" si="403"/>
        <v>9278.4410647116456</v>
      </c>
    </row>
    <row r="8633" spans="2:4" x14ac:dyDescent="0.25">
      <c r="B8633">
        <f t="shared" ca="1" si="404"/>
        <v>46222.616735558178</v>
      </c>
      <c r="C8633">
        <f t="shared" ca="1" si="402"/>
        <v>0</v>
      </c>
      <c r="D8633">
        <f t="shared" ca="1" si="403"/>
        <v>6222.6167355581783</v>
      </c>
    </row>
    <row r="8634" spans="2:4" x14ac:dyDescent="0.25">
      <c r="B8634">
        <f t="shared" ca="1" si="404"/>
        <v>37115.67549945326</v>
      </c>
      <c r="C8634">
        <f t="shared" ca="1" si="402"/>
        <v>2884.3245005467397</v>
      </c>
      <c r="D8634">
        <f t="shared" ca="1" si="403"/>
        <v>0</v>
      </c>
    </row>
    <row r="8635" spans="2:4" x14ac:dyDescent="0.25">
      <c r="B8635">
        <f t="shared" ca="1" si="404"/>
        <v>51425.26036888027</v>
      </c>
      <c r="C8635">
        <f t="shared" ca="1" si="402"/>
        <v>0</v>
      </c>
      <c r="D8635">
        <f t="shared" ca="1" si="403"/>
        <v>11425.26036888027</v>
      </c>
    </row>
    <row r="8636" spans="2:4" x14ac:dyDescent="0.25">
      <c r="B8636">
        <f t="shared" ca="1" si="404"/>
        <v>46352.348429091835</v>
      </c>
      <c r="C8636">
        <f t="shared" ca="1" si="402"/>
        <v>0</v>
      </c>
      <c r="D8636">
        <f t="shared" ca="1" si="403"/>
        <v>6352.348429091835</v>
      </c>
    </row>
    <row r="8637" spans="2:4" x14ac:dyDescent="0.25">
      <c r="B8637">
        <f t="shared" ca="1" si="404"/>
        <v>44651.500092014765</v>
      </c>
      <c r="C8637">
        <f t="shared" ca="1" si="402"/>
        <v>0</v>
      </c>
      <c r="D8637">
        <f t="shared" ca="1" si="403"/>
        <v>4651.500092014765</v>
      </c>
    </row>
    <row r="8638" spans="2:4" x14ac:dyDescent="0.25">
      <c r="B8638">
        <f t="shared" ca="1" si="404"/>
        <v>51666.524510879637</v>
      </c>
      <c r="C8638">
        <f t="shared" ca="1" si="402"/>
        <v>0</v>
      </c>
      <c r="D8638">
        <f t="shared" ca="1" si="403"/>
        <v>11666.524510879637</v>
      </c>
    </row>
    <row r="8639" spans="2:4" x14ac:dyDescent="0.25">
      <c r="B8639">
        <f t="shared" ca="1" si="404"/>
        <v>48516.229376012052</v>
      </c>
      <c r="C8639">
        <f t="shared" ca="1" si="402"/>
        <v>0</v>
      </c>
      <c r="D8639">
        <f t="shared" ca="1" si="403"/>
        <v>8516.2293760120519</v>
      </c>
    </row>
    <row r="8640" spans="2:4" x14ac:dyDescent="0.25">
      <c r="B8640">
        <f t="shared" ca="1" si="404"/>
        <v>39203.425835444359</v>
      </c>
      <c r="C8640">
        <f t="shared" ca="1" si="402"/>
        <v>796.57416455564089</v>
      </c>
      <c r="D8640">
        <f t="shared" ca="1" si="403"/>
        <v>0</v>
      </c>
    </row>
    <row r="8641" spans="2:4" x14ac:dyDescent="0.25">
      <c r="B8641">
        <f t="shared" ca="1" si="404"/>
        <v>45241.876688495933</v>
      </c>
      <c r="C8641">
        <f t="shared" ca="1" si="402"/>
        <v>0</v>
      </c>
      <c r="D8641">
        <f t="shared" ca="1" si="403"/>
        <v>5241.8766884959332</v>
      </c>
    </row>
    <row r="8642" spans="2:4" x14ac:dyDescent="0.25">
      <c r="B8642">
        <f t="shared" ca="1" si="404"/>
        <v>47362.223916199408</v>
      </c>
      <c r="C8642">
        <f t="shared" ca="1" si="402"/>
        <v>0</v>
      </c>
      <c r="D8642">
        <f t="shared" ca="1" si="403"/>
        <v>7362.2239161994075</v>
      </c>
    </row>
    <row r="8643" spans="2:4" x14ac:dyDescent="0.25">
      <c r="B8643">
        <f t="shared" ca="1" si="404"/>
        <v>42816.318259314896</v>
      </c>
      <c r="C8643">
        <f t="shared" ca="1" si="402"/>
        <v>0</v>
      </c>
      <c r="D8643">
        <f t="shared" ca="1" si="403"/>
        <v>2816.3182593148958</v>
      </c>
    </row>
    <row r="8644" spans="2:4" x14ac:dyDescent="0.25">
      <c r="B8644">
        <f t="shared" ca="1" si="404"/>
        <v>39916.277941799643</v>
      </c>
      <c r="C8644">
        <f t="shared" ca="1" si="402"/>
        <v>83.722058200357424</v>
      </c>
      <c r="D8644">
        <f t="shared" ca="1" si="403"/>
        <v>0</v>
      </c>
    </row>
    <row r="8645" spans="2:4" x14ac:dyDescent="0.25">
      <c r="B8645">
        <f t="shared" ca="1" si="404"/>
        <v>43504.858330776085</v>
      </c>
      <c r="C8645">
        <f t="shared" ca="1" si="402"/>
        <v>0</v>
      </c>
      <c r="D8645">
        <f t="shared" ca="1" si="403"/>
        <v>3504.8583307760855</v>
      </c>
    </row>
    <row r="8646" spans="2:4" x14ac:dyDescent="0.25">
      <c r="B8646">
        <f t="shared" ca="1" si="404"/>
        <v>42782.162161481385</v>
      </c>
      <c r="C8646">
        <f t="shared" ca="1" si="402"/>
        <v>0</v>
      </c>
      <c r="D8646">
        <f t="shared" ca="1" si="403"/>
        <v>2782.1621614813848</v>
      </c>
    </row>
    <row r="8647" spans="2:4" x14ac:dyDescent="0.25">
      <c r="B8647">
        <f t="shared" ca="1" si="404"/>
        <v>41972.298031667233</v>
      </c>
      <c r="C8647">
        <f t="shared" ca="1" si="402"/>
        <v>0</v>
      </c>
      <c r="D8647">
        <f t="shared" ca="1" si="403"/>
        <v>1972.2980316672329</v>
      </c>
    </row>
    <row r="8648" spans="2:4" x14ac:dyDescent="0.25">
      <c r="B8648">
        <f t="shared" ca="1" si="404"/>
        <v>40804.582564648612</v>
      </c>
      <c r="C8648">
        <f t="shared" ca="1" si="402"/>
        <v>0</v>
      </c>
      <c r="D8648">
        <f t="shared" ca="1" si="403"/>
        <v>804.58256464861188</v>
      </c>
    </row>
    <row r="8649" spans="2:4" x14ac:dyDescent="0.25">
      <c r="B8649">
        <f t="shared" ca="1" si="404"/>
        <v>43332.619832397009</v>
      </c>
      <c r="C8649">
        <f t="shared" ca="1" si="402"/>
        <v>0</v>
      </c>
      <c r="D8649">
        <f t="shared" ca="1" si="403"/>
        <v>3332.6198323970093</v>
      </c>
    </row>
    <row r="8650" spans="2:4" x14ac:dyDescent="0.25">
      <c r="B8650">
        <f t="shared" ca="1" si="404"/>
        <v>46284.19974204179</v>
      </c>
      <c r="C8650">
        <f t="shared" ca="1" si="402"/>
        <v>0</v>
      </c>
      <c r="D8650">
        <f t="shared" ca="1" si="403"/>
        <v>6284.1997420417902</v>
      </c>
    </row>
    <row r="8651" spans="2:4" x14ac:dyDescent="0.25">
      <c r="B8651">
        <f t="shared" ca="1" si="404"/>
        <v>45244.78632732285</v>
      </c>
      <c r="C8651">
        <f t="shared" ca="1" si="402"/>
        <v>0</v>
      </c>
      <c r="D8651">
        <f t="shared" ca="1" si="403"/>
        <v>5244.7863273228504</v>
      </c>
    </row>
    <row r="8652" spans="2:4" x14ac:dyDescent="0.25">
      <c r="B8652">
        <f t="shared" ca="1" si="404"/>
        <v>43384.620314251115</v>
      </c>
      <c r="C8652">
        <f t="shared" ref="C8652:C8715" ca="1" si="405">IF(MAX($B$2-B8652)&lt;0,0,$B$2-B8652)</f>
        <v>0</v>
      </c>
      <c r="D8652">
        <f t="shared" ref="D8652:D8715" ca="1" si="406">IF(MAX(B8652-$B$2)&lt;0,0,B8652-$B$2)</f>
        <v>3384.6203142511149</v>
      </c>
    </row>
    <row r="8653" spans="2:4" x14ac:dyDescent="0.25">
      <c r="B8653">
        <f t="shared" ref="B8653:B8716" ca="1" si="407">$B$1*EXP((($B$4-($B$3^2)/2)*$B$5+$B$3*SQRT($B$5)*NORMSINV(RAND())))</f>
        <v>43532.274457436601</v>
      </c>
      <c r="C8653">
        <f t="shared" ca="1" si="405"/>
        <v>0</v>
      </c>
      <c r="D8653">
        <f t="shared" ca="1" si="406"/>
        <v>3532.2744574366006</v>
      </c>
    </row>
    <row r="8654" spans="2:4" x14ac:dyDescent="0.25">
      <c r="B8654">
        <f t="shared" ca="1" si="407"/>
        <v>39737.172992218424</v>
      </c>
      <c r="C8654">
        <f t="shared" ca="1" si="405"/>
        <v>262.82700778157596</v>
      </c>
      <c r="D8654">
        <f t="shared" ca="1" si="406"/>
        <v>0</v>
      </c>
    </row>
    <row r="8655" spans="2:4" x14ac:dyDescent="0.25">
      <c r="B8655">
        <f t="shared" ca="1" si="407"/>
        <v>40898.781358889719</v>
      </c>
      <c r="C8655">
        <f t="shared" ca="1" si="405"/>
        <v>0</v>
      </c>
      <c r="D8655">
        <f t="shared" ca="1" si="406"/>
        <v>898.78135888971883</v>
      </c>
    </row>
    <row r="8656" spans="2:4" x14ac:dyDescent="0.25">
      <c r="B8656">
        <f t="shared" ca="1" si="407"/>
        <v>43887.388850826268</v>
      </c>
      <c r="C8656">
        <f t="shared" ca="1" si="405"/>
        <v>0</v>
      </c>
      <c r="D8656">
        <f t="shared" ca="1" si="406"/>
        <v>3887.388850826268</v>
      </c>
    </row>
    <row r="8657" spans="2:4" x14ac:dyDescent="0.25">
      <c r="B8657">
        <f t="shared" ca="1" si="407"/>
        <v>43560.890900453938</v>
      </c>
      <c r="C8657">
        <f t="shared" ca="1" si="405"/>
        <v>0</v>
      </c>
      <c r="D8657">
        <f t="shared" ca="1" si="406"/>
        <v>3560.8909004539382</v>
      </c>
    </row>
    <row r="8658" spans="2:4" x14ac:dyDescent="0.25">
      <c r="B8658">
        <f t="shared" ca="1" si="407"/>
        <v>41613.164200352207</v>
      </c>
      <c r="C8658">
        <f t="shared" ca="1" si="405"/>
        <v>0</v>
      </c>
      <c r="D8658">
        <f t="shared" ca="1" si="406"/>
        <v>1613.1642003522065</v>
      </c>
    </row>
    <row r="8659" spans="2:4" x14ac:dyDescent="0.25">
      <c r="B8659">
        <f t="shared" ca="1" si="407"/>
        <v>41456.287364252559</v>
      </c>
      <c r="C8659">
        <f t="shared" ca="1" si="405"/>
        <v>0</v>
      </c>
      <c r="D8659">
        <f t="shared" ca="1" si="406"/>
        <v>1456.2873642525592</v>
      </c>
    </row>
    <row r="8660" spans="2:4" x14ac:dyDescent="0.25">
      <c r="B8660">
        <f t="shared" ca="1" si="407"/>
        <v>39520.704989458238</v>
      </c>
      <c r="C8660">
        <f t="shared" ca="1" si="405"/>
        <v>479.29501054176217</v>
      </c>
      <c r="D8660">
        <f t="shared" ca="1" si="406"/>
        <v>0</v>
      </c>
    </row>
    <row r="8661" spans="2:4" x14ac:dyDescent="0.25">
      <c r="B8661">
        <f t="shared" ca="1" si="407"/>
        <v>43612.253381506736</v>
      </c>
      <c r="C8661">
        <f t="shared" ca="1" si="405"/>
        <v>0</v>
      </c>
      <c r="D8661">
        <f t="shared" ca="1" si="406"/>
        <v>3612.2533815067363</v>
      </c>
    </row>
    <row r="8662" spans="2:4" x14ac:dyDescent="0.25">
      <c r="B8662">
        <f t="shared" ca="1" si="407"/>
        <v>41349.964941892351</v>
      </c>
      <c r="C8662">
        <f t="shared" ca="1" si="405"/>
        <v>0</v>
      </c>
      <c r="D8662">
        <f t="shared" ca="1" si="406"/>
        <v>1349.9649418923509</v>
      </c>
    </row>
    <row r="8663" spans="2:4" x14ac:dyDescent="0.25">
      <c r="B8663">
        <f t="shared" ca="1" si="407"/>
        <v>36541.310290243942</v>
      </c>
      <c r="C8663">
        <f t="shared" ca="1" si="405"/>
        <v>3458.6897097560577</v>
      </c>
      <c r="D8663">
        <f t="shared" ca="1" si="406"/>
        <v>0</v>
      </c>
    </row>
    <row r="8664" spans="2:4" x14ac:dyDescent="0.25">
      <c r="B8664">
        <f t="shared" ca="1" si="407"/>
        <v>48138.313161701939</v>
      </c>
      <c r="C8664">
        <f t="shared" ca="1" si="405"/>
        <v>0</v>
      </c>
      <c r="D8664">
        <f t="shared" ca="1" si="406"/>
        <v>8138.313161701939</v>
      </c>
    </row>
    <row r="8665" spans="2:4" x14ac:dyDescent="0.25">
      <c r="B8665">
        <f t="shared" ca="1" si="407"/>
        <v>40052.944771355847</v>
      </c>
      <c r="C8665">
        <f t="shared" ca="1" si="405"/>
        <v>0</v>
      </c>
      <c r="D8665">
        <f t="shared" ca="1" si="406"/>
        <v>52.944771355847479</v>
      </c>
    </row>
    <row r="8666" spans="2:4" x14ac:dyDescent="0.25">
      <c r="B8666">
        <f t="shared" ca="1" si="407"/>
        <v>45592.926688781081</v>
      </c>
      <c r="C8666">
        <f t="shared" ca="1" si="405"/>
        <v>0</v>
      </c>
      <c r="D8666">
        <f t="shared" ca="1" si="406"/>
        <v>5592.9266887810809</v>
      </c>
    </row>
    <row r="8667" spans="2:4" x14ac:dyDescent="0.25">
      <c r="B8667">
        <f t="shared" ca="1" si="407"/>
        <v>45041.546003129602</v>
      </c>
      <c r="C8667">
        <f t="shared" ca="1" si="405"/>
        <v>0</v>
      </c>
      <c r="D8667">
        <f t="shared" ca="1" si="406"/>
        <v>5041.5460031296025</v>
      </c>
    </row>
    <row r="8668" spans="2:4" x14ac:dyDescent="0.25">
      <c r="B8668">
        <f t="shared" ca="1" si="407"/>
        <v>45547.347993125302</v>
      </c>
      <c r="C8668">
        <f t="shared" ca="1" si="405"/>
        <v>0</v>
      </c>
      <c r="D8668">
        <f t="shared" ca="1" si="406"/>
        <v>5547.3479931253023</v>
      </c>
    </row>
    <row r="8669" spans="2:4" x14ac:dyDescent="0.25">
      <c r="B8669">
        <f t="shared" ca="1" si="407"/>
        <v>45607.850175865773</v>
      </c>
      <c r="C8669">
        <f t="shared" ca="1" si="405"/>
        <v>0</v>
      </c>
      <c r="D8669">
        <f t="shared" ca="1" si="406"/>
        <v>5607.8501758657731</v>
      </c>
    </row>
    <row r="8670" spans="2:4" x14ac:dyDescent="0.25">
      <c r="B8670">
        <f t="shared" ca="1" si="407"/>
        <v>48960.452072059743</v>
      </c>
      <c r="C8670">
        <f t="shared" ca="1" si="405"/>
        <v>0</v>
      </c>
      <c r="D8670">
        <f t="shared" ca="1" si="406"/>
        <v>8960.4520720597429</v>
      </c>
    </row>
    <row r="8671" spans="2:4" x14ac:dyDescent="0.25">
      <c r="B8671">
        <f t="shared" ca="1" si="407"/>
        <v>53257.750932066192</v>
      </c>
      <c r="C8671">
        <f t="shared" ca="1" si="405"/>
        <v>0</v>
      </c>
      <c r="D8671">
        <f t="shared" ca="1" si="406"/>
        <v>13257.750932066192</v>
      </c>
    </row>
    <row r="8672" spans="2:4" x14ac:dyDescent="0.25">
      <c r="B8672">
        <f t="shared" ca="1" si="407"/>
        <v>48012.346872227376</v>
      </c>
      <c r="C8672">
        <f t="shared" ca="1" si="405"/>
        <v>0</v>
      </c>
      <c r="D8672">
        <f t="shared" ca="1" si="406"/>
        <v>8012.3468722273756</v>
      </c>
    </row>
    <row r="8673" spans="2:4" x14ac:dyDescent="0.25">
      <c r="B8673">
        <f t="shared" ca="1" si="407"/>
        <v>44474.56714149117</v>
      </c>
      <c r="C8673">
        <f t="shared" ca="1" si="405"/>
        <v>0</v>
      </c>
      <c r="D8673">
        <f t="shared" ca="1" si="406"/>
        <v>4474.5671414911703</v>
      </c>
    </row>
    <row r="8674" spans="2:4" x14ac:dyDescent="0.25">
      <c r="B8674">
        <f t="shared" ca="1" si="407"/>
        <v>49572.992928017833</v>
      </c>
      <c r="C8674">
        <f t="shared" ca="1" si="405"/>
        <v>0</v>
      </c>
      <c r="D8674">
        <f t="shared" ca="1" si="406"/>
        <v>9572.992928017833</v>
      </c>
    </row>
    <row r="8675" spans="2:4" x14ac:dyDescent="0.25">
      <c r="B8675">
        <f t="shared" ca="1" si="407"/>
        <v>43096.498308802118</v>
      </c>
      <c r="C8675">
        <f t="shared" ca="1" si="405"/>
        <v>0</v>
      </c>
      <c r="D8675">
        <f t="shared" ca="1" si="406"/>
        <v>3096.4983088021181</v>
      </c>
    </row>
    <row r="8676" spans="2:4" x14ac:dyDescent="0.25">
      <c r="B8676">
        <f t="shared" ca="1" si="407"/>
        <v>41403.04042608873</v>
      </c>
      <c r="C8676">
        <f t="shared" ca="1" si="405"/>
        <v>0</v>
      </c>
      <c r="D8676">
        <f t="shared" ca="1" si="406"/>
        <v>1403.0404260887299</v>
      </c>
    </row>
    <row r="8677" spans="2:4" x14ac:dyDescent="0.25">
      <c r="B8677">
        <f t="shared" ca="1" si="407"/>
        <v>43316.781288143124</v>
      </c>
      <c r="C8677">
        <f t="shared" ca="1" si="405"/>
        <v>0</v>
      </c>
      <c r="D8677">
        <f t="shared" ca="1" si="406"/>
        <v>3316.7812881431237</v>
      </c>
    </row>
    <row r="8678" spans="2:4" x14ac:dyDescent="0.25">
      <c r="B8678">
        <f t="shared" ca="1" si="407"/>
        <v>41483.891179598708</v>
      </c>
      <c r="C8678">
        <f t="shared" ca="1" si="405"/>
        <v>0</v>
      </c>
      <c r="D8678">
        <f t="shared" ca="1" si="406"/>
        <v>1483.8911795987078</v>
      </c>
    </row>
    <row r="8679" spans="2:4" x14ac:dyDescent="0.25">
      <c r="B8679">
        <f t="shared" ca="1" si="407"/>
        <v>43599.472608774857</v>
      </c>
      <c r="C8679">
        <f t="shared" ca="1" si="405"/>
        <v>0</v>
      </c>
      <c r="D8679">
        <f t="shared" ca="1" si="406"/>
        <v>3599.4726087748568</v>
      </c>
    </row>
    <row r="8680" spans="2:4" x14ac:dyDescent="0.25">
      <c r="B8680">
        <f t="shared" ca="1" si="407"/>
        <v>44583.326599098029</v>
      </c>
      <c r="C8680">
        <f t="shared" ca="1" si="405"/>
        <v>0</v>
      </c>
      <c r="D8680">
        <f t="shared" ca="1" si="406"/>
        <v>4583.326599098029</v>
      </c>
    </row>
    <row r="8681" spans="2:4" x14ac:dyDescent="0.25">
      <c r="B8681">
        <f t="shared" ca="1" si="407"/>
        <v>34680.559495068002</v>
      </c>
      <c r="C8681">
        <f t="shared" ca="1" si="405"/>
        <v>5319.4405049319976</v>
      </c>
      <c r="D8681">
        <f t="shared" ca="1" si="406"/>
        <v>0</v>
      </c>
    </row>
    <row r="8682" spans="2:4" x14ac:dyDescent="0.25">
      <c r="B8682">
        <f t="shared" ca="1" si="407"/>
        <v>40962.947698050033</v>
      </c>
      <c r="C8682">
        <f t="shared" ca="1" si="405"/>
        <v>0</v>
      </c>
      <c r="D8682">
        <f t="shared" ca="1" si="406"/>
        <v>962.94769805003307</v>
      </c>
    </row>
    <row r="8683" spans="2:4" x14ac:dyDescent="0.25">
      <c r="B8683">
        <f t="shared" ca="1" si="407"/>
        <v>44368.944816538489</v>
      </c>
      <c r="C8683">
        <f t="shared" ca="1" si="405"/>
        <v>0</v>
      </c>
      <c r="D8683">
        <f t="shared" ca="1" si="406"/>
        <v>4368.9448165384892</v>
      </c>
    </row>
    <row r="8684" spans="2:4" x14ac:dyDescent="0.25">
      <c r="B8684">
        <f t="shared" ca="1" si="407"/>
        <v>45411.177498420235</v>
      </c>
      <c r="C8684">
        <f t="shared" ca="1" si="405"/>
        <v>0</v>
      </c>
      <c r="D8684">
        <f t="shared" ca="1" si="406"/>
        <v>5411.1774984202348</v>
      </c>
    </row>
    <row r="8685" spans="2:4" x14ac:dyDescent="0.25">
      <c r="B8685">
        <f t="shared" ca="1" si="407"/>
        <v>43057.374833849368</v>
      </c>
      <c r="C8685">
        <f t="shared" ca="1" si="405"/>
        <v>0</v>
      </c>
      <c r="D8685">
        <f t="shared" ca="1" si="406"/>
        <v>3057.3748338493679</v>
      </c>
    </row>
    <row r="8686" spans="2:4" x14ac:dyDescent="0.25">
      <c r="B8686">
        <f t="shared" ca="1" si="407"/>
        <v>54711.119323015933</v>
      </c>
      <c r="C8686">
        <f t="shared" ca="1" si="405"/>
        <v>0</v>
      </c>
      <c r="D8686">
        <f t="shared" ca="1" si="406"/>
        <v>14711.119323015933</v>
      </c>
    </row>
    <row r="8687" spans="2:4" x14ac:dyDescent="0.25">
      <c r="B8687">
        <f t="shared" ca="1" si="407"/>
        <v>43310.470696777309</v>
      </c>
      <c r="C8687">
        <f t="shared" ca="1" si="405"/>
        <v>0</v>
      </c>
      <c r="D8687">
        <f t="shared" ca="1" si="406"/>
        <v>3310.4706967773091</v>
      </c>
    </row>
    <row r="8688" spans="2:4" x14ac:dyDescent="0.25">
      <c r="B8688">
        <f t="shared" ca="1" si="407"/>
        <v>53897.240505877249</v>
      </c>
      <c r="C8688">
        <f t="shared" ca="1" si="405"/>
        <v>0</v>
      </c>
      <c r="D8688">
        <f t="shared" ca="1" si="406"/>
        <v>13897.240505877249</v>
      </c>
    </row>
    <row r="8689" spans="2:4" x14ac:dyDescent="0.25">
      <c r="B8689">
        <f t="shared" ca="1" si="407"/>
        <v>43100.210915348551</v>
      </c>
      <c r="C8689">
        <f t="shared" ca="1" si="405"/>
        <v>0</v>
      </c>
      <c r="D8689">
        <f t="shared" ca="1" si="406"/>
        <v>3100.2109153485508</v>
      </c>
    </row>
    <row r="8690" spans="2:4" x14ac:dyDescent="0.25">
      <c r="B8690">
        <f t="shared" ca="1" si="407"/>
        <v>47759.155450044716</v>
      </c>
      <c r="C8690">
        <f t="shared" ca="1" si="405"/>
        <v>0</v>
      </c>
      <c r="D8690">
        <f t="shared" ca="1" si="406"/>
        <v>7759.1554500447164</v>
      </c>
    </row>
    <row r="8691" spans="2:4" x14ac:dyDescent="0.25">
      <c r="B8691">
        <f t="shared" ca="1" si="407"/>
        <v>47701.791763665839</v>
      </c>
      <c r="C8691">
        <f t="shared" ca="1" si="405"/>
        <v>0</v>
      </c>
      <c r="D8691">
        <f t="shared" ca="1" si="406"/>
        <v>7701.7917636658385</v>
      </c>
    </row>
    <row r="8692" spans="2:4" x14ac:dyDescent="0.25">
      <c r="B8692">
        <f t="shared" ca="1" si="407"/>
        <v>40975.623040086808</v>
      </c>
      <c r="C8692">
        <f t="shared" ca="1" si="405"/>
        <v>0</v>
      </c>
      <c r="D8692">
        <f t="shared" ca="1" si="406"/>
        <v>975.62304008680803</v>
      </c>
    </row>
    <row r="8693" spans="2:4" x14ac:dyDescent="0.25">
      <c r="B8693">
        <f t="shared" ca="1" si="407"/>
        <v>47935.46831317016</v>
      </c>
      <c r="C8693">
        <f t="shared" ca="1" si="405"/>
        <v>0</v>
      </c>
      <c r="D8693">
        <f t="shared" ca="1" si="406"/>
        <v>7935.4683131701604</v>
      </c>
    </row>
    <row r="8694" spans="2:4" x14ac:dyDescent="0.25">
      <c r="B8694">
        <f t="shared" ca="1" si="407"/>
        <v>49352.695234214953</v>
      </c>
      <c r="C8694">
        <f t="shared" ca="1" si="405"/>
        <v>0</v>
      </c>
      <c r="D8694">
        <f t="shared" ca="1" si="406"/>
        <v>9352.6952342149525</v>
      </c>
    </row>
    <row r="8695" spans="2:4" x14ac:dyDescent="0.25">
      <c r="B8695">
        <f t="shared" ca="1" si="407"/>
        <v>51486.439734635336</v>
      </c>
      <c r="C8695">
        <f t="shared" ca="1" si="405"/>
        <v>0</v>
      </c>
      <c r="D8695">
        <f t="shared" ca="1" si="406"/>
        <v>11486.439734635336</v>
      </c>
    </row>
    <row r="8696" spans="2:4" x14ac:dyDescent="0.25">
      <c r="B8696">
        <f t="shared" ca="1" si="407"/>
        <v>42235.983611177944</v>
      </c>
      <c r="C8696">
        <f t="shared" ca="1" si="405"/>
        <v>0</v>
      </c>
      <c r="D8696">
        <f t="shared" ca="1" si="406"/>
        <v>2235.9836111779441</v>
      </c>
    </row>
    <row r="8697" spans="2:4" x14ac:dyDescent="0.25">
      <c r="B8697">
        <f t="shared" ca="1" si="407"/>
        <v>43132.355596328525</v>
      </c>
      <c r="C8697">
        <f t="shared" ca="1" si="405"/>
        <v>0</v>
      </c>
      <c r="D8697">
        <f t="shared" ca="1" si="406"/>
        <v>3132.3555963285253</v>
      </c>
    </row>
    <row r="8698" spans="2:4" x14ac:dyDescent="0.25">
      <c r="B8698">
        <f t="shared" ca="1" si="407"/>
        <v>39798.278532039687</v>
      </c>
      <c r="C8698">
        <f t="shared" ca="1" si="405"/>
        <v>201.72146796031302</v>
      </c>
      <c r="D8698">
        <f t="shared" ca="1" si="406"/>
        <v>0</v>
      </c>
    </row>
    <row r="8699" spans="2:4" x14ac:dyDescent="0.25">
      <c r="B8699">
        <f t="shared" ca="1" si="407"/>
        <v>46652.297200458044</v>
      </c>
      <c r="C8699">
        <f t="shared" ca="1" si="405"/>
        <v>0</v>
      </c>
      <c r="D8699">
        <f t="shared" ca="1" si="406"/>
        <v>6652.2972004580442</v>
      </c>
    </row>
    <row r="8700" spans="2:4" x14ac:dyDescent="0.25">
      <c r="B8700">
        <f t="shared" ca="1" si="407"/>
        <v>41540.135409328126</v>
      </c>
      <c r="C8700">
        <f t="shared" ca="1" si="405"/>
        <v>0</v>
      </c>
      <c r="D8700">
        <f t="shared" ca="1" si="406"/>
        <v>1540.1354093281261</v>
      </c>
    </row>
    <row r="8701" spans="2:4" x14ac:dyDescent="0.25">
      <c r="B8701">
        <f t="shared" ca="1" si="407"/>
        <v>42521.362795262699</v>
      </c>
      <c r="C8701">
        <f t="shared" ca="1" si="405"/>
        <v>0</v>
      </c>
      <c r="D8701">
        <f t="shared" ca="1" si="406"/>
        <v>2521.3627952626994</v>
      </c>
    </row>
    <row r="8702" spans="2:4" x14ac:dyDescent="0.25">
      <c r="B8702">
        <f t="shared" ca="1" si="407"/>
        <v>52799.140909954927</v>
      </c>
      <c r="C8702">
        <f t="shared" ca="1" si="405"/>
        <v>0</v>
      </c>
      <c r="D8702">
        <f t="shared" ca="1" si="406"/>
        <v>12799.140909954927</v>
      </c>
    </row>
    <row r="8703" spans="2:4" x14ac:dyDescent="0.25">
      <c r="B8703">
        <f t="shared" ca="1" si="407"/>
        <v>37600.472761779347</v>
      </c>
      <c r="C8703">
        <f t="shared" ca="1" si="405"/>
        <v>2399.5272382206531</v>
      </c>
      <c r="D8703">
        <f t="shared" ca="1" si="406"/>
        <v>0</v>
      </c>
    </row>
    <row r="8704" spans="2:4" x14ac:dyDescent="0.25">
      <c r="B8704">
        <f t="shared" ca="1" si="407"/>
        <v>54045.05239862109</v>
      </c>
      <c r="C8704">
        <f t="shared" ca="1" si="405"/>
        <v>0</v>
      </c>
      <c r="D8704">
        <f t="shared" ca="1" si="406"/>
        <v>14045.05239862109</v>
      </c>
    </row>
    <row r="8705" spans="2:4" x14ac:dyDescent="0.25">
      <c r="B8705">
        <f t="shared" ca="1" si="407"/>
        <v>44385.332158937861</v>
      </c>
      <c r="C8705">
        <f t="shared" ca="1" si="405"/>
        <v>0</v>
      </c>
      <c r="D8705">
        <f t="shared" ca="1" si="406"/>
        <v>4385.3321589378611</v>
      </c>
    </row>
    <row r="8706" spans="2:4" x14ac:dyDescent="0.25">
      <c r="B8706">
        <f t="shared" ca="1" si="407"/>
        <v>48851.644461075237</v>
      </c>
      <c r="C8706">
        <f t="shared" ca="1" si="405"/>
        <v>0</v>
      </c>
      <c r="D8706">
        <f t="shared" ca="1" si="406"/>
        <v>8851.6444610752369</v>
      </c>
    </row>
    <row r="8707" spans="2:4" x14ac:dyDescent="0.25">
      <c r="B8707">
        <f t="shared" ca="1" si="407"/>
        <v>39077.053523605922</v>
      </c>
      <c r="C8707">
        <f t="shared" ca="1" si="405"/>
        <v>922.94647639407776</v>
      </c>
      <c r="D8707">
        <f t="shared" ca="1" si="406"/>
        <v>0</v>
      </c>
    </row>
    <row r="8708" spans="2:4" x14ac:dyDescent="0.25">
      <c r="B8708">
        <f t="shared" ca="1" si="407"/>
        <v>45086.141316710455</v>
      </c>
      <c r="C8708">
        <f t="shared" ca="1" si="405"/>
        <v>0</v>
      </c>
      <c r="D8708">
        <f t="shared" ca="1" si="406"/>
        <v>5086.1413167104547</v>
      </c>
    </row>
    <row r="8709" spans="2:4" x14ac:dyDescent="0.25">
      <c r="B8709">
        <f t="shared" ca="1" si="407"/>
        <v>45292.24294827666</v>
      </c>
      <c r="C8709">
        <f t="shared" ca="1" si="405"/>
        <v>0</v>
      </c>
      <c r="D8709">
        <f t="shared" ca="1" si="406"/>
        <v>5292.2429482766602</v>
      </c>
    </row>
    <row r="8710" spans="2:4" x14ac:dyDescent="0.25">
      <c r="B8710">
        <f t="shared" ca="1" si="407"/>
        <v>45623.657692580047</v>
      </c>
      <c r="C8710">
        <f t="shared" ca="1" si="405"/>
        <v>0</v>
      </c>
      <c r="D8710">
        <f t="shared" ca="1" si="406"/>
        <v>5623.6576925800473</v>
      </c>
    </row>
    <row r="8711" spans="2:4" x14ac:dyDescent="0.25">
      <c r="B8711">
        <f t="shared" ca="1" si="407"/>
        <v>50873.453561657756</v>
      </c>
      <c r="C8711">
        <f t="shared" ca="1" si="405"/>
        <v>0</v>
      </c>
      <c r="D8711">
        <f t="shared" ca="1" si="406"/>
        <v>10873.453561657756</v>
      </c>
    </row>
    <row r="8712" spans="2:4" x14ac:dyDescent="0.25">
      <c r="B8712">
        <f t="shared" ca="1" si="407"/>
        <v>45715.131483983823</v>
      </c>
      <c r="C8712">
        <f t="shared" ca="1" si="405"/>
        <v>0</v>
      </c>
      <c r="D8712">
        <f t="shared" ca="1" si="406"/>
        <v>5715.1314839838233</v>
      </c>
    </row>
    <row r="8713" spans="2:4" x14ac:dyDescent="0.25">
      <c r="B8713">
        <f t="shared" ca="1" si="407"/>
        <v>43286.355252363595</v>
      </c>
      <c r="C8713">
        <f t="shared" ca="1" si="405"/>
        <v>0</v>
      </c>
      <c r="D8713">
        <f t="shared" ca="1" si="406"/>
        <v>3286.3552523635954</v>
      </c>
    </row>
    <row r="8714" spans="2:4" x14ac:dyDescent="0.25">
      <c r="B8714">
        <f t="shared" ca="1" si="407"/>
        <v>46994.452524577537</v>
      </c>
      <c r="C8714">
        <f t="shared" ca="1" si="405"/>
        <v>0</v>
      </c>
      <c r="D8714">
        <f t="shared" ca="1" si="406"/>
        <v>6994.4525245775367</v>
      </c>
    </row>
    <row r="8715" spans="2:4" x14ac:dyDescent="0.25">
      <c r="B8715">
        <f t="shared" ca="1" si="407"/>
        <v>42492.0622897293</v>
      </c>
      <c r="C8715">
        <f t="shared" ca="1" si="405"/>
        <v>0</v>
      </c>
      <c r="D8715">
        <f t="shared" ca="1" si="406"/>
        <v>2492.0622897292997</v>
      </c>
    </row>
    <row r="8716" spans="2:4" x14ac:dyDescent="0.25">
      <c r="B8716">
        <f t="shared" ca="1" si="407"/>
        <v>45303.729924724925</v>
      </c>
      <c r="C8716">
        <f t="shared" ref="C8716:C8779" ca="1" si="408">IF(MAX($B$2-B8716)&lt;0,0,$B$2-B8716)</f>
        <v>0</v>
      </c>
      <c r="D8716">
        <f t="shared" ref="D8716:D8779" ca="1" si="409">IF(MAX(B8716-$B$2)&lt;0,0,B8716-$B$2)</f>
        <v>5303.7299247249248</v>
      </c>
    </row>
    <row r="8717" spans="2:4" x14ac:dyDescent="0.25">
      <c r="B8717">
        <f t="shared" ref="B8717:B8780" ca="1" si="410">$B$1*EXP((($B$4-($B$3^2)/2)*$B$5+$B$3*SQRT($B$5)*NORMSINV(RAND())))</f>
        <v>50073.456199240041</v>
      </c>
      <c r="C8717">
        <f t="shared" ca="1" si="408"/>
        <v>0</v>
      </c>
      <c r="D8717">
        <f t="shared" ca="1" si="409"/>
        <v>10073.456199240041</v>
      </c>
    </row>
    <row r="8718" spans="2:4" x14ac:dyDescent="0.25">
      <c r="B8718">
        <f t="shared" ca="1" si="410"/>
        <v>44520.162615072863</v>
      </c>
      <c r="C8718">
        <f t="shared" ca="1" si="408"/>
        <v>0</v>
      </c>
      <c r="D8718">
        <f t="shared" ca="1" si="409"/>
        <v>4520.1626150728625</v>
      </c>
    </row>
    <row r="8719" spans="2:4" x14ac:dyDescent="0.25">
      <c r="B8719">
        <f t="shared" ca="1" si="410"/>
        <v>58176.076317983694</v>
      </c>
      <c r="C8719">
        <f t="shared" ca="1" si="408"/>
        <v>0</v>
      </c>
      <c r="D8719">
        <f t="shared" ca="1" si="409"/>
        <v>18176.076317983694</v>
      </c>
    </row>
    <row r="8720" spans="2:4" x14ac:dyDescent="0.25">
      <c r="B8720">
        <f t="shared" ca="1" si="410"/>
        <v>46867.367478378525</v>
      </c>
      <c r="C8720">
        <f t="shared" ca="1" si="408"/>
        <v>0</v>
      </c>
      <c r="D8720">
        <f t="shared" ca="1" si="409"/>
        <v>6867.3674783785245</v>
      </c>
    </row>
    <row r="8721" spans="2:4" x14ac:dyDescent="0.25">
      <c r="B8721">
        <f t="shared" ca="1" si="410"/>
        <v>53127.408702578337</v>
      </c>
      <c r="C8721">
        <f t="shared" ca="1" si="408"/>
        <v>0</v>
      </c>
      <c r="D8721">
        <f t="shared" ca="1" si="409"/>
        <v>13127.408702578337</v>
      </c>
    </row>
    <row r="8722" spans="2:4" x14ac:dyDescent="0.25">
      <c r="B8722">
        <f t="shared" ca="1" si="410"/>
        <v>48128.956142751966</v>
      </c>
      <c r="C8722">
        <f t="shared" ca="1" si="408"/>
        <v>0</v>
      </c>
      <c r="D8722">
        <f t="shared" ca="1" si="409"/>
        <v>8128.9561427519657</v>
      </c>
    </row>
    <row r="8723" spans="2:4" x14ac:dyDescent="0.25">
      <c r="B8723">
        <f t="shared" ca="1" si="410"/>
        <v>43833.136366098443</v>
      </c>
      <c r="C8723">
        <f t="shared" ca="1" si="408"/>
        <v>0</v>
      </c>
      <c r="D8723">
        <f t="shared" ca="1" si="409"/>
        <v>3833.1363660984425</v>
      </c>
    </row>
    <row r="8724" spans="2:4" x14ac:dyDescent="0.25">
      <c r="B8724">
        <f t="shared" ca="1" si="410"/>
        <v>48052.323173459394</v>
      </c>
      <c r="C8724">
        <f t="shared" ca="1" si="408"/>
        <v>0</v>
      </c>
      <c r="D8724">
        <f t="shared" ca="1" si="409"/>
        <v>8052.3231734593937</v>
      </c>
    </row>
    <row r="8725" spans="2:4" x14ac:dyDescent="0.25">
      <c r="B8725">
        <f t="shared" ca="1" si="410"/>
        <v>55569.953996302058</v>
      </c>
      <c r="C8725">
        <f t="shared" ca="1" si="408"/>
        <v>0</v>
      </c>
      <c r="D8725">
        <f t="shared" ca="1" si="409"/>
        <v>15569.953996302058</v>
      </c>
    </row>
    <row r="8726" spans="2:4" x14ac:dyDescent="0.25">
      <c r="B8726">
        <f t="shared" ca="1" si="410"/>
        <v>49962.557727257379</v>
      </c>
      <c r="C8726">
        <f t="shared" ca="1" si="408"/>
        <v>0</v>
      </c>
      <c r="D8726">
        <f t="shared" ca="1" si="409"/>
        <v>9962.5577272573792</v>
      </c>
    </row>
    <row r="8727" spans="2:4" x14ac:dyDescent="0.25">
      <c r="B8727">
        <f t="shared" ca="1" si="410"/>
        <v>44444.186669295705</v>
      </c>
      <c r="C8727">
        <f t="shared" ca="1" si="408"/>
        <v>0</v>
      </c>
      <c r="D8727">
        <f t="shared" ca="1" si="409"/>
        <v>4444.1866692957046</v>
      </c>
    </row>
    <row r="8728" spans="2:4" x14ac:dyDescent="0.25">
      <c r="B8728">
        <f t="shared" ca="1" si="410"/>
        <v>38866.793353604444</v>
      </c>
      <c r="C8728">
        <f t="shared" ca="1" si="408"/>
        <v>1133.2066463955562</v>
      </c>
      <c r="D8728">
        <f t="shared" ca="1" si="409"/>
        <v>0</v>
      </c>
    </row>
    <row r="8729" spans="2:4" x14ac:dyDescent="0.25">
      <c r="B8729">
        <f t="shared" ca="1" si="410"/>
        <v>48259.147500052328</v>
      </c>
      <c r="C8729">
        <f t="shared" ca="1" si="408"/>
        <v>0</v>
      </c>
      <c r="D8729">
        <f t="shared" ca="1" si="409"/>
        <v>8259.1475000523278</v>
      </c>
    </row>
    <row r="8730" spans="2:4" x14ac:dyDescent="0.25">
      <c r="B8730">
        <f t="shared" ca="1" si="410"/>
        <v>48623.906944391514</v>
      </c>
      <c r="C8730">
        <f t="shared" ca="1" si="408"/>
        <v>0</v>
      </c>
      <c r="D8730">
        <f t="shared" ca="1" si="409"/>
        <v>8623.9069443915141</v>
      </c>
    </row>
    <row r="8731" spans="2:4" x14ac:dyDescent="0.25">
      <c r="B8731">
        <f t="shared" ca="1" si="410"/>
        <v>43944.745393907418</v>
      </c>
      <c r="C8731">
        <f t="shared" ca="1" si="408"/>
        <v>0</v>
      </c>
      <c r="D8731">
        <f t="shared" ca="1" si="409"/>
        <v>3944.7453939074185</v>
      </c>
    </row>
    <row r="8732" spans="2:4" x14ac:dyDescent="0.25">
      <c r="B8732">
        <f t="shared" ca="1" si="410"/>
        <v>44572.684408835987</v>
      </c>
      <c r="C8732">
        <f t="shared" ca="1" si="408"/>
        <v>0</v>
      </c>
      <c r="D8732">
        <f t="shared" ca="1" si="409"/>
        <v>4572.6844088359867</v>
      </c>
    </row>
    <row r="8733" spans="2:4" x14ac:dyDescent="0.25">
      <c r="B8733">
        <f t="shared" ca="1" si="410"/>
        <v>38819.02556157759</v>
      </c>
      <c r="C8733">
        <f t="shared" ca="1" si="408"/>
        <v>1180.9744384224105</v>
      </c>
      <c r="D8733">
        <f t="shared" ca="1" si="409"/>
        <v>0</v>
      </c>
    </row>
    <row r="8734" spans="2:4" x14ac:dyDescent="0.25">
      <c r="B8734">
        <f t="shared" ca="1" si="410"/>
        <v>39198.787238026314</v>
      </c>
      <c r="C8734">
        <f t="shared" ca="1" si="408"/>
        <v>801.2127619736857</v>
      </c>
      <c r="D8734">
        <f t="shared" ca="1" si="409"/>
        <v>0</v>
      </c>
    </row>
    <row r="8735" spans="2:4" x14ac:dyDescent="0.25">
      <c r="B8735">
        <f t="shared" ca="1" si="410"/>
        <v>51064.304418822212</v>
      </c>
      <c r="C8735">
        <f t="shared" ca="1" si="408"/>
        <v>0</v>
      </c>
      <c r="D8735">
        <f t="shared" ca="1" si="409"/>
        <v>11064.304418822212</v>
      </c>
    </row>
    <row r="8736" spans="2:4" x14ac:dyDescent="0.25">
      <c r="B8736">
        <f t="shared" ca="1" si="410"/>
        <v>38569.632236978985</v>
      </c>
      <c r="C8736">
        <f t="shared" ca="1" si="408"/>
        <v>1430.367763021015</v>
      </c>
      <c r="D8736">
        <f t="shared" ca="1" si="409"/>
        <v>0</v>
      </c>
    </row>
    <row r="8737" spans="2:4" x14ac:dyDescent="0.25">
      <c r="B8737">
        <f t="shared" ca="1" si="410"/>
        <v>45506.162974320134</v>
      </c>
      <c r="C8737">
        <f t="shared" ca="1" si="408"/>
        <v>0</v>
      </c>
      <c r="D8737">
        <f t="shared" ca="1" si="409"/>
        <v>5506.1629743201338</v>
      </c>
    </row>
    <row r="8738" spans="2:4" x14ac:dyDescent="0.25">
      <c r="B8738">
        <f t="shared" ca="1" si="410"/>
        <v>37492.762884971133</v>
      </c>
      <c r="C8738">
        <f t="shared" ca="1" si="408"/>
        <v>2507.2371150288673</v>
      </c>
      <c r="D8738">
        <f t="shared" ca="1" si="409"/>
        <v>0</v>
      </c>
    </row>
    <row r="8739" spans="2:4" x14ac:dyDescent="0.25">
      <c r="B8739">
        <f t="shared" ca="1" si="410"/>
        <v>50747.203821746174</v>
      </c>
      <c r="C8739">
        <f t="shared" ca="1" si="408"/>
        <v>0</v>
      </c>
      <c r="D8739">
        <f t="shared" ca="1" si="409"/>
        <v>10747.203821746174</v>
      </c>
    </row>
    <row r="8740" spans="2:4" x14ac:dyDescent="0.25">
      <c r="B8740">
        <f t="shared" ca="1" si="410"/>
        <v>52015.191502995018</v>
      </c>
      <c r="C8740">
        <f t="shared" ca="1" si="408"/>
        <v>0</v>
      </c>
      <c r="D8740">
        <f t="shared" ca="1" si="409"/>
        <v>12015.191502995018</v>
      </c>
    </row>
    <row r="8741" spans="2:4" x14ac:dyDescent="0.25">
      <c r="B8741">
        <f t="shared" ca="1" si="410"/>
        <v>51154.123288294417</v>
      </c>
      <c r="C8741">
        <f t="shared" ca="1" si="408"/>
        <v>0</v>
      </c>
      <c r="D8741">
        <f t="shared" ca="1" si="409"/>
        <v>11154.123288294417</v>
      </c>
    </row>
    <row r="8742" spans="2:4" x14ac:dyDescent="0.25">
      <c r="B8742">
        <f t="shared" ca="1" si="410"/>
        <v>47725.637291720624</v>
      </c>
      <c r="C8742">
        <f t="shared" ca="1" si="408"/>
        <v>0</v>
      </c>
      <c r="D8742">
        <f t="shared" ca="1" si="409"/>
        <v>7725.6372917206245</v>
      </c>
    </row>
    <row r="8743" spans="2:4" x14ac:dyDescent="0.25">
      <c r="B8743">
        <f t="shared" ca="1" si="410"/>
        <v>41894.000421087469</v>
      </c>
      <c r="C8743">
        <f t="shared" ca="1" si="408"/>
        <v>0</v>
      </c>
      <c r="D8743">
        <f t="shared" ca="1" si="409"/>
        <v>1894.0004210874686</v>
      </c>
    </row>
    <row r="8744" spans="2:4" x14ac:dyDescent="0.25">
      <c r="B8744">
        <f t="shared" ca="1" si="410"/>
        <v>45247.549731238258</v>
      </c>
      <c r="C8744">
        <f t="shared" ca="1" si="408"/>
        <v>0</v>
      </c>
      <c r="D8744">
        <f t="shared" ca="1" si="409"/>
        <v>5247.5497312382577</v>
      </c>
    </row>
    <row r="8745" spans="2:4" x14ac:dyDescent="0.25">
      <c r="B8745">
        <f t="shared" ca="1" si="410"/>
        <v>38942.338766400899</v>
      </c>
      <c r="C8745">
        <f t="shared" ca="1" si="408"/>
        <v>1057.6612335991013</v>
      </c>
      <c r="D8745">
        <f t="shared" ca="1" si="409"/>
        <v>0</v>
      </c>
    </row>
    <row r="8746" spans="2:4" x14ac:dyDescent="0.25">
      <c r="B8746">
        <f t="shared" ca="1" si="410"/>
        <v>44154.613267418106</v>
      </c>
      <c r="C8746">
        <f t="shared" ca="1" si="408"/>
        <v>0</v>
      </c>
      <c r="D8746">
        <f t="shared" ca="1" si="409"/>
        <v>4154.6132674181063</v>
      </c>
    </row>
    <row r="8747" spans="2:4" x14ac:dyDescent="0.25">
      <c r="B8747">
        <f t="shared" ca="1" si="410"/>
        <v>40162.544205049235</v>
      </c>
      <c r="C8747">
        <f t="shared" ca="1" si="408"/>
        <v>0</v>
      </c>
      <c r="D8747">
        <f t="shared" ca="1" si="409"/>
        <v>162.54420504923473</v>
      </c>
    </row>
    <row r="8748" spans="2:4" x14ac:dyDescent="0.25">
      <c r="B8748">
        <f t="shared" ca="1" si="410"/>
        <v>45625.125087314118</v>
      </c>
      <c r="C8748">
        <f t="shared" ca="1" si="408"/>
        <v>0</v>
      </c>
      <c r="D8748">
        <f t="shared" ca="1" si="409"/>
        <v>5625.125087314118</v>
      </c>
    </row>
    <row r="8749" spans="2:4" x14ac:dyDescent="0.25">
      <c r="B8749">
        <f t="shared" ca="1" si="410"/>
        <v>46366.367750615369</v>
      </c>
      <c r="C8749">
        <f t="shared" ca="1" si="408"/>
        <v>0</v>
      </c>
      <c r="D8749">
        <f t="shared" ca="1" si="409"/>
        <v>6366.367750615369</v>
      </c>
    </row>
    <row r="8750" spans="2:4" x14ac:dyDescent="0.25">
      <c r="B8750">
        <f t="shared" ca="1" si="410"/>
        <v>37945.277718888574</v>
      </c>
      <c r="C8750">
        <f t="shared" ca="1" si="408"/>
        <v>2054.7222811114261</v>
      </c>
      <c r="D8750">
        <f t="shared" ca="1" si="409"/>
        <v>0</v>
      </c>
    </row>
    <row r="8751" spans="2:4" x14ac:dyDescent="0.25">
      <c r="B8751">
        <f t="shared" ca="1" si="410"/>
        <v>51276.671370186683</v>
      </c>
      <c r="C8751">
        <f t="shared" ca="1" si="408"/>
        <v>0</v>
      </c>
      <c r="D8751">
        <f t="shared" ca="1" si="409"/>
        <v>11276.671370186683</v>
      </c>
    </row>
    <row r="8752" spans="2:4" x14ac:dyDescent="0.25">
      <c r="B8752">
        <f t="shared" ca="1" si="410"/>
        <v>42662.128036705319</v>
      </c>
      <c r="C8752">
        <f t="shared" ca="1" si="408"/>
        <v>0</v>
      </c>
      <c r="D8752">
        <f t="shared" ca="1" si="409"/>
        <v>2662.1280367053187</v>
      </c>
    </row>
    <row r="8753" spans="2:4" x14ac:dyDescent="0.25">
      <c r="B8753">
        <f t="shared" ca="1" si="410"/>
        <v>52278.079135820255</v>
      </c>
      <c r="C8753">
        <f t="shared" ca="1" si="408"/>
        <v>0</v>
      </c>
      <c r="D8753">
        <f t="shared" ca="1" si="409"/>
        <v>12278.079135820255</v>
      </c>
    </row>
    <row r="8754" spans="2:4" x14ac:dyDescent="0.25">
      <c r="B8754">
        <f t="shared" ca="1" si="410"/>
        <v>42769.052905917517</v>
      </c>
      <c r="C8754">
        <f t="shared" ca="1" si="408"/>
        <v>0</v>
      </c>
      <c r="D8754">
        <f t="shared" ca="1" si="409"/>
        <v>2769.0529059175169</v>
      </c>
    </row>
    <row r="8755" spans="2:4" x14ac:dyDescent="0.25">
      <c r="B8755">
        <f t="shared" ca="1" si="410"/>
        <v>43602.606236053762</v>
      </c>
      <c r="C8755">
        <f t="shared" ca="1" si="408"/>
        <v>0</v>
      </c>
      <c r="D8755">
        <f t="shared" ca="1" si="409"/>
        <v>3602.6062360537617</v>
      </c>
    </row>
    <row r="8756" spans="2:4" x14ac:dyDescent="0.25">
      <c r="B8756">
        <f t="shared" ca="1" si="410"/>
        <v>41339.60154733235</v>
      </c>
      <c r="C8756">
        <f t="shared" ca="1" si="408"/>
        <v>0</v>
      </c>
      <c r="D8756">
        <f t="shared" ca="1" si="409"/>
        <v>1339.6015473323496</v>
      </c>
    </row>
    <row r="8757" spans="2:4" x14ac:dyDescent="0.25">
      <c r="B8757">
        <f t="shared" ca="1" si="410"/>
        <v>47861.971850379836</v>
      </c>
      <c r="C8757">
        <f t="shared" ca="1" si="408"/>
        <v>0</v>
      </c>
      <c r="D8757">
        <f t="shared" ca="1" si="409"/>
        <v>7861.9718503798358</v>
      </c>
    </row>
    <row r="8758" spans="2:4" x14ac:dyDescent="0.25">
      <c r="B8758">
        <f t="shared" ca="1" si="410"/>
        <v>40767.750237916865</v>
      </c>
      <c r="C8758">
        <f t="shared" ca="1" si="408"/>
        <v>0</v>
      </c>
      <c r="D8758">
        <f t="shared" ca="1" si="409"/>
        <v>767.75023791686544</v>
      </c>
    </row>
    <row r="8759" spans="2:4" x14ac:dyDescent="0.25">
      <c r="B8759">
        <f t="shared" ca="1" si="410"/>
        <v>49956.313071700424</v>
      </c>
      <c r="C8759">
        <f t="shared" ca="1" si="408"/>
        <v>0</v>
      </c>
      <c r="D8759">
        <f t="shared" ca="1" si="409"/>
        <v>9956.3130717004242</v>
      </c>
    </row>
    <row r="8760" spans="2:4" x14ac:dyDescent="0.25">
      <c r="B8760">
        <f t="shared" ca="1" si="410"/>
        <v>46896.149000550293</v>
      </c>
      <c r="C8760">
        <f t="shared" ca="1" si="408"/>
        <v>0</v>
      </c>
      <c r="D8760">
        <f t="shared" ca="1" si="409"/>
        <v>6896.1490005502928</v>
      </c>
    </row>
    <row r="8761" spans="2:4" x14ac:dyDescent="0.25">
      <c r="B8761">
        <f t="shared" ca="1" si="410"/>
        <v>45798.816713441243</v>
      </c>
      <c r="C8761">
        <f t="shared" ca="1" si="408"/>
        <v>0</v>
      </c>
      <c r="D8761">
        <f t="shared" ca="1" si="409"/>
        <v>5798.8167134412433</v>
      </c>
    </row>
    <row r="8762" spans="2:4" x14ac:dyDescent="0.25">
      <c r="B8762">
        <f t="shared" ca="1" si="410"/>
        <v>38168.696457029459</v>
      </c>
      <c r="C8762">
        <f t="shared" ca="1" si="408"/>
        <v>1831.3035429705415</v>
      </c>
      <c r="D8762">
        <f t="shared" ca="1" si="409"/>
        <v>0</v>
      </c>
    </row>
    <row r="8763" spans="2:4" x14ac:dyDescent="0.25">
      <c r="B8763">
        <f t="shared" ca="1" si="410"/>
        <v>48830.746736243884</v>
      </c>
      <c r="C8763">
        <f t="shared" ca="1" si="408"/>
        <v>0</v>
      </c>
      <c r="D8763">
        <f t="shared" ca="1" si="409"/>
        <v>8830.7467362438838</v>
      </c>
    </row>
    <row r="8764" spans="2:4" x14ac:dyDescent="0.25">
      <c r="B8764">
        <f t="shared" ca="1" si="410"/>
        <v>45793.47853885169</v>
      </c>
      <c r="C8764">
        <f t="shared" ca="1" si="408"/>
        <v>0</v>
      </c>
      <c r="D8764">
        <f t="shared" ca="1" si="409"/>
        <v>5793.4785388516902</v>
      </c>
    </row>
    <row r="8765" spans="2:4" x14ac:dyDescent="0.25">
      <c r="B8765">
        <f t="shared" ca="1" si="410"/>
        <v>46246.494041727667</v>
      </c>
      <c r="C8765">
        <f t="shared" ca="1" si="408"/>
        <v>0</v>
      </c>
      <c r="D8765">
        <f t="shared" ca="1" si="409"/>
        <v>6246.4940417276666</v>
      </c>
    </row>
    <row r="8766" spans="2:4" x14ac:dyDescent="0.25">
      <c r="B8766">
        <f t="shared" ca="1" si="410"/>
        <v>39398.377815192631</v>
      </c>
      <c r="C8766">
        <f t="shared" ca="1" si="408"/>
        <v>601.62218480736919</v>
      </c>
      <c r="D8766">
        <f t="shared" ca="1" si="409"/>
        <v>0</v>
      </c>
    </row>
    <row r="8767" spans="2:4" x14ac:dyDescent="0.25">
      <c r="B8767">
        <f t="shared" ca="1" si="410"/>
        <v>47541.025667784445</v>
      </c>
      <c r="C8767">
        <f t="shared" ca="1" si="408"/>
        <v>0</v>
      </c>
      <c r="D8767">
        <f t="shared" ca="1" si="409"/>
        <v>7541.0256677844445</v>
      </c>
    </row>
    <row r="8768" spans="2:4" x14ac:dyDescent="0.25">
      <c r="B8768">
        <f t="shared" ca="1" si="410"/>
        <v>52058.610925229812</v>
      </c>
      <c r="C8768">
        <f t="shared" ca="1" si="408"/>
        <v>0</v>
      </c>
      <c r="D8768">
        <f t="shared" ca="1" si="409"/>
        <v>12058.610925229812</v>
      </c>
    </row>
    <row r="8769" spans="2:4" x14ac:dyDescent="0.25">
      <c r="B8769">
        <f t="shared" ca="1" si="410"/>
        <v>44752.021407499262</v>
      </c>
      <c r="C8769">
        <f t="shared" ca="1" si="408"/>
        <v>0</v>
      </c>
      <c r="D8769">
        <f t="shared" ca="1" si="409"/>
        <v>4752.0214074992618</v>
      </c>
    </row>
    <row r="8770" spans="2:4" x14ac:dyDescent="0.25">
      <c r="B8770">
        <f t="shared" ca="1" si="410"/>
        <v>38280.74701318919</v>
      </c>
      <c r="C8770">
        <f t="shared" ca="1" si="408"/>
        <v>1719.2529868108104</v>
      </c>
      <c r="D8770">
        <f t="shared" ca="1" si="409"/>
        <v>0</v>
      </c>
    </row>
    <row r="8771" spans="2:4" x14ac:dyDescent="0.25">
      <c r="B8771">
        <f t="shared" ca="1" si="410"/>
        <v>48430.216625875859</v>
      </c>
      <c r="C8771">
        <f t="shared" ca="1" si="408"/>
        <v>0</v>
      </c>
      <c r="D8771">
        <f t="shared" ca="1" si="409"/>
        <v>8430.2166258758589</v>
      </c>
    </row>
    <row r="8772" spans="2:4" x14ac:dyDescent="0.25">
      <c r="B8772">
        <f t="shared" ca="1" si="410"/>
        <v>47300.209185857551</v>
      </c>
      <c r="C8772">
        <f t="shared" ca="1" si="408"/>
        <v>0</v>
      </c>
      <c r="D8772">
        <f t="shared" ca="1" si="409"/>
        <v>7300.2091858575513</v>
      </c>
    </row>
    <row r="8773" spans="2:4" x14ac:dyDescent="0.25">
      <c r="B8773">
        <f t="shared" ca="1" si="410"/>
        <v>45407.774043580059</v>
      </c>
      <c r="C8773">
        <f t="shared" ca="1" si="408"/>
        <v>0</v>
      </c>
      <c r="D8773">
        <f t="shared" ca="1" si="409"/>
        <v>5407.7740435800588</v>
      </c>
    </row>
    <row r="8774" spans="2:4" x14ac:dyDescent="0.25">
      <c r="B8774">
        <f t="shared" ca="1" si="410"/>
        <v>44721.663459117386</v>
      </c>
      <c r="C8774">
        <f t="shared" ca="1" si="408"/>
        <v>0</v>
      </c>
      <c r="D8774">
        <f t="shared" ca="1" si="409"/>
        <v>4721.6634591173861</v>
      </c>
    </row>
    <row r="8775" spans="2:4" x14ac:dyDescent="0.25">
      <c r="B8775">
        <f t="shared" ca="1" si="410"/>
        <v>45762.054039234979</v>
      </c>
      <c r="C8775">
        <f t="shared" ca="1" si="408"/>
        <v>0</v>
      </c>
      <c r="D8775">
        <f t="shared" ca="1" si="409"/>
        <v>5762.0540392349794</v>
      </c>
    </row>
    <row r="8776" spans="2:4" x14ac:dyDescent="0.25">
      <c r="B8776">
        <f t="shared" ca="1" si="410"/>
        <v>47440.492604707295</v>
      </c>
      <c r="C8776">
        <f t="shared" ca="1" si="408"/>
        <v>0</v>
      </c>
      <c r="D8776">
        <f t="shared" ca="1" si="409"/>
        <v>7440.492604707295</v>
      </c>
    </row>
    <row r="8777" spans="2:4" x14ac:dyDescent="0.25">
      <c r="B8777">
        <f t="shared" ca="1" si="410"/>
        <v>44994.761784440801</v>
      </c>
      <c r="C8777">
        <f t="shared" ca="1" si="408"/>
        <v>0</v>
      </c>
      <c r="D8777">
        <f t="shared" ca="1" si="409"/>
        <v>4994.7617844408014</v>
      </c>
    </row>
    <row r="8778" spans="2:4" x14ac:dyDescent="0.25">
      <c r="B8778">
        <f t="shared" ca="1" si="410"/>
        <v>48450.694862186676</v>
      </c>
      <c r="C8778">
        <f t="shared" ca="1" si="408"/>
        <v>0</v>
      </c>
      <c r="D8778">
        <f t="shared" ca="1" si="409"/>
        <v>8450.6948621866759</v>
      </c>
    </row>
    <row r="8779" spans="2:4" x14ac:dyDescent="0.25">
      <c r="B8779">
        <f t="shared" ca="1" si="410"/>
        <v>42826.340662622104</v>
      </c>
      <c r="C8779">
        <f t="shared" ca="1" si="408"/>
        <v>0</v>
      </c>
      <c r="D8779">
        <f t="shared" ca="1" si="409"/>
        <v>2826.340662622104</v>
      </c>
    </row>
    <row r="8780" spans="2:4" x14ac:dyDescent="0.25">
      <c r="B8780">
        <f t="shared" ca="1" si="410"/>
        <v>56395.140418620467</v>
      </c>
      <c r="C8780">
        <f t="shared" ref="C8780:C8843" ca="1" si="411">IF(MAX($B$2-B8780)&lt;0,0,$B$2-B8780)</f>
        <v>0</v>
      </c>
      <c r="D8780">
        <f t="shared" ref="D8780:D8843" ca="1" si="412">IF(MAX(B8780-$B$2)&lt;0,0,B8780-$B$2)</f>
        <v>16395.140418620467</v>
      </c>
    </row>
    <row r="8781" spans="2:4" x14ac:dyDescent="0.25">
      <c r="B8781">
        <f t="shared" ref="B8781:B8844" ca="1" si="413">$B$1*EXP((($B$4-($B$3^2)/2)*$B$5+$B$3*SQRT($B$5)*NORMSINV(RAND())))</f>
        <v>48262.159908955102</v>
      </c>
      <c r="C8781">
        <f t="shared" ca="1" si="411"/>
        <v>0</v>
      </c>
      <c r="D8781">
        <f t="shared" ca="1" si="412"/>
        <v>8262.1599089551019</v>
      </c>
    </row>
    <row r="8782" spans="2:4" x14ac:dyDescent="0.25">
      <c r="B8782">
        <f t="shared" ca="1" si="413"/>
        <v>43323.597022360438</v>
      </c>
      <c r="C8782">
        <f t="shared" ca="1" si="411"/>
        <v>0</v>
      </c>
      <c r="D8782">
        <f t="shared" ca="1" si="412"/>
        <v>3323.5970223604381</v>
      </c>
    </row>
    <row r="8783" spans="2:4" x14ac:dyDescent="0.25">
      <c r="B8783">
        <f t="shared" ca="1" si="413"/>
        <v>48019.974940571563</v>
      </c>
      <c r="C8783">
        <f t="shared" ca="1" si="411"/>
        <v>0</v>
      </c>
      <c r="D8783">
        <f t="shared" ca="1" si="412"/>
        <v>8019.9749405715629</v>
      </c>
    </row>
    <row r="8784" spans="2:4" x14ac:dyDescent="0.25">
      <c r="B8784">
        <f t="shared" ca="1" si="413"/>
        <v>50123.529260104762</v>
      </c>
      <c r="C8784">
        <f t="shared" ca="1" si="411"/>
        <v>0</v>
      </c>
      <c r="D8784">
        <f t="shared" ca="1" si="412"/>
        <v>10123.529260104762</v>
      </c>
    </row>
    <row r="8785" spans="2:4" x14ac:dyDescent="0.25">
      <c r="B8785">
        <f t="shared" ca="1" si="413"/>
        <v>40111.841000352564</v>
      </c>
      <c r="C8785">
        <f t="shared" ca="1" si="411"/>
        <v>0</v>
      </c>
      <c r="D8785">
        <f t="shared" ca="1" si="412"/>
        <v>111.84100035256415</v>
      </c>
    </row>
    <row r="8786" spans="2:4" x14ac:dyDescent="0.25">
      <c r="B8786">
        <f t="shared" ca="1" si="413"/>
        <v>50589.425249323795</v>
      </c>
      <c r="C8786">
        <f t="shared" ca="1" si="411"/>
        <v>0</v>
      </c>
      <c r="D8786">
        <f t="shared" ca="1" si="412"/>
        <v>10589.425249323795</v>
      </c>
    </row>
    <row r="8787" spans="2:4" x14ac:dyDescent="0.25">
      <c r="B8787">
        <f t="shared" ca="1" si="413"/>
        <v>48182.535891584703</v>
      </c>
      <c r="C8787">
        <f t="shared" ca="1" si="411"/>
        <v>0</v>
      </c>
      <c r="D8787">
        <f t="shared" ca="1" si="412"/>
        <v>8182.5358915847028</v>
      </c>
    </row>
    <row r="8788" spans="2:4" x14ac:dyDescent="0.25">
      <c r="B8788">
        <f t="shared" ca="1" si="413"/>
        <v>47081.550240564626</v>
      </c>
      <c r="C8788">
        <f t="shared" ca="1" si="411"/>
        <v>0</v>
      </c>
      <c r="D8788">
        <f t="shared" ca="1" si="412"/>
        <v>7081.5502405646257</v>
      </c>
    </row>
    <row r="8789" spans="2:4" x14ac:dyDescent="0.25">
      <c r="B8789">
        <f t="shared" ca="1" si="413"/>
        <v>48547.645913690903</v>
      </c>
      <c r="C8789">
        <f t="shared" ca="1" si="411"/>
        <v>0</v>
      </c>
      <c r="D8789">
        <f t="shared" ca="1" si="412"/>
        <v>8547.6459136909034</v>
      </c>
    </row>
    <row r="8790" spans="2:4" x14ac:dyDescent="0.25">
      <c r="B8790">
        <f t="shared" ca="1" si="413"/>
        <v>40665.662107517455</v>
      </c>
      <c r="C8790">
        <f t="shared" ca="1" si="411"/>
        <v>0</v>
      </c>
      <c r="D8790">
        <f t="shared" ca="1" si="412"/>
        <v>665.6621075174553</v>
      </c>
    </row>
    <row r="8791" spans="2:4" x14ac:dyDescent="0.25">
      <c r="B8791">
        <f t="shared" ca="1" si="413"/>
        <v>49823.196908144273</v>
      </c>
      <c r="C8791">
        <f t="shared" ca="1" si="411"/>
        <v>0</v>
      </c>
      <c r="D8791">
        <f t="shared" ca="1" si="412"/>
        <v>9823.196908144273</v>
      </c>
    </row>
    <row r="8792" spans="2:4" x14ac:dyDescent="0.25">
      <c r="B8792">
        <f t="shared" ca="1" si="413"/>
        <v>49630.430634998585</v>
      </c>
      <c r="C8792">
        <f t="shared" ca="1" si="411"/>
        <v>0</v>
      </c>
      <c r="D8792">
        <f t="shared" ca="1" si="412"/>
        <v>9630.4306349985854</v>
      </c>
    </row>
    <row r="8793" spans="2:4" x14ac:dyDescent="0.25">
      <c r="B8793">
        <f t="shared" ca="1" si="413"/>
        <v>40516.736188043782</v>
      </c>
      <c r="C8793">
        <f t="shared" ca="1" si="411"/>
        <v>0</v>
      </c>
      <c r="D8793">
        <f t="shared" ca="1" si="412"/>
        <v>516.73618804378202</v>
      </c>
    </row>
    <row r="8794" spans="2:4" x14ac:dyDescent="0.25">
      <c r="B8794">
        <f t="shared" ca="1" si="413"/>
        <v>51431.477204483876</v>
      </c>
      <c r="C8794">
        <f t="shared" ca="1" si="411"/>
        <v>0</v>
      </c>
      <c r="D8794">
        <f t="shared" ca="1" si="412"/>
        <v>11431.477204483876</v>
      </c>
    </row>
    <row r="8795" spans="2:4" x14ac:dyDescent="0.25">
      <c r="B8795">
        <f t="shared" ca="1" si="413"/>
        <v>39745.035920442344</v>
      </c>
      <c r="C8795">
        <f t="shared" ca="1" si="411"/>
        <v>254.96407955765608</v>
      </c>
      <c r="D8795">
        <f t="shared" ca="1" si="412"/>
        <v>0</v>
      </c>
    </row>
    <row r="8796" spans="2:4" x14ac:dyDescent="0.25">
      <c r="B8796">
        <f t="shared" ca="1" si="413"/>
        <v>45630.136201272842</v>
      </c>
      <c r="C8796">
        <f t="shared" ca="1" si="411"/>
        <v>0</v>
      </c>
      <c r="D8796">
        <f t="shared" ca="1" si="412"/>
        <v>5630.1362012728423</v>
      </c>
    </row>
    <row r="8797" spans="2:4" x14ac:dyDescent="0.25">
      <c r="B8797">
        <f t="shared" ca="1" si="413"/>
        <v>45616.18327402998</v>
      </c>
      <c r="C8797">
        <f t="shared" ca="1" si="411"/>
        <v>0</v>
      </c>
      <c r="D8797">
        <f t="shared" ca="1" si="412"/>
        <v>5616.1832740299797</v>
      </c>
    </row>
    <row r="8798" spans="2:4" x14ac:dyDescent="0.25">
      <c r="B8798">
        <f t="shared" ca="1" si="413"/>
        <v>57332.985027257979</v>
      </c>
      <c r="C8798">
        <f t="shared" ca="1" si="411"/>
        <v>0</v>
      </c>
      <c r="D8798">
        <f t="shared" ca="1" si="412"/>
        <v>17332.985027257979</v>
      </c>
    </row>
    <row r="8799" spans="2:4" x14ac:dyDescent="0.25">
      <c r="B8799">
        <f t="shared" ca="1" si="413"/>
        <v>44007.685679664814</v>
      </c>
      <c r="C8799">
        <f t="shared" ca="1" si="411"/>
        <v>0</v>
      </c>
      <c r="D8799">
        <f t="shared" ca="1" si="412"/>
        <v>4007.6856796648135</v>
      </c>
    </row>
    <row r="8800" spans="2:4" x14ac:dyDescent="0.25">
      <c r="B8800">
        <f t="shared" ca="1" si="413"/>
        <v>42984.534273784731</v>
      </c>
      <c r="C8800">
        <f t="shared" ca="1" si="411"/>
        <v>0</v>
      </c>
      <c r="D8800">
        <f t="shared" ca="1" si="412"/>
        <v>2984.5342737847313</v>
      </c>
    </row>
    <row r="8801" spans="2:4" x14ac:dyDescent="0.25">
      <c r="B8801">
        <f t="shared" ca="1" si="413"/>
        <v>39314.30850024883</v>
      </c>
      <c r="C8801">
        <f t="shared" ca="1" si="411"/>
        <v>685.69149975117034</v>
      </c>
      <c r="D8801">
        <f t="shared" ca="1" si="412"/>
        <v>0</v>
      </c>
    </row>
    <row r="8802" spans="2:4" x14ac:dyDescent="0.25">
      <c r="B8802">
        <f t="shared" ca="1" si="413"/>
        <v>42233.919201294309</v>
      </c>
      <c r="C8802">
        <f t="shared" ca="1" si="411"/>
        <v>0</v>
      </c>
      <c r="D8802">
        <f t="shared" ca="1" si="412"/>
        <v>2233.9192012943095</v>
      </c>
    </row>
    <row r="8803" spans="2:4" x14ac:dyDescent="0.25">
      <c r="B8803">
        <f t="shared" ca="1" si="413"/>
        <v>41261.634692826257</v>
      </c>
      <c r="C8803">
        <f t="shared" ca="1" si="411"/>
        <v>0</v>
      </c>
      <c r="D8803">
        <f t="shared" ca="1" si="412"/>
        <v>1261.6346928262574</v>
      </c>
    </row>
    <row r="8804" spans="2:4" x14ac:dyDescent="0.25">
      <c r="B8804">
        <f t="shared" ca="1" si="413"/>
        <v>49406.355655689156</v>
      </c>
      <c r="C8804">
        <f t="shared" ca="1" si="411"/>
        <v>0</v>
      </c>
      <c r="D8804">
        <f t="shared" ca="1" si="412"/>
        <v>9406.3556556891563</v>
      </c>
    </row>
    <row r="8805" spans="2:4" x14ac:dyDescent="0.25">
      <c r="B8805">
        <f t="shared" ca="1" si="413"/>
        <v>41034.510665594251</v>
      </c>
      <c r="C8805">
        <f t="shared" ca="1" si="411"/>
        <v>0</v>
      </c>
      <c r="D8805">
        <f t="shared" ca="1" si="412"/>
        <v>1034.5106655942509</v>
      </c>
    </row>
    <row r="8806" spans="2:4" x14ac:dyDescent="0.25">
      <c r="B8806">
        <f t="shared" ca="1" si="413"/>
        <v>44714.966049132105</v>
      </c>
      <c r="C8806">
        <f t="shared" ca="1" si="411"/>
        <v>0</v>
      </c>
      <c r="D8806">
        <f t="shared" ca="1" si="412"/>
        <v>4714.9660491321047</v>
      </c>
    </row>
    <row r="8807" spans="2:4" x14ac:dyDescent="0.25">
      <c r="B8807">
        <f t="shared" ca="1" si="413"/>
        <v>39045.57947797839</v>
      </c>
      <c r="C8807">
        <f t="shared" ca="1" si="411"/>
        <v>954.42052202160994</v>
      </c>
      <c r="D8807">
        <f t="shared" ca="1" si="412"/>
        <v>0</v>
      </c>
    </row>
    <row r="8808" spans="2:4" x14ac:dyDescent="0.25">
      <c r="B8808">
        <f t="shared" ca="1" si="413"/>
        <v>35757.244308149377</v>
      </c>
      <c r="C8808">
        <f t="shared" ca="1" si="411"/>
        <v>4242.7556918506234</v>
      </c>
      <c r="D8808">
        <f t="shared" ca="1" si="412"/>
        <v>0</v>
      </c>
    </row>
    <row r="8809" spans="2:4" x14ac:dyDescent="0.25">
      <c r="B8809">
        <f t="shared" ca="1" si="413"/>
        <v>45942.517368719149</v>
      </c>
      <c r="C8809">
        <f t="shared" ca="1" si="411"/>
        <v>0</v>
      </c>
      <c r="D8809">
        <f t="shared" ca="1" si="412"/>
        <v>5942.5173687191491</v>
      </c>
    </row>
    <row r="8810" spans="2:4" x14ac:dyDescent="0.25">
      <c r="B8810">
        <f t="shared" ca="1" si="413"/>
        <v>46736.82625067242</v>
      </c>
      <c r="C8810">
        <f t="shared" ca="1" si="411"/>
        <v>0</v>
      </c>
      <c r="D8810">
        <f t="shared" ca="1" si="412"/>
        <v>6736.8262506724204</v>
      </c>
    </row>
    <row r="8811" spans="2:4" x14ac:dyDescent="0.25">
      <c r="B8811">
        <f t="shared" ca="1" si="413"/>
        <v>42053.781468903078</v>
      </c>
      <c r="C8811">
        <f t="shared" ca="1" si="411"/>
        <v>0</v>
      </c>
      <c r="D8811">
        <f t="shared" ca="1" si="412"/>
        <v>2053.7814689030783</v>
      </c>
    </row>
    <row r="8812" spans="2:4" x14ac:dyDescent="0.25">
      <c r="B8812">
        <f t="shared" ca="1" si="413"/>
        <v>53955.246450113307</v>
      </c>
      <c r="C8812">
        <f t="shared" ca="1" si="411"/>
        <v>0</v>
      </c>
      <c r="D8812">
        <f t="shared" ca="1" si="412"/>
        <v>13955.246450113307</v>
      </c>
    </row>
    <row r="8813" spans="2:4" x14ac:dyDescent="0.25">
      <c r="B8813">
        <f t="shared" ca="1" si="413"/>
        <v>48304.268047375772</v>
      </c>
      <c r="C8813">
        <f t="shared" ca="1" si="411"/>
        <v>0</v>
      </c>
      <c r="D8813">
        <f t="shared" ca="1" si="412"/>
        <v>8304.2680473757719</v>
      </c>
    </row>
    <row r="8814" spans="2:4" x14ac:dyDescent="0.25">
      <c r="B8814">
        <f t="shared" ca="1" si="413"/>
        <v>41009.027332962425</v>
      </c>
      <c r="C8814">
        <f t="shared" ca="1" si="411"/>
        <v>0</v>
      </c>
      <c r="D8814">
        <f t="shared" ca="1" si="412"/>
        <v>1009.0273329624251</v>
      </c>
    </row>
    <row r="8815" spans="2:4" x14ac:dyDescent="0.25">
      <c r="B8815">
        <f t="shared" ca="1" si="413"/>
        <v>51498.67242368072</v>
      </c>
      <c r="C8815">
        <f t="shared" ca="1" si="411"/>
        <v>0</v>
      </c>
      <c r="D8815">
        <f t="shared" ca="1" si="412"/>
        <v>11498.67242368072</v>
      </c>
    </row>
    <row r="8816" spans="2:4" x14ac:dyDescent="0.25">
      <c r="B8816">
        <f t="shared" ca="1" si="413"/>
        <v>45712.755632949178</v>
      </c>
      <c r="C8816">
        <f t="shared" ca="1" si="411"/>
        <v>0</v>
      </c>
      <c r="D8816">
        <f t="shared" ca="1" si="412"/>
        <v>5712.7556329491781</v>
      </c>
    </row>
    <row r="8817" spans="2:4" x14ac:dyDescent="0.25">
      <c r="B8817">
        <f t="shared" ca="1" si="413"/>
        <v>36869.651921336539</v>
      </c>
      <c r="C8817">
        <f t="shared" ca="1" si="411"/>
        <v>3130.3480786634609</v>
      </c>
      <c r="D8817">
        <f t="shared" ca="1" si="412"/>
        <v>0</v>
      </c>
    </row>
    <row r="8818" spans="2:4" x14ac:dyDescent="0.25">
      <c r="B8818">
        <f t="shared" ca="1" si="413"/>
        <v>43236.422002482344</v>
      </c>
      <c r="C8818">
        <f t="shared" ca="1" si="411"/>
        <v>0</v>
      </c>
      <c r="D8818">
        <f t="shared" ca="1" si="412"/>
        <v>3236.4220024823444</v>
      </c>
    </row>
    <row r="8819" spans="2:4" x14ac:dyDescent="0.25">
      <c r="B8819">
        <f t="shared" ca="1" si="413"/>
        <v>37133.507039850949</v>
      </c>
      <c r="C8819">
        <f t="shared" ca="1" si="411"/>
        <v>2866.4929601490512</v>
      </c>
      <c r="D8819">
        <f t="shared" ca="1" si="412"/>
        <v>0</v>
      </c>
    </row>
    <row r="8820" spans="2:4" x14ac:dyDescent="0.25">
      <c r="B8820">
        <f t="shared" ca="1" si="413"/>
        <v>49309.558087630117</v>
      </c>
      <c r="C8820">
        <f t="shared" ca="1" si="411"/>
        <v>0</v>
      </c>
      <c r="D8820">
        <f t="shared" ca="1" si="412"/>
        <v>9309.5580876301174</v>
      </c>
    </row>
    <row r="8821" spans="2:4" x14ac:dyDescent="0.25">
      <c r="B8821">
        <f t="shared" ca="1" si="413"/>
        <v>44098.908132064025</v>
      </c>
      <c r="C8821">
        <f t="shared" ca="1" si="411"/>
        <v>0</v>
      </c>
      <c r="D8821">
        <f t="shared" ca="1" si="412"/>
        <v>4098.9081320640253</v>
      </c>
    </row>
    <row r="8822" spans="2:4" x14ac:dyDescent="0.25">
      <c r="B8822">
        <f t="shared" ca="1" si="413"/>
        <v>46160.529392059994</v>
      </c>
      <c r="C8822">
        <f t="shared" ca="1" si="411"/>
        <v>0</v>
      </c>
      <c r="D8822">
        <f t="shared" ca="1" si="412"/>
        <v>6160.5293920599943</v>
      </c>
    </row>
    <row r="8823" spans="2:4" x14ac:dyDescent="0.25">
      <c r="B8823">
        <f t="shared" ca="1" si="413"/>
        <v>48727.395044868819</v>
      </c>
      <c r="C8823">
        <f t="shared" ca="1" si="411"/>
        <v>0</v>
      </c>
      <c r="D8823">
        <f t="shared" ca="1" si="412"/>
        <v>8727.3950448688192</v>
      </c>
    </row>
    <row r="8824" spans="2:4" x14ac:dyDescent="0.25">
      <c r="B8824">
        <f t="shared" ca="1" si="413"/>
        <v>41229.659498688052</v>
      </c>
      <c r="C8824">
        <f t="shared" ca="1" si="411"/>
        <v>0</v>
      </c>
      <c r="D8824">
        <f t="shared" ca="1" si="412"/>
        <v>1229.6594986880518</v>
      </c>
    </row>
    <row r="8825" spans="2:4" x14ac:dyDescent="0.25">
      <c r="B8825">
        <f t="shared" ca="1" si="413"/>
        <v>45274.949891225013</v>
      </c>
      <c r="C8825">
        <f t="shared" ca="1" si="411"/>
        <v>0</v>
      </c>
      <c r="D8825">
        <f t="shared" ca="1" si="412"/>
        <v>5274.9498912250128</v>
      </c>
    </row>
    <row r="8826" spans="2:4" x14ac:dyDescent="0.25">
      <c r="B8826">
        <f t="shared" ca="1" si="413"/>
        <v>51734.333975473353</v>
      </c>
      <c r="C8826">
        <f t="shared" ca="1" si="411"/>
        <v>0</v>
      </c>
      <c r="D8826">
        <f t="shared" ca="1" si="412"/>
        <v>11734.333975473353</v>
      </c>
    </row>
    <row r="8827" spans="2:4" x14ac:dyDescent="0.25">
      <c r="B8827">
        <f t="shared" ca="1" si="413"/>
        <v>43085.8814254264</v>
      </c>
      <c r="C8827">
        <f t="shared" ca="1" si="411"/>
        <v>0</v>
      </c>
      <c r="D8827">
        <f t="shared" ca="1" si="412"/>
        <v>3085.8814254263998</v>
      </c>
    </row>
    <row r="8828" spans="2:4" x14ac:dyDescent="0.25">
      <c r="B8828">
        <f t="shared" ca="1" si="413"/>
        <v>44136.654564564909</v>
      </c>
      <c r="C8828">
        <f t="shared" ca="1" si="411"/>
        <v>0</v>
      </c>
      <c r="D8828">
        <f t="shared" ca="1" si="412"/>
        <v>4136.6545645649094</v>
      </c>
    </row>
    <row r="8829" spans="2:4" x14ac:dyDescent="0.25">
      <c r="B8829">
        <f t="shared" ca="1" si="413"/>
        <v>45681.390723147801</v>
      </c>
      <c r="C8829">
        <f t="shared" ca="1" si="411"/>
        <v>0</v>
      </c>
      <c r="D8829">
        <f t="shared" ca="1" si="412"/>
        <v>5681.3907231478006</v>
      </c>
    </row>
    <row r="8830" spans="2:4" x14ac:dyDescent="0.25">
      <c r="B8830">
        <f t="shared" ca="1" si="413"/>
        <v>43723.232100274879</v>
      </c>
      <c r="C8830">
        <f t="shared" ca="1" si="411"/>
        <v>0</v>
      </c>
      <c r="D8830">
        <f t="shared" ca="1" si="412"/>
        <v>3723.2321002748795</v>
      </c>
    </row>
    <row r="8831" spans="2:4" x14ac:dyDescent="0.25">
      <c r="B8831">
        <f t="shared" ca="1" si="413"/>
        <v>43169.582011965584</v>
      </c>
      <c r="C8831">
        <f t="shared" ca="1" si="411"/>
        <v>0</v>
      </c>
      <c r="D8831">
        <f t="shared" ca="1" si="412"/>
        <v>3169.5820119655837</v>
      </c>
    </row>
    <row r="8832" spans="2:4" x14ac:dyDescent="0.25">
      <c r="B8832">
        <f t="shared" ca="1" si="413"/>
        <v>47922.465234305804</v>
      </c>
      <c r="C8832">
        <f t="shared" ca="1" si="411"/>
        <v>0</v>
      </c>
      <c r="D8832">
        <f t="shared" ca="1" si="412"/>
        <v>7922.4652343058042</v>
      </c>
    </row>
    <row r="8833" spans="2:4" x14ac:dyDescent="0.25">
      <c r="B8833">
        <f t="shared" ca="1" si="413"/>
        <v>41529.449793024447</v>
      </c>
      <c r="C8833">
        <f t="shared" ca="1" si="411"/>
        <v>0</v>
      </c>
      <c r="D8833">
        <f t="shared" ca="1" si="412"/>
        <v>1529.449793024447</v>
      </c>
    </row>
    <row r="8834" spans="2:4" x14ac:dyDescent="0.25">
      <c r="B8834">
        <f t="shared" ca="1" si="413"/>
        <v>46662.938639531319</v>
      </c>
      <c r="C8834">
        <f t="shared" ca="1" si="411"/>
        <v>0</v>
      </c>
      <c r="D8834">
        <f t="shared" ca="1" si="412"/>
        <v>6662.9386395313195</v>
      </c>
    </row>
    <row r="8835" spans="2:4" x14ac:dyDescent="0.25">
      <c r="B8835">
        <f t="shared" ca="1" si="413"/>
        <v>41329.224932412973</v>
      </c>
      <c r="C8835">
        <f t="shared" ca="1" si="411"/>
        <v>0</v>
      </c>
      <c r="D8835">
        <f t="shared" ca="1" si="412"/>
        <v>1329.2249324129734</v>
      </c>
    </row>
    <row r="8836" spans="2:4" x14ac:dyDescent="0.25">
      <c r="B8836">
        <f t="shared" ca="1" si="413"/>
        <v>36999.579757637723</v>
      </c>
      <c r="C8836">
        <f t="shared" ca="1" si="411"/>
        <v>3000.4202423622773</v>
      </c>
      <c r="D8836">
        <f t="shared" ca="1" si="412"/>
        <v>0</v>
      </c>
    </row>
    <row r="8837" spans="2:4" x14ac:dyDescent="0.25">
      <c r="B8837">
        <f t="shared" ca="1" si="413"/>
        <v>48448.169379054329</v>
      </c>
      <c r="C8837">
        <f t="shared" ca="1" si="411"/>
        <v>0</v>
      </c>
      <c r="D8837">
        <f t="shared" ca="1" si="412"/>
        <v>8448.1693790543286</v>
      </c>
    </row>
    <row r="8838" spans="2:4" x14ac:dyDescent="0.25">
      <c r="B8838">
        <f t="shared" ca="1" si="413"/>
        <v>46635.353828378647</v>
      </c>
      <c r="C8838">
        <f t="shared" ca="1" si="411"/>
        <v>0</v>
      </c>
      <c r="D8838">
        <f t="shared" ca="1" si="412"/>
        <v>6635.3538283786474</v>
      </c>
    </row>
    <row r="8839" spans="2:4" x14ac:dyDescent="0.25">
      <c r="B8839">
        <f t="shared" ca="1" si="413"/>
        <v>45151.695019339473</v>
      </c>
      <c r="C8839">
        <f t="shared" ca="1" si="411"/>
        <v>0</v>
      </c>
      <c r="D8839">
        <f t="shared" ca="1" si="412"/>
        <v>5151.6950193394732</v>
      </c>
    </row>
    <row r="8840" spans="2:4" x14ac:dyDescent="0.25">
      <c r="B8840">
        <f t="shared" ca="1" si="413"/>
        <v>40562.587914047741</v>
      </c>
      <c r="C8840">
        <f t="shared" ca="1" si="411"/>
        <v>0</v>
      </c>
      <c r="D8840">
        <f t="shared" ca="1" si="412"/>
        <v>562.58791404774092</v>
      </c>
    </row>
    <row r="8841" spans="2:4" x14ac:dyDescent="0.25">
      <c r="B8841">
        <f t="shared" ca="1" si="413"/>
        <v>46070.057277153093</v>
      </c>
      <c r="C8841">
        <f t="shared" ca="1" si="411"/>
        <v>0</v>
      </c>
      <c r="D8841">
        <f t="shared" ca="1" si="412"/>
        <v>6070.0572771530933</v>
      </c>
    </row>
    <row r="8842" spans="2:4" x14ac:dyDescent="0.25">
      <c r="B8842">
        <f t="shared" ca="1" si="413"/>
        <v>45700.270192230746</v>
      </c>
      <c r="C8842">
        <f t="shared" ca="1" si="411"/>
        <v>0</v>
      </c>
      <c r="D8842">
        <f t="shared" ca="1" si="412"/>
        <v>5700.270192230746</v>
      </c>
    </row>
    <row r="8843" spans="2:4" x14ac:dyDescent="0.25">
      <c r="B8843">
        <f t="shared" ca="1" si="413"/>
        <v>39544.304847424872</v>
      </c>
      <c r="C8843">
        <f t="shared" ca="1" si="411"/>
        <v>455.6951525751283</v>
      </c>
      <c r="D8843">
        <f t="shared" ca="1" si="412"/>
        <v>0</v>
      </c>
    </row>
    <row r="8844" spans="2:4" x14ac:dyDescent="0.25">
      <c r="B8844">
        <f t="shared" ca="1" si="413"/>
        <v>53735.103733760312</v>
      </c>
      <c r="C8844">
        <f t="shared" ref="C8844:C8907" ca="1" si="414">IF(MAX($B$2-B8844)&lt;0,0,$B$2-B8844)</f>
        <v>0</v>
      </c>
      <c r="D8844">
        <f t="shared" ref="D8844:D8907" ca="1" si="415">IF(MAX(B8844-$B$2)&lt;0,0,B8844-$B$2)</f>
        <v>13735.103733760312</v>
      </c>
    </row>
    <row r="8845" spans="2:4" x14ac:dyDescent="0.25">
      <c r="B8845">
        <f t="shared" ref="B8845:B8908" ca="1" si="416">$B$1*EXP((($B$4-($B$3^2)/2)*$B$5+$B$3*SQRT($B$5)*NORMSINV(RAND())))</f>
        <v>47752.647568491127</v>
      </c>
      <c r="C8845">
        <f t="shared" ca="1" si="414"/>
        <v>0</v>
      </c>
      <c r="D8845">
        <f t="shared" ca="1" si="415"/>
        <v>7752.6475684911275</v>
      </c>
    </row>
    <row r="8846" spans="2:4" x14ac:dyDescent="0.25">
      <c r="B8846">
        <f t="shared" ca="1" si="416"/>
        <v>46320.018500263504</v>
      </c>
      <c r="C8846">
        <f t="shared" ca="1" si="414"/>
        <v>0</v>
      </c>
      <c r="D8846">
        <f t="shared" ca="1" si="415"/>
        <v>6320.0185002635044</v>
      </c>
    </row>
    <row r="8847" spans="2:4" x14ac:dyDescent="0.25">
      <c r="B8847">
        <f t="shared" ca="1" si="416"/>
        <v>44651.18332008562</v>
      </c>
      <c r="C8847">
        <f t="shared" ca="1" si="414"/>
        <v>0</v>
      </c>
      <c r="D8847">
        <f t="shared" ca="1" si="415"/>
        <v>4651.1833200856199</v>
      </c>
    </row>
    <row r="8848" spans="2:4" x14ac:dyDescent="0.25">
      <c r="B8848">
        <f t="shared" ca="1" si="416"/>
        <v>50248.653185824136</v>
      </c>
      <c r="C8848">
        <f t="shared" ca="1" si="414"/>
        <v>0</v>
      </c>
      <c r="D8848">
        <f t="shared" ca="1" si="415"/>
        <v>10248.653185824136</v>
      </c>
    </row>
    <row r="8849" spans="2:4" x14ac:dyDescent="0.25">
      <c r="B8849">
        <f t="shared" ca="1" si="416"/>
        <v>49429.045098508053</v>
      </c>
      <c r="C8849">
        <f t="shared" ca="1" si="414"/>
        <v>0</v>
      </c>
      <c r="D8849">
        <f t="shared" ca="1" si="415"/>
        <v>9429.0450985080533</v>
      </c>
    </row>
    <row r="8850" spans="2:4" x14ac:dyDescent="0.25">
      <c r="B8850">
        <f t="shared" ca="1" si="416"/>
        <v>45168.003033416353</v>
      </c>
      <c r="C8850">
        <f t="shared" ca="1" si="414"/>
        <v>0</v>
      </c>
      <c r="D8850">
        <f t="shared" ca="1" si="415"/>
        <v>5168.003033416353</v>
      </c>
    </row>
    <row r="8851" spans="2:4" x14ac:dyDescent="0.25">
      <c r="B8851">
        <f t="shared" ca="1" si="416"/>
        <v>49057.908502791484</v>
      </c>
      <c r="C8851">
        <f t="shared" ca="1" si="414"/>
        <v>0</v>
      </c>
      <c r="D8851">
        <f t="shared" ca="1" si="415"/>
        <v>9057.9085027914844</v>
      </c>
    </row>
    <row r="8852" spans="2:4" x14ac:dyDescent="0.25">
      <c r="B8852">
        <f t="shared" ca="1" si="416"/>
        <v>51981.532499749752</v>
      </c>
      <c r="C8852">
        <f t="shared" ca="1" si="414"/>
        <v>0</v>
      </c>
      <c r="D8852">
        <f t="shared" ca="1" si="415"/>
        <v>11981.532499749752</v>
      </c>
    </row>
    <row r="8853" spans="2:4" x14ac:dyDescent="0.25">
      <c r="B8853">
        <f t="shared" ca="1" si="416"/>
        <v>41975.806027617524</v>
      </c>
      <c r="C8853">
        <f t="shared" ca="1" si="414"/>
        <v>0</v>
      </c>
      <c r="D8853">
        <f t="shared" ca="1" si="415"/>
        <v>1975.8060276175238</v>
      </c>
    </row>
    <row r="8854" spans="2:4" x14ac:dyDescent="0.25">
      <c r="B8854">
        <f t="shared" ca="1" si="416"/>
        <v>43988.103261987097</v>
      </c>
      <c r="C8854">
        <f t="shared" ca="1" si="414"/>
        <v>0</v>
      </c>
      <c r="D8854">
        <f t="shared" ca="1" si="415"/>
        <v>3988.1032619870966</v>
      </c>
    </row>
    <row r="8855" spans="2:4" x14ac:dyDescent="0.25">
      <c r="B8855">
        <f t="shared" ca="1" si="416"/>
        <v>42877.687692884785</v>
      </c>
      <c r="C8855">
        <f t="shared" ca="1" si="414"/>
        <v>0</v>
      </c>
      <c r="D8855">
        <f t="shared" ca="1" si="415"/>
        <v>2877.6876928847851</v>
      </c>
    </row>
    <row r="8856" spans="2:4" x14ac:dyDescent="0.25">
      <c r="B8856">
        <f t="shared" ca="1" si="416"/>
        <v>40624.543509882904</v>
      </c>
      <c r="C8856">
        <f t="shared" ca="1" si="414"/>
        <v>0</v>
      </c>
      <c r="D8856">
        <f t="shared" ca="1" si="415"/>
        <v>624.54350988290389</v>
      </c>
    </row>
    <row r="8857" spans="2:4" x14ac:dyDescent="0.25">
      <c r="B8857">
        <f t="shared" ca="1" si="416"/>
        <v>44241.452624411155</v>
      </c>
      <c r="C8857">
        <f t="shared" ca="1" si="414"/>
        <v>0</v>
      </c>
      <c r="D8857">
        <f t="shared" ca="1" si="415"/>
        <v>4241.4526244111548</v>
      </c>
    </row>
    <row r="8858" spans="2:4" x14ac:dyDescent="0.25">
      <c r="B8858">
        <f t="shared" ca="1" si="416"/>
        <v>41284.073729604846</v>
      </c>
      <c r="C8858">
        <f t="shared" ca="1" si="414"/>
        <v>0</v>
      </c>
      <c r="D8858">
        <f t="shared" ca="1" si="415"/>
        <v>1284.0737296048464</v>
      </c>
    </row>
    <row r="8859" spans="2:4" x14ac:dyDescent="0.25">
      <c r="B8859">
        <f t="shared" ca="1" si="416"/>
        <v>44698.507885146202</v>
      </c>
      <c r="C8859">
        <f t="shared" ca="1" si="414"/>
        <v>0</v>
      </c>
      <c r="D8859">
        <f t="shared" ca="1" si="415"/>
        <v>4698.5078851462022</v>
      </c>
    </row>
    <row r="8860" spans="2:4" x14ac:dyDescent="0.25">
      <c r="B8860">
        <f t="shared" ca="1" si="416"/>
        <v>39423.928646209555</v>
      </c>
      <c r="C8860">
        <f t="shared" ca="1" si="414"/>
        <v>576.07135379044485</v>
      </c>
      <c r="D8860">
        <f t="shared" ca="1" si="415"/>
        <v>0</v>
      </c>
    </row>
    <row r="8861" spans="2:4" x14ac:dyDescent="0.25">
      <c r="B8861">
        <f t="shared" ca="1" si="416"/>
        <v>45738.509414836044</v>
      </c>
      <c r="C8861">
        <f t="shared" ca="1" si="414"/>
        <v>0</v>
      </c>
      <c r="D8861">
        <f t="shared" ca="1" si="415"/>
        <v>5738.509414836044</v>
      </c>
    </row>
    <row r="8862" spans="2:4" x14ac:dyDescent="0.25">
      <c r="B8862">
        <f t="shared" ca="1" si="416"/>
        <v>52021.322424604143</v>
      </c>
      <c r="C8862">
        <f t="shared" ca="1" si="414"/>
        <v>0</v>
      </c>
      <c r="D8862">
        <f t="shared" ca="1" si="415"/>
        <v>12021.322424604143</v>
      </c>
    </row>
    <row r="8863" spans="2:4" x14ac:dyDescent="0.25">
      <c r="B8863">
        <f t="shared" ca="1" si="416"/>
        <v>44683.793902369784</v>
      </c>
      <c r="C8863">
        <f t="shared" ca="1" si="414"/>
        <v>0</v>
      </c>
      <c r="D8863">
        <f t="shared" ca="1" si="415"/>
        <v>4683.7939023697836</v>
      </c>
    </row>
    <row r="8864" spans="2:4" x14ac:dyDescent="0.25">
      <c r="B8864">
        <f t="shared" ca="1" si="416"/>
        <v>45835.639140018131</v>
      </c>
      <c r="C8864">
        <f t="shared" ca="1" si="414"/>
        <v>0</v>
      </c>
      <c r="D8864">
        <f t="shared" ca="1" si="415"/>
        <v>5835.639140018131</v>
      </c>
    </row>
    <row r="8865" spans="2:4" x14ac:dyDescent="0.25">
      <c r="B8865">
        <f t="shared" ca="1" si="416"/>
        <v>44449.307246726799</v>
      </c>
      <c r="C8865">
        <f t="shared" ca="1" si="414"/>
        <v>0</v>
      </c>
      <c r="D8865">
        <f t="shared" ca="1" si="415"/>
        <v>4449.3072467267993</v>
      </c>
    </row>
    <row r="8866" spans="2:4" x14ac:dyDescent="0.25">
      <c r="B8866">
        <f t="shared" ca="1" si="416"/>
        <v>47868.932833282932</v>
      </c>
      <c r="C8866">
        <f t="shared" ca="1" si="414"/>
        <v>0</v>
      </c>
      <c r="D8866">
        <f t="shared" ca="1" si="415"/>
        <v>7868.9328332829318</v>
      </c>
    </row>
    <row r="8867" spans="2:4" x14ac:dyDescent="0.25">
      <c r="B8867">
        <f t="shared" ca="1" si="416"/>
        <v>45858.83180369014</v>
      </c>
      <c r="C8867">
        <f t="shared" ca="1" si="414"/>
        <v>0</v>
      </c>
      <c r="D8867">
        <f t="shared" ca="1" si="415"/>
        <v>5858.8318036901401</v>
      </c>
    </row>
    <row r="8868" spans="2:4" x14ac:dyDescent="0.25">
      <c r="B8868">
        <f t="shared" ca="1" si="416"/>
        <v>47832.88199879961</v>
      </c>
      <c r="C8868">
        <f t="shared" ca="1" si="414"/>
        <v>0</v>
      </c>
      <c r="D8868">
        <f t="shared" ca="1" si="415"/>
        <v>7832.8819987996103</v>
      </c>
    </row>
    <row r="8869" spans="2:4" x14ac:dyDescent="0.25">
      <c r="B8869">
        <f t="shared" ca="1" si="416"/>
        <v>38737.052104967974</v>
      </c>
      <c r="C8869">
        <f t="shared" ca="1" si="414"/>
        <v>1262.9478950320263</v>
      </c>
      <c r="D8869">
        <f t="shared" ca="1" si="415"/>
        <v>0</v>
      </c>
    </row>
    <row r="8870" spans="2:4" x14ac:dyDescent="0.25">
      <c r="B8870">
        <f t="shared" ca="1" si="416"/>
        <v>59432.966462669545</v>
      </c>
      <c r="C8870">
        <f t="shared" ca="1" si="414"/>
        <v>0</v>
      </c>
      <c r="D8870">
        <f t="shared" ca="1" si="415"/>
        <v>19432.966462669545</v>
      </c>
    </row>
    <row r="8871" spans="2:4" x14ac:dyDescent="0.25">
      <c r="B8871">
        <f t="shared" ca="1" si="416"/>
        <v>45589.632523489876</v>
      </c>
      <c r="C8871">
        <f t="shared" ca="1" si="414"/>
        <v>0</v>
      </c>
      <c r="D8871">
        <f t="shared" ca="1" si="415"/>
        <v>5589.6325234898759</v>
      </c>
    </row>
    <row r="8872" spans="2:4" x14ac:dyDescent="0.25">
      <c r="B8872">
        <f t="shared" ca="1" si="416"/>
        <v>41954.07655011693</v>
      </c>
      <c r="C8872">
        <f t="shared" ca="1" si="414"/>
        <v>0</v>
      </c>
      <c r="D8872">
        <f t="shared" ca="1" si="415"/>
        <v>1954.0765501169299</v>
      </c>
    </row>
    <row r="8873" spans="2:4" x14ac:dyDescent="0.25">
      <c r="B8873">
        <f t="shared" ca="1" si="416"/>
        <v>45553.600776834603</v>
      </c>
      <c r="C8873">
        <f t="shared" ca="1" si="414"/>
        <v>0</v>
      </c>
      <c r="D8873">
        <f t="shared" ca="1" si="415"/>
        <v>5553.6007768346026</v>
      </c>
    </row>
    <row r="8874" spans="2:4" x14ac:dyDescent="0.25">
      <c r="B8874">
        <f t="shared" ca="1" si="416"/>
        <v>46208.501582700635</v>
      </c>
      <c r="C8874">
        <f t="shared" ca="1" si="414"/>
        <v>0</v>
      </c>
      <c r="D8874">
        <f t="shared" ca="1" si="415"/>
        <v>6208.5015827006355</v>
      </c>
    </row>
    <row r="8875" spans="2:4" x14ac:dyDescent="0.25">
      <c r="B8875">
        <f t="shared" ca="1" si="416"/>
        <v>44515.998732723303</v>
      </c>
      <c r="C8875">
        <f t="shared" ca="1" si="414"/>
        <v>0</v>
      </c>
      <c r="D8875">
        <f t="shared" ca="1" si="415"/>
        <v>4515.998732723303</v>
      </c>
    </row>
    <row r="8876" spans="2:4" x14ac:dyDescent="0.25">
      <c r="B8876">
        <f t="shared" ca="1" si="416"/>
        <v>45668.479954197806</v>
      </c>
      <c r="C8876">
        <f t="shared" ca="1" si="414"/>
        <v>0</v>
      </c>
      <c r="D8876">
        <f t="shared" ca="1" si="415"/>
        <v>5668.4799541978064</v>
      </c>
    </row>
    <row r="8877" spans="2:4" x14ac:dyDescent="0.25">
      <c r="B8877">
        <f t="shared" ca="1" si="416"/>
        <v>51931.490688127211</v>
      </c>
      <c r="C8877">
        <f t="shared" ca="1" si="414"/>
        <v>0</v>
      </c>
      <c r="D8877">
        <f t="shared" ca="1" si="415"/>
        <v>11931.490688127211</v>
      </c>
    </row>
    <row r="8878" spans="2:4" x14ac:dyDescent="0.25">
      <c r="B8878">
        <f t="shared" ca="1" si="416"/>
        <v>44858.148505745034</v>
      </c>
      <c r="C8878">
        <f t="shared" ca="1" si="414"/>
        <v>0</v>
      </c>
      <c r="D8878">
        <f t="shared" ca="1" si="415"/>
        <v>4858.1485057450336</v>
      </c>
    </row>
    <row r="8879" spans="2:4" x14ac:dyDescent="0.25">
      <c r="B8879">
        <f t="shared" ca="1" si="416"/>
        <v>52417.508342540394</v>
      </c>
      <c r="C8879">
        <f t="shared" ca="1" si="414"/>
        <v>0</v>
      </c>
      <c r="D8879">
        <f t="shared" ca="1" si="415"/>
        <v>12417.508342540394</v>
      </c>
    </row>
    <row r="8880" spans="2:4" x14ac:dyDescent="0.25">
      <c r="B8880">
        <f t="shared" ca="1" si="416"/>
        <v>46812.767995304021</v>
      </c>
      <c r="C8880">
        <f t="shared" ca="1" si="414"/>
        <v>0</v>
      </c>
      <c r="D8880">
        <f t="shared" ca="1" si="415"/>
        <v>6812.7679953040206</v>
      </c>
    </row>
    <row r="8881" spans="2:4" x14ac:dyDescent="0.25">
      <c r="B8881">
        <f t="shared" ca="1" si="416"/>
        <v>46753.461418350264</v>
      </c>
      <c r="C8881">
        <f t="shared" ca="1" si="414"/>
        <v>0</v>
      </c>
      <c r="D8881">
        <f t="shared" ca="1" si="415"/>
        <v>6753.4614183502636</v>
      </c>
    </row>
    <row r="8882" spans="2:4" x14ac:dyDescent="0.25">
      <c r="B8882">
        <f t="shared" ca="1" si="416"/>
        <v>40581.086792066038</v>
      </c>
      <c r="C8882">
        <f t="shared" ca="1" si="414"/>
        <v>0</v>
      </c>
      <c r="D8882">
        <f t="shared" ca="1" si="415"/>
        <v>581.08679206603847</v>
      </c>
    </row>
    <row r="8883" spans="2:4" x14ac:dyDescent="0.25">
      <c r="B8883">
        <f t="shared" ca="1" si="416"/>
        <v>40429.768285420279</v>
      </c>
      <c r="C8883">
        <f t="shared" ca="1" si="414"/>
        <v>0</v>
      </c>
      <c r="D8883">
        <f t="shared" ca="1" si="415"/>
        <v>429.76828542027943</v>
      </c>
    </row>
    <row r="8884" spans="2:4" x14ac:dyDescent="0.25">
      <c r="B8884">
        <f t="shared" ca="1" si="416"/>
        <v>51712.47242425484</v>
      </c>
      <c r="C8884">
        <f t="shared" ca="1" si="414"/>
        <v>0</v>
      </c>
      <c r="D8884">
        <f t="shared" ca="1" si="415"/>
        <v>11712.47242425484</v>
      </c>
    </row>
    <row r="8885" spans="2:4" x14ac:dyDescent="0.25">
      <c r="B8885">
        <f t="shared" ca="1" si="416"/>
        <v>45356.496705960693</v>
      </c>
      <c r="C8885">
        <f t="shared" ca="1" si="414"/>
        <v>0</v>
      </c>
      <c r="D8885">
        <f t="shared" ca="1" si="415"/>
        <v>5356.4967059606934</v>
      </c>
    </row>
    <row r="8886" spans="2:4" x14ac:dyDescent="0.25">
      <c r="B8886">
        <f t="shared" ca="1" si="416"/>
        <v>42652.757411026221</v>
      </c>
      <c r="C8886">
        <f t="shared" ca="1" si="414"/>
        <v>0</v>
      </c>
      <c r="D8886">
        <f t="shared" ca="1" si="415"/>
        <v>2652.7574110262212</v>
      </c>
    </row>
    <row r="8887" spans="2:4" x14ac:dyDescent="0.25">
      <c r="B8887">
        <f t="shared" ca="1" si="416"/>
        <v>42662.292244417549</v>
      </c>
      <c r="C8887">
        <f t="shared" ca="1" si="414"/>
        <v>0</v>
      </c>
      <c r="D8887">
        <f t="shared" ca="1" si="415"/>
        <v>2662.2922444175492</v>
      </c>
    </row>
    <row r="8888" spans="2:4" x14ac:dyDescent="0.25">
      <c r="B8888">
        <f t="shared" ca="1" si="416"/>
        <v>50568.799828601128</v>
      </c>
      <c r="C8888">
        <f t="shared" ca="1" si="414"/>
        <v>0</v>
      </c>
      <c r="D8888">
        <f t="shared" ca="1" si="415"/>
        <v>10568.799828601128</v>
      </c>
    </row>
    <row r="8889" spans="2:4" x14ac:dyDescent="0.25">
      <c r="B8889">
        <f t="shared" ca="1" si="416"/>
        <v>41253.225520332722</v>
      </c>
      <c r="C8889">
        <f t="shared" ca="1" si="414"/>
        <v>0</v>
      </c>
      <c r="D8889">
        <f t="shared" ca="1" si="415"/>
        <v>1253.2255203327222</v>
      </c>
    </row>
    <row r="8890" spans="2:4" x14ac:dyDescent="0.25">
      <c r="B8890">
        <f t="shared" ca="1" si="416"/>
        <v>49872.878458845706</v>
      </c>
      <c r="C8890">
        <f t="shared" ca="1" si="414"/>
        <v>0</v>
      </c>
      <c r="D8890">
        <f t="shared" ca="1" si="415"/>
        <v>9872.8784588457056</v>
      </c>
    </row>
    <row r="8891" spans="2:4" x14ac:dyDescent="0.25">
      <c r="B8891">
        <f t="shared" ca="1" si="416"/>
        <v>39364.192509911692</v>
      </c>
      <c r="C8891">
        <f t="shared" ca="1" si="414"/>
        <v>635.80749008830753</v>
      </c>
      <c r="D8891">
        <f t="shared" ca="1" si="415"/>
        <v>0</v>
      </c>
    </row>
    <row r="8892" spans="2:4" x14ac:dyDescent="0.25">
      <c r="B8892">
        <f t="shared" ca="1" si="416"/>
        <v>38504.431811942624</v>
      </c>
      <c r="C8892">
        <f t="shared" ca="1" si="414"/>
        <v>1495.5681880573757</v>
      </c>
      <c r="D8892">
        <f t="shared" ca="1" si="415"/>
        <v>0</v>
      </c>
    </row>
    <row r="8893" spans="2:4" x14ac:dyDescent="0.25">
      <c r="B8893">
        <f t="shared" ca="1" si="416"/>
        <v>50983.701634282508</v>
      </c>
      <c r="C8893">
        <f t="shared" ca="1" si="414"/>
        <v>0</v>
      </c>
      <c r="D8893">
        <f t="shared" ca="1" si="415"/>
        <v>10983.701634282508</v>
      </c>
    </row>
    <row r="8894" spans="2:4" x14ac:dyDescent="0.25">
      <c r="B8894">
        <f t="shared" ca="1" si="416"/>
        <v>39025.826007756237</v>
      </c>
      <c r="C8894">
        <f t="shared" ca="1" si="414"/>
        <v>974.17399224376277</v>
      </c>
      <c r="D8894">
        <f t="shared" ca="1" si="415"/>
        <v>0</v>
      </c>
    </row>
    <row r="8895" spans="2:4" x14ac:dyDescent="0.25">
      <c r="B8895">
        <f t="shared" ca="1" si="416"/>
        <v>41056.813830010753</v>
      </c>
      <c r="C8895">
        <f t="shared" ca="1" si="414"/>
        <v>0</v>
      </c>
      <c r="D8895">
        <f t="shared" ca="1" si="415"/>
        <v>1056.813830010753</v>
      </c>
    </row>
    <row r="8896" spans="2:4" x14ac:dyDescent="0.25">
      <c r="B8896">
        <f t="shared" ca="1" si="416"/>
        <v>42781.892241337635</v>
      </c>
      <c r="C8896">
        <f t="shared" ca="1" si="414"/>
        <v>0</v>
      </c>
      <c r="D8896">
        <f t="shared" ca="1" si="415"/>
        <v>2781.8922413376349</v>
      </c>
    </row>
    <row r="8897" spans="2:4" x14ac:dyDescent="0.25">
      <c r="B8897">
        <f t="shared" ca="1" si="416"/>
        <v>47460.230613263499</v>
      </c>
      <c r="C8897">
        <f t="shared" ca="1" si="414"/>
        <v>0</v>
      </c>
      <c r="D8897">
        <f t="shared" ca="1" si="415"/>
        <v>7460.2306132634985</v>
      </c>
    </row>
    <row r="8898" spans="2:4" x14ac:dyDescent="0.25">
      <c r="B8898">
        <f t="shared" ca="1" si="416"/>
        <v>41783.528406093094</v>
      </c>
      <c r="C8898">
        <f t="shared" ca="1" si="414"/>
        <v>0</v>
      </c>
      <c r="D8898">
        <f t="shared" ca="1" si="415"/>
        <v>1783.5284060930935</v>
      </c>
    </row>
    <row r="8899" spans="2:4" x14ac:dyDescent="0.25">
      <c r="B8899">
        <f t="shared" ca="1" si="416"/>
        <v>48541.59320514166</v>
      </c>
      <c r="C8899">
        <f t="shared" ca="1" si="414"/>
        <v>0</v>
      </c>
      <c r="D8899">
        <f t="shared" ca="1" si="415"/>
        <v>8541.5932051416603</v>
      </c>
    </row>
    <row r="8900" spans="2:4" x14ac:dyDescent="0.25">
      <c r="B8900">
        <f t="shared" ca="1" si="416"/>
        <v>42855.101468389948</v>
      </c>
      <c r="C8900">
        <f t="shared" ca="1" si="414"/>
        <v>0</v>
      </c>
      <c r="D8900">
        <f t="shared" ca="1" si="415"/>
        <v>2855.1014683899484</v>
      </c>
    </row>
    <row r="8901" spans="2:4" x14ac:dyDescent="0.25">
      <c r="B8901">
        <f t="shared" ca="1" si="416"/>
        <v>40609.870479127509</v>
      </c>
      <c r="C8901">
        <f t="shared" ca="1" si="414"/>
        <v>0</v>
      </c>
      <c r="D8901">
        <f t="shared" ca="1" si="415"/>
        <v>609.87047912750859</v>
      </c>
    </row>
    <row r="8902" spans="2:4" x14ac:dyDescent="0.25">
      <c r="B8902">
        <f t="shared" ca="1" si="416"/>
        <v>45082.415440202982</v>
      </c>
      <c r="C8902">
        <f t="shared" ca="1" si="414"/>
        <v>0</v>
      </c>
      <c r="D8902">
        <f t="shared" ca="1" si="415"/>
        <v>5082.4154402029817</v>
      </c>
    </row>
    <row r="8903" spans="2:4" x14ac:dyDescent="0.25">
      <c r="B8903">
        <f t="shared" ca="1" si="416"/>
        <v>44242.30132181153</v>
      </c>
      <c r="C8903">
        <f t="shared" ca="1" si="414"/>
        <v>0</v>
      </c>
      <c r="D8903">
        <f t="shared" ca="1" si="415"/>
        <v>4242.3013218115302</v>
      </c>
    </row>
    <row r="8904" spans="2:4" x14ac:dyDescent="0.25">
      <c r="B8904">
        <f t="shared" ca="1" si="416"/>
        <v>45093.110008618947</v>
      </c>
      <c r="C8904">
        <f t="shared" ca="1" si="414"/>
        <v>0</v>
      </c>
      <c r="D8904">
        <f t="shared" ca="1" si="415"/>
        <v>5093.1100086189472</v>
      </c>
    </row>
    <row r="8905" spans="2:4" x14ac:dyDescent="0.25">
      <c r="B8905">
        <f t="shared" ca="1" si="416"/>
        <v>43781.322127346342</v>
      </c>
      <c r="C8905">
        <f t="shared" ca="1" si="414"/>
        <v>0</v>
      </c>
      <c r="D8905">
        <f t="shared" ca="1" si="415"/>
        <v>3781.3221273463423</v>
      </c>
    </row>
    <row r="8906" spans="2:4" x14ac:dyDescent="0.25">
      <c r="B8906">
        <f t="shared" ca="1" si="416"/>
        <v>49905.458380316188</v>
      </c>
      <c r="C8906">
        <f t="shared" ca="1" si="414"/>
        <v>0</v>
      </c>
      <c r="D8906">
        <f t="shared" ca="1" si="415"/>
        <v>9905.4583803161877</v>
      </c>
    </row>
    <row r="8907" spans="2:4" x14ac:dyDescent="0.25">
      <c r="B8907">
        <f t="shared" ca="1" si="416"/>
        <v>42234.378241881132</v>
      </c>
      <c r="C8907">
        <f t="shared" ca="1" si="414"/>
        <v>0</v>
      </c>
      <c r="D8907">
        <f t="shared" ca="1" si="415"/>
        <v>2234.3782418811315</v>
      </c>
    </row>
    <row r="8908" spans="2:4" x14ac:dyDescent="0.25">
      <c r="B8908">
        <f t="shared" ca="1" si="416"/>
        <v>46684.390070117872</v>
      </c>
      <c r="C8908">
        <f t="shared" ref="C8908:C8971" ca="1" si="417">IF(MAX($B$2-B8908)&lt;0,0,$B$2-B8908)</f>
        <v>0</v>
      </c>
      <c r="D8908">
        <f t="shared" ref="D8908:D8971" ca="1" si="418">IF(MAX(B8908-$B$2)&lt;0,0,B8908-$B$2)</f>
        <v>6684.3900701178718</v>
      </c>
    </row>
    <row r="8909" spans="2:4" x14ac:dyDescent="0.25">
      <c r="B8909">
        <f t="shared" ref="B8909:B8972" ca="1" si="419">$B$1*EXP((($B$4-($B$3^2)/2)*$B$5+$B$3*SQRT($B$5)*NORMSINV(RAND())))</f>
        <v>45890.216374640484</v>
      </c>
      <c r="C8909">
        <f t="shared" ca="1" si="417"/>
        <v>0</v>
      </c>
      <c r="D8909">
        <f t="shared" ca="1" si="418"/>
        <v>5890.216374640484</v>
      </c>
    </row>
    <row r="8910" spans="2:4" x14ac:dyDescent="0.25">
      <c r="B8910">
        <f t="shared" ca="1" si="419"/>
        <v>44792.703208574392</v>
      </c>
      <c r="C8910">
        <f t="shared" ca="1" si="417"/>
        <v>0</v>
      </c>
      <c r="D8910">
        <f t="shared" ca="1" si="418"/>
        <v>4792.7032085743922</v>
      </c>
    </row>
    <row r="8911" spans="2:4" x14ac:dyDescent="0.25">
      <c r="B8911">
        <f t="shared" ca="1" si="419"/>
        <v>44586.877052221687</v>
      </c>
      <c r="C8911">
        <f t="shared" ca="1" si="417"/>
        <v>0</v>
      </c>
      <c r="D8911">
        <f t="shared" ca="1" si="418"/>
        <v>4586.8770522216873</v>
      </c>
    </row>
    <row r="8912" spans="2:4" x14ac:dyDescent="0.25">
      <c r="B8912">
        <f t="shared" ca="1" si="419"/>
        <v>38353.455574795546</v>
      </c>
      <c r="C8912">
        <f t="shared" ca="1" si="417"/>
        <v>1646.5444252044545</v>
      </c>
      <c r="D8912">
        <f t="shared" ca="1" si="418"/>
        <v>0</v>
      </c>
    </row>
    <row r="8913" spans="2:4" x14ac:dyDescent="0.25">
      <c r="B8913">
        <f t="shared" ca="1" si="419"/>
        <v>45173.224838105336</v>
      </c>
      <c r="C8913">
        <f t="shared" ca="1" si="417"/>
        <v>0</v>
      </c>
      <c r="D8913">
        <f t="shared" ca="1" si="418"/>
        <v>5173.2248381053359</v>
      </c>
    </row>
    <row r="8914" spans="2:4" x14ac:dyDescent="0.25">
      <c r="B8914">
        <f t="shared" ca="1" si="419"/>
        <v>45105.254330860516</v>
      </c>
      <c r="C8914">
        <f t="shared" ca="1" si="417"/>
        <v>0</v>
      </c>
      <c r="D8914">
        <f t="shared" ca="1" si="418"/>
        <v>5105.2543308605163</v>
      </c>
    </row>
    <row r="8915" spans="2:4" x14ac:dyDescent="0.25">
      <c r="B8915">
        <f t="shared" ca="1" si="419"/>
        <v>48415.45015492769</v>
      </c>
      <c r="C8915">
        <f t="shared" ca="1" si="417"/>
        <v>0</v>
      </c>
      <c r="D8915">
        <f t="shared" ca="1" si="418"/>
        <v>8415.4501549276902</v>
      </c>
    </row>
    <row r="8916" spans="2:4" x14ac:dyDescent="0.25">
      <c r="B8916">
        <f t="shared" ca="1" si="419"/>
        <v>46211.908290445703</v>
      </c>
      <c r="C8916">
        <f t="shared" ca="1" si="417"/>
        <v>0</v>
      </c>
      <c r="D8916">
        <f t="shared" ca="1" si="418"/>
        <v>6211.9082904457027</v>
      </c>
    </row>
    <row r="8917" spans="2:4" x14ac:dyDescent="0.25">
      <c r="B8917">
        <f t="shared" ca="1" si="419"/>
        <v>38844.854508618992</v>
      </c>
      <c r="C8917">
        <f t="shared" ca="1" si="417"/>
        <v>1155.1454913810085</v>
      </c>
      <c r="D8917">
        <f t="shared" ca="1" si="418"/>
        <v>0</v>
      </c>
    </row>
    <row r="8918" spans="2:4" x14ac:dyDescent="0.25">
      <c r="B8918">
        <f t="shared" ca="1" si="419"/>
        <v>41942.040615056721</v>
      </c>
      <c r="C8918">
        <f t="shared" ca="1" si="417"/>
        <v>0</v>
      </c>
      <c r="D8918">
        <f t="shared" ca="1" si="418"/>
        <v>1942.0406150567214</v>
      </c>
    </row>
    <row r="8919" spans="2:4" x14ac:dyDescent="0.25">
      <c r="B8919">
        <f t="shared" ca="1" si="419"/>
        <v>40035.924155830755</v>
      </c>
      <c r="C8919">
        <f t="shared" ca="1" si="417"/>
        <v>0</v>
      </c>
      <c r="D8919">
        <f t="shared" ca="1" si="418"/>
        <v>35.924155830754898</v>
      </c>
    </row>
    <row r="8920" spans="2:4" x14ac:dyDescent="0.25">
      <c r="B8920">
        <f t="shared" ca="1" si="419"/>
        <v>42482.435542773812</v>
      </c>
      <c r="C8920">
        <f t="shared" ca="1" si="417"/>
        <v>0</v>
      </c>
      <c r="D8920">
        <f t="shared" ca="1" si="418"/>
        <v>2482.4355427738119</v>
      </c>
    </row>
    <row r="8921" spans="2:4" x14ac:dyDescent="0.25">
      <c r="B8921">
        <f t="shared" ca="1" si="419"/>
        <v>47101.806655762673</v>
      </c>
      <c r="C8921">
        <f t="shared" ca="1" si="417"/>
        <v>0</v>
      </c>
      <c r="D8921">
        <f t="shared" ca="1" si="418"/>
        <v>7101.8066557626735</v>
      </c>
    </row>
    <row r="8922" spans="2:4" x14ac:dyDescent="0.25">
      <c r="B8922">
        <f t="shared" ca="1" si="419"/>
        <v>46694.653434913482</v>
      </c>
      <c r="C8922">
        <f t="shared" ca="1" si="417"/>
        <v>0</v>
      </c>
      <c r="D8922">
        <f t="shared" ca="1" si="418"/>
        <v>6694.6534349134818</v>
      </c>
    </row>
    <row r="8923" spans="2:4" x14ac:dyDescent="0.25">
      <c r="B8923">
        <f t="shared" ca="1" si="419"/>
        <v>45839.257836040284</v>
      </c>
      <c r="C8923">
        <f t="shared" ca="1" si="417"/>
        <v>0</v>
      </c>
      <c r="D8923">
        <f t="shared" ca="1" si="418"/>
        <v>5839.257836040284</v>
      </c>
    </row>
    <row r="8924" spans="2:4" x14ac:dyDescent="0.25">
      <c r="B8924">
        <f t="shared" ca="1" si="419"/>
        <v>41909.878406869742</v>
      </c>
      <c r="C8924">
        <f t="shared" ca="1" si="417"/>
        <v>0</v>
      </c>
      <c r="D8924">
        <f t="shared" ca="1" si="418"/>
        <v>1909.8784068697423</v>
      </c>
    </row>
    <row r="8925" spans="2:4" x14ac:dyDescent="0.25">
      <c r="B8925">
        <f t="shared" ca="1" si="419"/>
        <v>34937.350694185116</v>
      </c>
      <c r="C8925">
        <f t="shared" ca="1" si="417"/>
        <v>5062.6493058148844</v>
      </c>
      <c r="D8925">
        <f t="shared" ca="1" si="418"/>
        <v>0</v>
      </c>
    </row>
    <row r="8926" spans="2:4" x14ac:dyDescent="0.25">
      <c r="B8926">
        <f t="shared" ca="1" si="419"/>
        <v>45484.192007528567</v>
      </c>
      <c r="C8926">
        <f t="shared" ca="1" si="417"/>
        <v>0</v>
      </c>
      <c r="D8926">
        <f t="shared" ca="1" si="418"/>
        <v>5484.192007528567</v>
      </c>
    </row>
    <row r="8927" spans="2:4" x14ac:dyDescent="0.25">
      <c r="B8927">
        <f t="shared" ca="1" si="419"/>
        <v>46267.025809616323</v>
      </c>
      <c r="C8927">
        <f t="shared" ca="1" si="417"/>
        <v>0</v>
      </c>
      <c r="D8927">
        <f t="shared" ca="1" si="418"/>
        <v>6267.0258096163234</v>
      </c>
    </row>
    <row r="8928" spans="2:4" x14ac:dyDescent="0.25">
      <c r="B8928">
        <f t="shared" ca="1" si="419"/>
        <v>48900.420248900919</v>
      </c>
      <c r="C8928">
        <f t="shared" ca="1" si="417"/>
        <v>0</v>
      </c>
      <c r="D8928">
        <f t="shared" ca="1" si="418"/>
        <v>8900.4202489009185</v>
      </c>
    </row>
    <row r="8929" spans="2:4" x14ac:dyDescent="0.25">
      <c r="B8929">
        <f t="shared" ca="1" si="419"/>
        <v>39666.61489477264</v>
      </c>
      <c r="C8929">
        <f t="shared" ca="1" si="417"/>
        <v>333.38510522736033</v>
      </c>
      <c r="D8929">
        <f t="shared" ca="1" si="418"/>
        <v>0</v>
      </c>
    </row>
    <row r="8930" spans="2:4" x14ac:dyDescent="0.25">
      <c r="B8930">
        <f t="shared" ca="1" si="419"/>
        <v>42606.894124457103</v>
      </c>
      <c r="C8930">
        <f t="shared" ca="1" si="417"/>
        <v>0</v>
      </c>
      <c r="D8930">
        <f t="shared" ca="1" si="418"/>
        <v>2606.8941244571033</v>
      </c>
    </row>
    <row r="8931" spans="2:4" x14ac:dyDescent="0.25">
      <c r="B8931">
        <f t="shared" ca="1" si="419"/>
        <v>45611.789580188015</v>
      </c>
      <c r="C8931">
        <f t="shared" ca="1" si="417"/>
        <v>0</v>
      </c>
      <c r="D8931">
        <f t="shared" ca="1" si="418"/>
        <v>5611.789580188015</v>
      </c>
    </row>
    <row r="8932" spans="2:4" x14ac:dyDescent="0.25">
      <c r="B8932">
        <f t="shared" ca="1" si="419"/>
        <v>43381.575706535987</v>
      </c>
      <c r="C8932">
        <f t="shared" ca="1" si="417"/>
        <v>0</v>
      </c>
      <c r="D8932">
        <f t="shared" ca="1" si="418"/>
        <v>3381.5757065359867</v>
      </c>
    </row>
    <row r="8933" spans="2:4" x14ac:dyDescent="0.25">
      <c r="B8933">
        <f t="shared" ca="1" si="419"/>
        <v>47013.227062686441</v>
      </c>
      <c r="C8933">
        <f t="shared" ca="1" si="417"/>
        <v>0</v>
      </c>
      <c r="D8933">
        <f t="shared" ca="1" si="418"/>
        <v>7013.2270626864411</v>
      </c>
    </row>
    <row r="8934" spans="2:4" x14ac:dyDescent="0.25">
      <c r="B8934">
        <f t="shared" ca="1" si="419"/>
        <v>35944.873533792896</v>
      </c>
      <c r="C8934">
        <f t="shared" ca="1" si="417"/>
        <v>4055.1264662071044</v>
      </c>
      <c r="D8934">
        <f t="shared" ca="1" si="418"/>
        <v>0</v>
      </c>
    </row>
    <row r="8935" spans="2:4" x14ac:dyDescent="0.25">
      <c r="B8935">
        <f t="shared" ca="1" si="419"/>
        <v>52472.537254222581</v>
      </c>
      <c r="C8935">
        <f t="shared" ca="1" si="417"/>
        <v>0</v>
      </c>
      <c r="D8935">
        <f t="shared" ca="1" si="418"/>
        <v>12472.537254222581</v>
      </c>
    </row>
    <row r="8936" spans="2:4" x14ac:dyDescent="0.25">
      <c r="B8936">
        <f t="shared" ca="1" si="419"/>
        <v>43863.072520806214</v>
      </c>
      <c r="C8936">
        <f t="shared" ca="1" si="417"/>
        <v>0</v>
      </c>
      <c r="D8936">
        <f t="shared" ca="1" si="418"/>
        <v>3863.072520806214</v>
      </c>
    </row>
    <row r="8937" spans="2:4" x14ac:dyDescent="0.25">
      <c r="B8937">
        <f t="shared" ca="1" si="419"/>
        <v>33262.440638917542</v>
      </c>
      <c r="C8937">
        <f t="shared" ca="1" si="417"/>
        <v>6737.5593610824581</v>
      </c>
      <c r="D8937">
        <f t="shared" ca="1" si="418"/>
        <v>0</v>
      </c>
    </row>
    <row r="8938" spans="2:4" x14ac:dyDescent="0.25">
      <c r="B8938">
        <f t="shared" ca="1" si="419"/>
        <v>49691.065025177719</v>
      </c>
      <c r="C8938">
        <f t="shared" ca="1" si="417"/>
        <v>0</v>
      </c>
      <c r="D8938">
        <f t="shared" ca="1" si="418"/>
        <v>9691.0650251777188</v>
      </c>
    </row>
    <row r="8939" spans="2:4" x14ac:dyDescent="0.25">
      <c r="B8939">
        <f t="shared" ca="1" si="419"/>
        <v>54625.869129043167</v>
      </c>
      <c r="C8939">
        <f t="shared" ca="1" si="417"/>
        <v>0</v>
      </c>
      <c r="D8939">
        <f t="shared" ca="1" si="418"/>
        <v>14625.869129043167</v>
      </c>
    </row>
    <row r="8940" spans="2:4" x14ac:dyDescent="0.25">
      <c r="B8940">
        <f t="shared" ca="1" si="419"/>
        <v>42083.729551932105</v>
      </c>
      <c r="C8940">
        <f t="shared" ca="1" si="417"/>
        <v>0</v>
      </c>
      <c r="D8940">
        <f t="shared" ca="1" si="418"/>
        <v>2083.7295519321051</v>
      </c>
    </row>
    <row r="8941" spans="2:4" x14ac:dyDescent="0.25">
      <c r="B8941">
        <f t="shared" ca="1" si="419"/>
        <v>40804.374611639985</v>
      </c>
      <c r="C8941">
        <f t="shared" ca="1" si="417"/>
        <v>0</v>
      </c>
      <c r="D8941">
        <f t="shared" ca="1" si="418"/>
        <v>804.37461163998523</v>
      </c>
    </row>
    <row r="8942" spans="2:4" x14ac:dyDescent="0.25">
      <c r="B8942">
        <f t="shared" ca="1" si="419"/>
        <v>42367.280484995215</v>
      </c>
      <c r="C8942">
        <f t="shared" ca="1" si="417"/>
        <v>0</v>
      </c>
      <c r="D8942">
        <f t="shared" ca="1" si="418"/>
        <v>2367.2804849952154</v>
      </c>
    </row>
    <row r="8943" spans="2:4" x14ac:dyDescent="0.25">
      <c r="B8943">
        <f t="shared" ca="1" si="419"/>
        <v>37049.792064108122</v>
      </c>
      <c r="C8943">
        <f t="shared" ca="1" si="417"/>
        <v>2950.2079358918782</v>
      </c>
      <c r="D8943">
        <f t="shared" ca="1" si="418"/>
        <v>0</v>
      </c>
    </row>
    <row r="8944" spans="2:4" x14ac:dyDescent="0.25">
      <c r="B8944">
        <f t="shared" ca="1" si="419"/>
        <v>44144.288575010796</v>
      </c>
      <c r="C8944">
        <f t="shared" ca="1" si="417"/>
        <v>0</v>
      </c>
      <c r="D8944">
        <f t="shared" ca="1" si="418"/>
        <v>4144.2885750107962</v>
      </c>
    </row>
    <row r="8945" spans="2:4" x14ac:dyDescent="0.25">
      <c r="B8945">
        <f t="shared" ca="1" si="419"/>
        <v>44917.50308340312</v>
      </c>
      <c r="C8945">
        <f t="shared" ca="1" si="417"/>
        <v>0</v>
      </c>
      <c r="D8945">
        <f t="shared" ca="1" si="418"/>
        <v>4917.5030834031204</v>
      </c>
    </row>
    <row r="8946" spans="2:4" x14ac:dyDescent="0.25">
      <c r="B8946">
        <f t="shared" ca="1" si="419"/>
        <v>54501.133399572165</v>
      </c>
      <c r="C8946">
        <f t="shared" ca="1" si="417"/>
        <v>0</v>
      </c>
      <c r="D8946">
        <f t="shared" ca="1" si="418"/>
        <v>14501.133399572165</v>
      </c>
    </row>
    <row r="8947" spans="2:4" x14ac:dyDescent="0.25">
      <c r="B8947">
        <f t="shared" ca="1" si="419"/>
        <v>44995.850388419392</v>
      </c>
      <c r="C8947">
        <f t="shared" ca="1" si="417"/>
        <v>0</v>
      </c>
      <c r="D8947">
        <f t="shared" ca="1" si="418"/>
        <v>4995.8503884193924</v>
      </c>
    </row>
    <row r="8948" spans="2:4" x14ac:dyDescent="0.25">
      <c r="B8948">
        <f t="shared" ca="1" si="419"/>
        <v>42462.024119127935</v>
      </c>
      <c r="C8948">
        <f t="shared" ca="1" si="417"/>
        <v>0</v>
      </c>
      <c r="D8948">
        <f t="shared" ca="1" si="418"/>
        <v>2462.0241191279347</v>
      </c>
    </row>
    <row r="8949" spans="2:4" x14ac:dyDescent="0.25">
      <c r="B8949">
        <f t="shared" ca="1" si="419"/>
        <v>41981.856780591086</v>
      </c>
      <c r="C8949">
        <f t="shared" ca="1" si="417"/>
        <v>0</v>
      </c>
      <c r="D8949">
        <f t="shared" ca="1" si="418"/>
        <v>1981.8567805910861</v>
      </c>
    </row>
    <row r="8950" spans="2:4" x14ac:dyDescent="0.25">
      <c r="B8950">
        <f t="shared" ca="1" si="419"/>
        <v>36566.429292801338</v>
      </c>
      <c r="C8950">
        <f t="shared" ca="1" si="417"/>
        <v>3433.5707071986617</v>
      </c>
      <c r="D8950">
        <f t="shared" ca="1" si="418"/>
        <v>0</v>
      </c>
    </row>
    <row r="8951" spans="2:4" x14ac:dyDescent="0.25">
      <c r="B8951">
        <f t="shared" ca="1" si="419"/>
        <v>44618.786703552563</v>
      </c>
      <c r="C8951">
        <f t="shared" ca="1" si="417"/>
        <v>0</v>
      </c>
      <c r="D8951">
        <f t="shared" ca="1" si="418"/>
        <v>4618.7867035525633</v>
      </c>
    </row>
    <row r="8952" spans="2:4" x14ac:dyDescent="0.25">
      <c r="B8952">
        <f t="shared" ca="1" si="419"/>
        <v>54508.243390192671</v>
      </c>
      <c r="C8952">
        <f t="shared" ca="1" si="417"/>
        <v>0</v>
      </c>
      <c r="D8952">
        <f t="shared" ca="1" si="418"/>
        <v>14508.243390192671</v>
      </c>
    </row>
    <row r="8953" spans="2:4" x14ac:dyDescent="0.25">
      <c r="B8953">
        <f t="shared" ca="1" si="419"/>
        <v>51400.134879972036</v>
      </c>
      <c r="C8953">
        <f t="shared" ca="1" si="417"/>
        <v>0</v>
      </c>
      <c r="D8953">
        <f t="shared" ca="1" si="418"/>
        <v>11400.134879972036</v>
      </c>
    </row>
    <row r="8954" spans="2:4" x14ac:dyDescent="0.25">
      <c r="B8954">
        <f t="shared" ca="1" si="419"/>
        <v>52833.988927410421</v>
      </c>
      <c r="C8954">
        <f t="shared" ca="1" si="417"/>
        <v>0</v>
      </c>
      <c r="D8954">
        <f t="shared" ca="1" si="418"/>
        <v>12833.988927410421</v>
      </c>
    </row>
    <row r="8955" spans="2:4" x14ac:dyDescent="0.25">
      <c r="B8955">
        <f t="shared" ca="1" si="419"/>
        <v>44764.340707443975</v>
      </c>
      <c r="C8955">
        <f t="shared" ca="1" si="417"/>
        <v>0</v>
      </c>
      <c r="D8955">
        <f t="shared" ca="1" si="418"/>
        <v>4764.3407074439747</v>
      </c>
    </row>
    <row r="8956" spans="2:4" x14ac:dyDescent="0.25">
      <c r="B8956">
        <f t="shared" ca="1" si="419"/>
        <v>45813.150310333192</v>
      </c>
      <c r="C8956">
        <f t="shared" ca="1" si="417"/>
        <v>0</v>
      </c>
      <c r="D8956">
        <f t="shared" ca="1" si="418"/>
        <v>5813.1503103331925</v>
      </c>
    </row>
    <row r="8957" spans="2:4" x14ac:dyDescent="0.25">
      <c r="B8957">
        <f t="shared" ca="1" si="419"/>
        <v>40575.74193031864</v>
      </c>
      <c r="C8957">
        <f t="shared" ca="1" si="417"/>
        <v>0</v>
      </c>
      <c r="D8957">
        <f t="shared" ca="1" si="418"/>
        <v>575.74193031863979</v>
      </c>
    </row>
    <row r="8958" spans="2:4" x14ac:dyDescent="0.25">
      <c r="B8958">
        <f t="shared" ca="1" si="419"/>
        <v>40126.52158541455</v>
      </c>
      <c r="C8958">
        <f t="shared" ca="1" si="417"/>
        <v>0</v>
      </c>
      <c r="D8958">
        <f t="shared" ca="1" si="418"/>
        <v>126.52158541454992</v>
      </c>
    </row>
    <row r="8959" spans="2:4" x14ac:dyDescent="0.25">
      <c r="B8959">
        <f t="shared" ca="1" si="419"/>
        <v>41024.474721495666</v>
      </c>
      <c r="C8959">
        <f t="shared" ca="1" si="417"/>
        <v>0</v>
      </c>
      <c r="D8959">
        <f t="shared" ca="1" si="418"/>
        <v>1024.474721495666</v>
      </c>
    </row>
    <row r="8960" spans="2:4" x14ac:dyDescent="0.25">
      <c r="B8960">
        <f t="shared" ca="1" si="419"/>
        <v>50454.41390832972</v>
      </c>
      <c r="C8960">
        <f t="shared" ca="1" si="417"/>
        <v>0</v>
      </c>
      <c r="D8960">
        <f t="shared" ca="1" si="418"/>
        <v>10454.41390832972</v>
      </c>
    </row>
    <row r="8961" spans="2:4" x14ac:dyDescent="0.25">
      <c r="B8961">
        <f t="shared" ca="1" si="419"/>
        <v>46395.187537209706</v>
      </c>
      <c r="C8961">
        <f t="shared" ca="1" si="417"/>
        <v>0</v>
      </c>
      <c r="D8961">
        <f t="shared" ca="1" si="418"/>
        <v>6395.1875372097056</v>
      </c>
    </row>
    <row r="8962" spans="2:4" x14ac:dyDescent="0.25">
      <c r="B8962">
        <f t="shared" ca="1" si="419"/>
        <v>51758.037145611037</v>
      </c>
      <c r="C8962">
        <f t="shared" ca="1" si="417"/>
        <v>0</v>
      </c>
      <c r="D8962">
        <f t="shared" ca="1" si="418"/>
        <v>11758.037145611037</v>
      </c>
    </row>
    <row r="8963" spans="2:4" x14ac:dyDescent="0.25">
      <c r="B8963">
        <f t="shared" ca="1" si="419"/>
        <v>47826.445680526987</v>
      </c>
      <c r="C8963">
        <f t="shared" ca="1" si="417"/>
        <v>0</v>
      </c>
      <c r="D8963">
        <f t="shared" ca="1" si="418"/>
        <v>7826.4456805269874</v>
      </c>
    </row>
    <row r="8964" spans="2:4" x14ac:dyDescent="0.25">
      <c r="B8964">
        <f t="shared" ca="1" si="419"/>
        <v>52382.794530419007</v>
      </c>
      <c r="C8964">
        <f t="shared" ca="1" si="417"/>
        <v>0</v>
      </c>
      <c r="D8964">
        <f t="shared" ca="1" si="418"/>
        <v>12382.794530419007</v>
      </c>
    </row>
    <row r="8965" spans="2:4" x14ac:dyDescent="0.25">
      <c r="B8965">
        <f t="shared" ca="1" si="419"/>
        <v>42380.704418056506</v>
      </c>
      <c r="C8965">
        <f t="shared" ca="1" si="417"/>
        <v>0</v>
      </c>
      <c r="D8965">
        <f t="shared" ca="1" si="418"/>
        <v>2380.7044180565063</v>
      </c>
    </row>
    <row r="8966" spans="2:4" x14ac:dyDescent="0.25">
      <c r="B8966">
        <f t="shared" ca="1" si="419"/>
        <v>42664.527953111021</v>
      </c>
      <c r="C8966">
        <f t="shared" ca="1" si="417"/>
        <v>0</v>
      </c>
      <c r="D8966">
        <f t="shared" ca="1" si="418"/>
        <v>2664.5279531110209</v>
      </c>
    </row>
    <row r="8967" spans="2:4" x14ac:dyDescent="0.25">
      <c r="B8967">
        <f t="shared" ca="1" si="419"/>
        <v>46297.535190864655</v>
      </c>
      <c r="C8967">
        <f t="shared" ca="1" si="417"/>
        <v>0</v>
      </c>
      <c r="D8967">
        <f t="shared" ca="1" si="418"/>
        <v>6297.5351908646553</v>
      </c>
    </row>
    <row r="8968" spans="2:4" x14ac:dyDescent="0.25">
      <c r="B8968">
        <f t="shared" ca="1" si="419"/>
        <v>40993.878193170043</v>
      </c>
      <c r="C8968">
        <f t="shared" ca="1" si="417"/>
        <v>0</v>
      </c>
      <c r="D8968">
        <f t="shared" ca="1" si="418"/>
        <v>993.87819317004323</v>
      </c>
    </row>
    <row r="8969" spans="2:4" x14ac:dyDescent="0.25">
      <c r="B8969">
        <f t="shared" ca="1" si="419"/>
        <v>42925.543075773203</v>
      </c>
      <c r="C8969">
        <f t="shared" ca="1" si="417"/>
        <v>0</v>
      </c>
      <c r="D8969">
        <f t="shared" ca="1" si="418"/>
        <v>2925.5430757732029</v>
      </c>
    </row>
    <row r="8970" spans="2:4" x14ac:dyDescent="0.25">
      <c r="B8970">
        <f t="shared" ca="1" si="419"/>
        <v>49907.761873019699</v>
      </c>
      <c r="C8970">
        <f t="shared" ca="1" si="417"/>
        <v>0</v>
      </c>
      <c r="D8970">
        <f t="shared" ca="1" si="418"/>
        <v>9907.7618730196991</v>
      </c>
    </row>
    <row r="8971" spans="2:4" x14ac:dyDescent="0.25">
      <c r="B8971">
        <f t="shared" ca="1" si="419"/>
        <v>46636.104199040426</v>
      </c>
      <c r="C8971">
        <f t="shared" ca="1" si="417"/>
        <v>0</v>
      </c>
      <c r="D8971">
        <f t="shared" ca="1" si="418"/>
        <v>6636.1041990404265</v>
      </c>
    </row>
    <row r="8972" spans="2:4" x14ac:dyDescent="0.25">
      <c r="B8972">
        <f t="shared" ca="1" si="419"/>
        <v>40219.48369063453</v>
      </c>
      <c r="C8972">
        <f t="shared" ref="C8972:C9035" ca="1" si="420">IF(MAX($B$2-B8972)&lt;0,0,$B$2-B8972)</f>
        <v>0</v>
      </c>
      <c r="D8972">
        <f t="shared" ref="D8972:D9035" ca="1" si="421">IF(MAX(B8972-$B$2)&lt;0,0,B8972-$B$2)</f>
        <v>219.48369063452992</v>
      </c>
    </row>
    <row r="8973" spans="2:4" x14ac:dyDescent="0.25">
      <c r="B8973">
        <f t="shared" ref="B8973:B9036" ca="1" si="422">$B$1*EXP((($B$4-($B$3^2)/2)*$B$5+$B$3*SQRT($B$5)*NORMSINV(RAND())))</f>
        <v>46478.06315218511</v>
      </c>
      <c r="C8973">
        <f t="shared" ca="1" si="420"/>
        <v>0</v>
      </c>
      <c r="D8973">
        <f t="shared" ca="1" si="421"/>
        <v>6478.0631521851101</v>
      </c>
    </row>
    <row r="8974" spans="2:4" x14ac:dyDescent="0.25">
      <c r="B8974">
        <f t="shared" ca="1" si="422"/>
        <v>49015.333279031169</v>
      </c>
      <c r="C8974">
        <f t="shared" ca="1" si="420"/>
        <v>0</v>
      </c>
      <c r="D8974">
        <f t="shared" ca="1" si="421"/>
        <v>9015.3332790311688</v>
      </c>
    </row>
    <row r="8975" spans="2:4" x14ac:dyDescent="0.25">
      <c r="B8975">
        <f t="shared" ca="1" si="422"/>
        <v>48334.784166749014</v>
      </c>
      <c r="C8975">
        <f t="shared" ca="1" si="420"/>
        <v>0</v>
      </c>
      <c r="D8975">
        <f t="shared" ca="1" si="421"/>
        <v>8334.7841667490138</v>
      </c>
    </row>
    <row r="8976" spans="2:4" x14ac:dyDescent="0.25">
      <c r="B8976">
        <f t="shared" ca="1" si="422"/>
        <v>47280.19496317501</v>
      </c>
      <c r="C8976">
        <f t="shared" ca="1" si="420"/>
        <v>0</v>
      </c>
      <c r="D8976">
        <f t="shared" ca="1" si="421"/>
        <v>7280.1949631750103</v>
      </c>
    </row>
    <row r="8977" spans="2:4" x14ac:dyDescent="0.25">
      <c r="B8977">
        <f t="shared" ca="1" si="422"/>
        <v>51125.055264468298</v>
      </c>
      <c r="C8977">
        <f t="shared" ca="1" si="420"/>
        <v>0</v>
      </c>
      <c r="D8977">
        <f t="shared" ca="1" si="421"/>
        <v>11125.055264468298</v>
      </c>
    </row>
    <row r="8978" spans="2:4" x14ac:dyDescent="0.25">
      <c r="B8978">
        <f t="shared" ca="1" si="422"/>
        <v>47650.634625064333</v>
      </c>
      <c r="C8978">
        <f t="shared" ca="1" si="420"/>
        <v>0</v>
      </c>
      <c r="D8978">
        <f t="shared" ca="1" si="421"/>
        <v>7650.6346250643328</v>
      </c>
    </row>
    <row r="8979" spans="2:4" x14ac:dyDescent="0.25">
      <c r="B8979">
        <f t="shared" ca="1" si="422"/>
        <v>38660.537525033731</v>
      </c>
      <c r="C8979">
        <f t="shared" ca="1" si="420"/>
        <v>1339.4624749662689</v>
      </c>
      <c r="D8979">
        <f t="shared" ca="1" si="421"/>
        <v>0</v>
      </c>
    </row>
    <row r="8980" spans="2:4" x14ac:dyDescent="0.25">
      <c r="B8980">
        <f t="shared" ca="1" si="422"/>
        <v>49005.277105656038</v>
      </c>
      <c r="C8980">
        <f t="shared" ca="1" si="420"/>
        <v>0</v>
      </c>
      <c r="D8980">
        <f t="shared" ca="1" si="421"/>
        <v>9005.2771056560377</v>
      </c>
    </row>
    <row r="8981" spans="2:4" x14ac:dyDescent="0.25">
      <c r="B8981">
        <f t="shared" ca="1" si="422"/>
        <v>42986.263924781408</v>
      </c>
      <c r="C8981">
        <f t="shared" ca="1" si="420"/>
        <v>0</v>
      </c>
      <c r="D8981">
        <f t="shared" ca="1" si="421"/>
        <v>2986.2639247814077</v>
      </c>
    </row>
    <row r="8982" spans="2:4" x14ac:dyDescent="0.25">
      <c r="B8982">
        <f t="shared" ca="1" si="422"/>
        <v>46331.72577575803</v>
      </c>
      <c r="C8982">
        <f t="shared" ca="1" si="420"/>
        <v>0</v>
      </c>
      <c r="D8982">
        <f t="shared" ca="1" si="421"/>
        <v>6331.7257757580301</v>
      </c>
    </row>
    <row r="8983" spans="2:4" x14ac:dyDescent="0.25">
      <c r="B8983">
        <f t="shared" ca="1" si="422"/>
        <v>47579.2923732813</v>
      </c>
      <c r="C8983">
        <f t="shared" ca="1" si="420"/>
        <v>0</v>
      </c>
      <c r="D8983">
        <f t="shared" ca="1" si="421"/>
        <v>7579.2923732812997</v>
      </c>
    </row>
    <row r="8984" spans="2:4" x14ac:dyDescent="0.25">
      <c r="B8984">
        <f t="shared" ca="1" si="422"/>
        <v>46690.757967344209</v>
      </c>
      <c r="C8984">
        <f t="shared" ca="1" si="420"/>
        <v>0</v>
      </c>
      <c r="D8984">
        <f t="shared" ca="1" si="421"/>
        <v>6690.7579673442087</v>
      </c>
    </row>
    <row r="8985" spans="2:4" x14ac:dyDescent="0.25">
      <c r="B8985">
        <f t="shared" ca="1" si="422"/>
        <v>45279.782505836592</v>
      </c>
      <c r="C8985">
        <f t="shared" ca="1" si="420"/>
        <v>0</v>
      </c>
      <c r="D8985">
        <f t="shared" ca="1" si="421"/>
        <v>5279.7825058365925</v>
      </c>
    </row>
    <row r="8986" spans="2:4" x14ac:dyDescent="0.25">
      <c r="B8986">
        <f t="shared" ca="1" si="422"/>
        <v>41428.49016687672</v>
      </c>
      <c r="C8986">
        <f t="shared" ca="1" si="420"/>
        <v>0</v>
      </c>
      <c r="D8986">
        <f t="shared" ca="1" si="421"/>
        <v>1428.4901668767197</v>
      </c>
    </row>
    <row r="8987" spans="2:4" x14ac:dyDescent="0.25">
      <c r="B8987">
        <f t="shared" ca="1" si="422"/>
        <v>45024.255545586908</v>
      </c>
      <c r="C8987">
        <f t="shared" ca="1" si="420"/>
        <v>0</v>
      </c>
      <c r="D8987">
        <f t="shared" ca="1" si="421"/>
        <v>5024.2555455869078</v>
      </c>
    </row>
    <row r="8988" spans="2:4" x14ac:dyDescent="0.25">
      <c r="B8988">
        <f t="shared" ca="1" si="422"/>
        <v>49303.269150407177</v>
      </c>
      <c r="C8988">
        <f t="shared" ca="1" si="420"/>
        <v>0</v>
      </c>
      <c r="D8988">
        <f t="shared" ca="1" si="421"/>
        <v>9303.2691504071772</v>
      </c>
    </row>
    <row r="8989" spans="2:4" x14ac:dyDescent="0.25">
      <c r="B8989">
        <f t="shared" ca="1" si="422"/>
        <v>45508.753046367419</v>
      </c>
      <c r="C8989">
        <f t="shared" ca="1" si="420"/>
        <v>0</v>
      </c>
      <c r="D8989">
        <f t="shared" ca="1" si="421"/>
        <v>5508.7530463674193</v>
      </c>
    </row>
    <row r="8990" spans="2:4" x14ac:dyDescent="0.25">
      <c r="B8990">
        <f t="shared" ca="1" si="422"/>
        <v>39822.192754938245</v>
      </c>
      <c r="C8990">
        <f t="shared" ca="1" si="420"/>
        <v>177.80724506175466</v>
      </c>
      <c r="D8990">
        <f t="shared" ca="1" si="421"/>
        <v>0</v>
      </c>
    </row>
    <row r="8991" spans="2:4" x14ac:dyDescent="0.25">
      <c r="B8991">
        <f t="shared" ca="1" si="422"/>
        <v>46800.19089333561</v>
      </c>
      <c r="C8991">
        <f t="shared" ca="1" si="420"/>
        <v>0</v>
      </c>
      <c r="D8991">
        <f t="shared" ca="1" si="421"/>
        <v>6800.1908933356099</v>
      </c>
    </row>
    <row r="8992" spans="2:4" x14ac:dyDescent="0.25">
      <c r="B8992">
        <f t="shared" ca="1" si="422"/>
        <v>44015.882412760366</v>
      </c>
      <c r="C8992">
        <f t="shared" ca="1" si="420"/>
        <v>0</v>
      </c>
      <c r="D8992">
        <f t="shared" ca="1" si="421"/>
        <v>4015.8824127603657</v>
      </c>
    </row>
    <row r="8993" spans="2:4" x14ac:dyDescent="0.25">
      <c r="B8993">
        <f t="shared" ca="1" si="422"/>
        <v>44501.684674701646</v>
      </c>
      <c r="C8993">
        <f t="shared" ca="1" si="420"/>
        <v>0</v>
      </c>
      <c r="D8993">
        <f t="shared" ca="1" si="421"/>
        <v>4501.6846747016461</v>
      </c>
    </row>
    <row r="8994" spans="2:4" x14ac:dyDescent="0.25">
      <c r="B8994">
        <f t="shared" ca="1" si="422"/>
        <v>49081.848874548901</v>
      </c>
      <c r="C8994">
        <f t="shared" ca="1" si="420"/>
        <v>0</v>
      </c>
      <c r="D8994">
        <f t="shared" ca="1" si="421"/>
        <v>9081.8488745489012</v>
      </c>
    </row>
    <row r="8995" spans="2:4" x14ac:dyDescent="0.25">
      <c r="B8995">
        <f t="shared" ca="1" si="422"/>
        <v>48038.757089916071</v>
      </c>
      <c r="C8995">
        <f t="shared" ca="1" si="420"/>
        <v>0</v>
      </c>
      <c r="D8995">
        <f t="shared" ca="1" si="421"/>
        <v>8038.757089916071</v>
      </c>
    </row>
    <row r="8996" spans="2:4" x14ac:dyDescent="0.25">
      <c r="B8996">
        <f t="shared" ca="1" si="422"/>
        <v>52713.625918313854</v>
      </c>
      <c r="C8996">
        <f t="shared" ca="1" si="420"/>
        <v>0</v>
      </c>
      <c r="D8996">
        <f t="shared" ca="1" si="421"/>
        <v>12713.625918313854</v>
      </c>
    </row>
    <row r="8997" spans="2:4" x14ac:dyDescent="0.25">
      <c r="B8997">
        <f t="shared" ca="1" si="422"/>
        <v>47719.918587837856</v>
      </c>
      <c r="C8997">
        <f t="shared" ca="1" si="420"/>
        <v>0</v>
      </c>
      <c r="D8997">
        <f t="shared" ca="1" si="421"/>
        <v>7719.9185878378557</v>
      </c>
    </row>
    <row r="8998" spans="2:4" x14ac:dyDescent="0.25">
      <c r="B8998">
        <f t="shared" ca="1" si="422"/>
        <v>43199.026540292252</v>
      </c>
      <c r="C8998">
        <f t="shared" ca="1" si="420"/>
        <v>0</v>
      </c>
      <c r="D8998">
        <f t="shared" ca="1" si="421"/>
        <v>3199.0265402922523</v>
      </c>
    </row>
    <row r="8999" spans="2:4" x14ac:dyDescent="0.25">
      <c r="B8999">
        <f t="shared" ca="1" si="422"/>
        <v>41857.223297064265</v>
      </c>
      <c r="C8999">
        <f t="shared" ca="1" si="420"/>
        <v>0</v>
      </c>
      <c r="D8999">
        <f t="shared" ca="1" si="421"/>
        <v>1857.2232970642654</v>
      </c>
    </row>
    <row r="9000" spans="2:4" x14ac:dyDescent="0.25">
      <c r="B9000">
        <f t="shared" ca="1" si="422"/>
        <v>43569.322457702357</v>
      </c>
      <c r="C9000">
        <f t="shared" ca="1" si="420"/>
        <v>0</v>
      </c>
      <c r="D9000">
        <f t="shared" ca="1" si="421"/>
        <v>3569.3224577023575</v>
      </c>
    </row>
    <row r="9001" spans="2:4" x14ac:dyDescent="0.25">
      <c r="B9001">
        <f t="shared" ca="1" si="422"/>
        <v>42509.060142665214</v>
      </c>
      <c r="C9001">
        <f t="shared" ca="1" si="420"/>
        <v>0</v>
      </c>
      <c r="D9001">
        <f t="shared" ca="1" si="421"/>
        <v>2509.0601426652138</v>
      </c>
    </row>
    <row r="9002" spans="2:4" x14ac:dyDescent="0.25">
      <c r="B9002">
        <f t="shared" ca="1" si="422"/>
        <v>44909.988606101331</v>
      </c>
      <c r="C9002">
        <f t="shared" ca="1" si="420"/>
        <v>0</v>
      </c>
      <c r="D9002">
        <f t="shared" ca="1" si="421"/>
        <v>4909.9886061013312</v>
      </c>
    </row>
    <row r="9003" spans="2:4" x14ac:dyDescent="0.25">
      <c r="B9003">
        <f t="shared" ca="1" si="422"/>
        <v>52629.809903120222</v>
      </c>
      <c r="C9003">
        <f t="shared" ca="1" si="420"/>
        <v>0</v>
      </c>
      <c r="D9003">
        <f t="shared" ca="1" si="421"/>
        <v>12629.809903120222</v>
      </c>
    </row>
    <row r="9004" spans="2:4" x14ac:dyDescent="0.25">
      <c r="B9004">
        <f t="shared" ca="1" si="422"/>
        <v>43593.891847919826</v>
      </c>
      <c r="C9004">
        <f t="shared" ca="1" si="420"/>
        <v>0</v>
      </c>
      <c r="D9004">
        <f t="shared" ca="1" si="421"/>
        <v>3593.8918479198255</v>
      </c>
    </row>
    <row r="9005" spans="2:4" x14ac:dyDescent="0.25">
      <c r="B9005">
        <f t="shared" ca="1" si="422"/>
        <v>47312.98327133929</v>
      </c>
      <c r="C9005">
        <f t="shared" ca="1" si="420"/>
        <v>0</v>
      </c>
      <c r="D9005">
        <f t="shared" ca="1" si="421"/>
        <v>7312.9832713392898</v>
      </c>
    </row>
    <row r="9006" spans="2:4" x14ac:dyDescent="0.25">
      <c r="B9006">
        <f t="shared" ca="1" si="422"/>
        <v>52758.168499494306</v>
      </c>
      <c r="C9006">
        <f t="shared" ca="1" si="420"/>
        <v>0</v>
      </c>
      <c r="D9006">
        <f t="shared" ca="1" si="421"/>
        <v>12758.168499494306</v>
      </c>
    </row>
    <row r="9007" spans="2:4" x14ac:dyDescent="0.25">
      <c r="B9007">
        <f t="shared" ca="1" si="422"/>
        <v>44185.813324031515</v>
      </c>
      <c r="C9007">
        <f t="shared" ca="1" si="420"/>
        <v>0</v>
      </c>
      <c r="D9007">
        <f t="shared" ca="1" si="421"/>
        <v>4185.8133240315146</v>
      </c>
    </row>
    <row r="9008" spans="2:4" x14ac:dyDescent="0.25">
      <c r="B9008">
        <f t="shared" ca="1" si="422"/>
        <v>44371.970886040275</v>
      </c>
      <c r="C9008">
        <f t="shared" ca="1" si="420"/>
        <v>0</v>
      </c>
      <c r="D9008">
        <f t="shared" ca="1" si="421"/>
        <v>4371.9708860402752</v>
      </c>
    </row>
    <row r="9009" spans="2:4" x14ac:dyDescent="0.25">
      <c r="B9009">
        <f t="shared" ca="1" si="422"/>
        <v>41933.393410354671</v>
      </c>
      <c r="C9009">
        <f t="shared" ca="1" si="420"/>
        <v>0</v>
      </c>
      <c r="D9009">
        <f t="shared" ca="1" si="421"/>
        <v>1933.3934103546708</v>
      </c>
    </row>
    <row r="9010" spans="2:4" x14ac:dyDescent="0.25">
      <c r="B9010">
        <f t="shared" ca="1" si="422"/>
        <v>50399.999748563576</v>
      </c>
      <c r="C9010">
        <f t="shared" ca="1" si="420"/>
        <v>0</v>
      </c>
      <c r="D9010">
        <f t="shared" ca="1" si="421"/>
        <v>10399.999748563576</v>
      </c>
    </row>
    <row r="9011" spans="2:4" x14ac:dyDescent="0.25">
      <c r="B9011">
        <f t="shared" ca="1" si="422"/>
        <v>46886.867071562207</v>
      </c>
      <c r="C9011">
        <f t="shared" ca="1" si="420"/>
        <v>0</v>
      </c>
      <c r="D9011">
        <f t="shared" ca="1" si="421"/>
        <v>6886.8670715622065</v>
      </c>
    </row>
    <row r="9012" spans="2:4" x14ac:dyDescent="0.25">
      <c r="B9012">
        <f t="shared" ca="1" si="422"/>
        <v>42163.515102525584</v>
      </c>
      <c r="C9012">
        <f t="shared" ca="1" si="420"/>
        <v>0</v>
      </c>
      <c r="D9012">
        <f t="shared" ca="1" si="421"/>
        <v>2163.5151025255836</v>
      </c>
    </row>
    <row r="9013" spans="2:4" x14ac:dyDescent="0.25">
      <c r="B9013">
        <f t="shared" ca="1" si="422"/>
        <v>45274.799358872042</v>
      </c>
      <c r="C9013">
        <f t="shared" ca="1" si="420"/>
        <v>0</v>
      </c>
      <c r="D9013">
        <f t="shared" ca="1" si="421"/>
        <v>5274.7993588720419</v>
      </c>
    </row>
    <row r="9014" spans="2:4" x14ac:dyDescent="0.25">
      <c r="B9014">
        <f t="shared" ca="1" si="422"/>
        <v>46997.859969275822</v>
      </c>
      <c r="C9014">
        <f t="shared" ca="1" si="420"/>
        <v>0</v>
      </c>
      <c r="D9014">
        <f t="shared" ca="1" si="421"/>
        <v>6997.8599692758216</v>
      </c>
    </row>
    <row r="9015" spans="2:4" x14ac:dyDescent="0.25">
      <c r="B9015">
        <f t="shared" ca="1" si="422"/>
        <v>45716.318997806135</v>
      </c>
      <c r="C9015">
        <f t="shared" ca="1" si="420"/>
        <v>0</v>
      </c>
      <c r="D9015">
        <f t="shared" ca="1" si="421"/>
        <v>5716.3189978061346</v>
      </c>
    </row>
    <row r="9016" spans="2:4" x14ac:dyDescent="0.25">
      <c r="B9016">
        <f t="shared" ca="1" si="422"/>
        <v>39402.467327415252</v>
      </c>
      <c r="C9016">
        <f t="shared" ca="1" si="420"/>
        <v>597.53267258474807</v>
      </c>
      <c r="D9016">
        <f t="shared" ca="1" si="421"/>
        <v>0</v>
      </c>
    </row>
    <row r="9017" spans="2:4" x14ac:dyDescent="0.25">
      <c r="B9017">
        <f t="shared" ca="1" si="422"/>
        <v>43397.25243614443</v>
      </c>
      <c r="C9017">
        <f t="shared" ca="1" si="420"/>
        <v>0</v>
      </c>
      <c r="D9017">
        <f t="shared" ca="1" si="421"/>
        <v>3397.2524361444302</v>
      </c>
    </row>
    <row r="9018" spans="2:4" x14ac:dyDescent="0.25">
      <c r="B9018">
        <f t="shared" ca="1" si="422"/>
        <v>50013.132869228364</v>
      </c>
      <c r="C9018">
        <f t="shared" ca="1" si="420"/>
        <v>0</v>
      </c>
      <c r="D9018">
        <f t="shared" ca="1" si="421"/>
        <v>10013.132869228364</v>
      </c>
    </row>
    <row r="9019" spans="2:4" x14ac:dyDescent="0.25">
      <c r="B9019">
        <f t="shared" ca="1" si="422"/>
        <v>45094.424654564551</v>
      </c>
      <c r="C9019">
        <f t="shared" ca="1" si="420"/>
        <v>0</v>
      </c>
      <c r="D9019">
        <f t="shared" ca="1" si="421"/>
        <v>5094.424654564551</v>
      </c>
    </row>
    <row r="9020" spans="2:4" x14ac:dyDescent="0.25">
      <c r="B9020">
        <f t="shared" ca="1" si="422"/>
        <v>48321.211765270506</v>
      </c>
      <c r="C9020">
        <f t="shared" ca="1" si="420"/>
        <v>0</v>
      </c>
      <c r="D9020">
        <f t="shared" ca="1" si="421"/>
        <v>8321.2117652705056</v>
      </c>
    </row>
    <row r="9021" spans="2:4" x14ac:dyDescent="0.25">
      <c r="B9021">
        <f t="shared" ca="1" si="422"/>
        <v>43327.403320921272</v>
      </c>
      <c r="C9021">
        <f t="shared" ca="1" si="420"/>
        <v>0</v>
      </c>
      <c r="D9021">
        <f t="shared" ca="1" si="421"/>
        <v>3327.4033209212721</v>
      </c>
    </row>
    <row r="9022" spans="2:4" x14ac:dyDescent="0.25">
      <c r="B9022">
        <f t="shared" ca="1" si="422"/>
        <v>42007.854656257143</v>
      </c>
      <c r="C9022">
        <f t="shared" ca="1" si="420"/>
        <v>0</v>
      </c>
      <c r="D9022">
        <f t="shared" ca="1" si="421"/>
        <v>2007.8546562571428</v>
      </c>
    </row>
    <row r="9023" spans="2:4" x14ac:dyDescent="0.25">
      <c r="B9023">
        <f t="shared" ca="1" si="422"/>
        <v>39703.258969213493</v>
      </c>
      <c r="C9023">
        <f t="shared" ca="1" si="420"/>
        <v>296.7410307865066</v>
      </c>
      <c r="D9023">
        <f t="shared" ca="1" si="421"/>
        <v>0</v>
      </c>
    </row>
    <row r="9024" spans="2:4" x14ac:dyDescent="0.25">
      <c r="B9024">
        <f t="shared" ca="1" si="422"/>
        <v>52185.575180658285</v>
      </c>
      <c r="C9024">
        <f t="shared" ca="1" si="420"/>
        <v>0</v>
      </c>
      <c r="D9024">
        <f t="shared" ca="1" si="421"/>
        <v>12185.575180658285</v>
      </c>
    </row>
    <row r="9025" spans="2:4" x14ac:dyDescent="0.25">
      <c r="B9025">
        <f t="shared" ca="1" si="422"/>
        <v>46126.308321144163</v>
      </c>
      <c r="C9025">
        <f t="shared" ca="1" si="420"/>
        <v>0</v>
      </c>
      <c r="D9025">
        <f t="shared" ca="1" si="421"/>
        <v>6126.3083211441626</v>
      </c>
    </row>
    <row r="9026" spans="2:4" x14ac:dyDescent="0.25">
      <c r="B9026">
        <f t="shared" ca="1" si="422"/>
        <v>43349.575567181666</v>
      </c>
      <c r="C9026">
        <f t="shared" ca="1" si="420"/>
        <v>0</v>
      </c>
      <c r="D9026">
        <f t="shared" ca="1" si="421"/>
        <v>3349.575567181666</v>
      </c>
    </row>
    <row r="9027" spans="2:4" x14ac:dyDescent="0.25">
      <c r="B9027">
        <f t="shared" ca="1" si="422"/>
        <v>49674.228858006973</v>
      </c>
      <c r="C9027">
        <f t="shared" ca="1" si="420"/>
        <v>0</v>
      </c>
      <c r="D9027">
        <f t="shared" ca="1" si="421"/>
        <v>9674.2288580069726</v>
      </c>
    </row>
    <row r="9028" spans="2:4" x14ac:dyDescent="0.25">
      <c r="B9028">
        <f t="shared" ca="1" si="422"/>
        <v>40780.493254294131</v>
      </c>
      <c r="C9028">
        <f t="shared" ca="1" si="420"/>
        <v>0</v>
      </c>
      <c r="D9028">
        <f t="shared" ca="1" si="421"/>
        <v>780.49325429413148</v>
      </c>
    </row>
    <row r="9029" spans="2:4" x14ac:dyDescent="0.25">
      <c r="B9029">
        <f t="shared" ca="1" si="422"/>
        <v>39474.137644273673</v>
      </c>
      <c r="C9029">
        <f t="shared" ca="1" si="420"/>
        <v>525.86235572632722</v>
      </c>
      <c r="D9029">
        <f t="shared" ca="1" si="421"/>
        <v>0</v>
      </c>
    </row>
    <row r="9030" spans="2:4" x14ac:dyDescent="0.25">
      <c r="B9030">
        <f t="shared" ca="1" si="422"/>
        <v>42198.477244816924</v>
      </c>
      <c r="C9030">
        <f t="shared" ca="1" si="420"/>
        <v>0</v>
      </c>
      <c r="D9030">
        <f t="shared" ca="1" si="421"/>
        <v>2198.4772448169242</v>
      </c>
    </row>
    <row r="9031" spans="2:4" x14ac:dyDescent="0.25">
      <c r="B9031">
        <f t="shared" ca="1" si="422"/>
        <v>41428.75599423924</v>
      </c>
      <c r="C9031">
        <f t="shared" ca="1" si="420"/>
        <v>0</v>
      </c>
      <c r="D9031">
        <f t="shared" ca="1" si="421"/>
        <v>1428.75599423924</v>
      </c>
    </row>
    <row r="9032" spans="2:4" x14ac:dyDescent="0.25">
      <c r="B9032">
        <f t="shared" ca="1" si="422"/>
        <v>36043.787520802311</v>
      </c>
      <c r="C9032">
        <f t="shared" ca="1" si="420"/>
        <v>3956.2124791976894</v>
      </c>
      <c r="D9032">
        <f t="shared" ca="1" si="421"/>
        <v>0</v>
      </c>
    </row>
    <row r="9033" spans="2:4" x14ac:dyDescent="0.25">
      <c r="B9033">
        <f t="shared" ca="1" si="422"/>
        <v>49382.868426835092</v>
      </c>
      <c r="C9033">
        <f t="shared" ca="1" si="420"/>
        <v>0</v>
      </c>
      <c r="D9033">
        <f t="shared" ca="1" si="421"/>
        <v>9382.8684268350917</v>
      </c>
    </row>
    <row r="9034" spans="2:4" x14ac:dyDescent="0.25">
      <c r="B9034">
        <f t="shared" ca="1" si="422"/>
        <v>38889.510227858584</v>
      </c>
      <c r="C9034">
        <f t="shared" ca="1" si="420"/>
        <v>1110.4897721414163</v>
      </c>
      <c r="D9034">
        <f t="shared" ca="1" si="421"/>
        <v>0</v>
      </c>
    </row>
    <row r="9035" spans="2:4" x14ac:dyDescent="0.25">
      <c r="B9035">
        <f t="shared" ca="1" si="422"/>
        <v>44769.720471190165</v>
      </c>
      <c r="C9035">
        <f t="shared" ca="1" si="420"/>
        <v>0</v>
      </c>
      <c r="D9035">
        <f t="shared" ca="1" si="421"/>
        <v>4769.720471190165</v>
      </c>
    </row>
    <row r="9036" spans="2:4" x14ac:dyDescent="0.25">
      <c r="B9036">
        <f t="shared" ca="1" si="422"/>
        <v>40283.484694723746</v>
      </c>
      <c r="C9036">
        <f t="shared" ref="C9036:C9099" ca="1" si="423">IF(MAX($B$2-B9036)&lt;0,0,$B$2-B9036)</f>
        <v>0</v>
      </c>
      <c r="D9036">
        <f t="shared" ref="D9036:D9099" ca="1" si="424">IF(MAX(B9036-$B$2)&lt;0,0,B9036-$B$2)</f>
        <v>283.48469472374563</v>
      </c>
    </row>
    <row r="9037" spans="2:4" x14ac:dyDescent="0.25">
      <c r="B9037">
        <f t="shared" ref="B9037:B9100" ca="1" si="425">$B$1*EXP((($B$4-($B$3^2)/2)*$B$5+$B$3*SQRT($B$5)*NORMSINV(RAND())))</f>
        <v>41547.473065941005</v>
      </c>
      <c r="C9037">
        <f t="shared" ca="1" si="423"/>
        <v>0</v>
      </c>
      <c r="D9037">
        <f t="shared" ca="1" si="424"/>
        <v>1547.4730659410052</v>
      </c>
    </row>
    <row r="9038" spans="2:4" x14ac:dyDescent="0.25">
      <c r="B9038">
        <f t="shared" ca="1" si="425"/>
        <v>44491.211129497904</v>
      </c>
      <c r="C9038">
        <f t="shared" ca="1" si="423"/>
        <v>0</v>
      </c>
      <c r="D9038">
        <f t="shared" ca="1" si="424"/>
        <v>4491.211129497904</v>
      </c>
    </row>
    <row r="9039" spans="2:4" x14ac:dyDescent="0.25">
      <c r="B9039">
        <f t="shared" ca="1" si="425"/>
        <v>40897.570732738364</v>
      </c>
      <c r="C9039">
        <f t="shared" ca="1" si="423"/>
        <v>0</v>
      </c>
      <c r="D9039">
        <f t="shared" ca="1" si="424"/>
        <v>897.57073273836431</v>
      </c>
    </row>
    <row r="9040" spans="2:4" x14ac:dyDescent="0.25">
      <c r="B9040">
        <f t="shared" ca="1" si="425"/>
        <v>54058.541112742307</v>
      </c>
      <c r="C9040">
        <f t="shared" ca="1" si="423"/>
        <v>0</v>
      </c>
      <c r="D9040">
        <f t="shared" ca="1" si="424"/>
        <v>14058.541112742307</v>
      </c>
    </row>
    <row r="9041" spans="2:4" x14ac:dyDescent="0.25">
      <c r="B9041">
        <f t="shared" ca="1" si="425"/>
        <v>50323.536509489881</v>
      </c>
      <c r="C9041">
        <f t="shared" ca="1" si="423"/>
        <v>0</v>
      </c>
      <c r="D9041">
        <f t="shared" ca="1" si="424"/>
        <v>10323.536509489881</v>
      </c>
    </row>
    <row r="9042" spans="2:4" x14ac:dyDescent="0.25">
      <c r="B9042">
        <f t="shared" ca="1" si="425"/>
        <v>46915.23777242683</v>
      </c>
      <c r="C9042">
        <f t="shared" ca="1" si="423"/>
        <v>0</v>
      </c>
      <c r="D9042">
        <f t="shared" ca="1" si="424"/>
        <v>6915.2377724268299</v>
      </c>
    </row>
    <row r="9043" spans="2:4" x14ac:dyDescent="0.25">
      <c r="B9043">
        <f t="shared" ca="1" si="425"/>
        <v>46474.628232415089</v>
      </c>
      <c r="C9043">
        <f t="shared" ca="1" si="423"/>
        <v>0</v>
      </c>
      <c r="D9043">
        <f t="shared" ca="1" si="424"/>
        <v>6474.6282324150889</v>
      </c>
    </row>
    <row r="9044" spans="2:4" x14ac:dyDescent="0.25">
      <c r="B9044">
        <f t="shared" ca="1" si="425"/>
        <v>38562.7041627789</v>
      </c>
      <c r="C9044">
        <f t="shared" ca="1" si="423"/>
        <v>1437.2958372210996</v>
      </c>
      <c r="D9044">
        <f t="shared" ca="1" si="424"/>
        <v>0</v>
      </c>
    </row>
    <row r="9045" spans="2:4" x14ac:dyDescent="0.25">
      <c r="B9045">
        <f t="shared" ca="1" si="425"/>
        <v>47918.702698557485</v>
      </c>
      <c r="C9045">
        <f t="shared" ca="1" si="423"/>
        <v>0</v>
      </c>
      <c r="D9045">
        <f t="shared" ca="1" si="424"/>
        <v>7918.7026985574848</v>
      </c>
    </row>
    <row r="9046" spans="2:4" x14ac:dyDescent="0.25">
      <c r="B9046">
        <f t="shared" ca="1" si="425"/>
        <v>36843.876494867531</v>
      </c>
      <c r="C9046">
        <f t="shared" ca="1" si="423"/>
        <v>3156.1235051324693</v>
      </c>
      <c r="D9046">
        <f t="shared" ca="1" si="424"/>
        <v>0</v>
      </c>
    </row>
    <row r="9047" spans="2:4" x14ac:dyDescent="0.25">
      <c r="B9047">
        <f t="shared" ca="1" si="425"/>
        <v>40964.652704133448</v>
      </c>
      <c r="C9047">
        <f t="shared" ca="1" si="423"/>
        <v>0</v>
      </c>
      <c r="D9047">
        <f t="shared" ca="1" si="424"/>
        <v>964.65270413344842</v>
      </c>
    </row>
    <row r="9048" spans="2:4" x14ac:dyDescent="0.25">
      <c r="B9048">
        <f t="shared" ca="1" si="425"/>
        <v>38163.801025905101</v>
      </c>
      <c r="C9048">
        <f t="shared" ca="1" si="423"/>
        <v>1836.1989740948993</v>
      </c>
      <c r="D9048">
        <f t="shared" ca="1" si="424"/>
        <v>0</v>
      </c>
    </row>
    <row r="9049" spans="2:4" x14ac:dyDescent="0.25">
      <c r="B9049">
        <f t="shared" ca="1" si="425"/>
        <v>60578.805539946297</v>
      </c>
      <c r="C9049">
        <f t="shared" ca="1" si="423"/>
        <v>0</v>
      </c>
      <c r="D9049">
        <f t="shared" ca="1" si="424"/>
        <v>20578.805539946297</v>
      </c>
    </row>
    <row r="9050" spans="2:4" x14ac:dyDescent="0.25">
      <c r="B9050">
        <f t="shared" ca="1" si="425"/>
        <v>42650.68300650295</v>
      </c>
      <c r="C9050">
        <f t="shared" ca="1" si="423"/>
        <v>0</v>
      </c>
      <c r="D9050">
        <f t="shared" ca="1" si="424"/>
        <v>2650.6830065029499</v>
      </c>
    </row>
    <row r="9051" spans="2:4" x14ac:dyDescent="0.25">
      <c r="B9051">
        <f t="shared" ca="1" si="425"/>
        <v>41853.995339645779</v>
      </c>
      <c r="C9051">
        <f t="shared" ca="1" si="423"/>
        <v>0</v>
      </c>
      <c r="D9051">
        <f t="shared" ca="1" si="424"/>
        <v>1853.9953396457786</v>
      </c>
    </row>
    <row r="9052" spans="2:4" x14ac:dyDescent="0.25">
      <c r="B9052">
        <f t="shared" ca="1" si="425"/>
        <v>49128.761318830177</v>
      </c>
      <c r="C9052">
        <f t="shared" ca="1" si="423"/>
        <v>0</v>
      </c>
      <c r="D9052">
        <f t="shared" ca="1" si="424"/>
        <v>9128.7613188301766</v>
      </c>
    </row>
    <row r="9053" spans="2:4" x14ac:dyDescent="0.25">
      <c r="B9053">
        <f t="shared" ca="1" si="425"/>
        <v>49814.586909991835</v>
      </c>
      <c r="C9053">
        <f t="shared" ca="1" si="423"/>
        <v>0</v>
      </c>
      <c r="D9053">
        <f t="shared" ca="1" si="424"/>
        <v>9814.5869099918345</v>
      </c>
    </row>
    <row r="9054" spans="2:4" x14ac:dyDescent="0.25">
      <c r="B9054">
        <f t="shared" ca="1" si="425"/>
        <v>49598.153437845511</v>
      </c>
      <c r="C9054">
        <f t="shared" ca="1" si="423"/>
        <v>0</v>
      </c>
      <c r="D9054">
        <f t="shared" ca="1" si="424"/>
        <v>9598.1534378455108</v>
      </c>
    </row>
    <row r="9055" spans="2:4" x14ac:dyDescent="0.25">
      <c r="B9055">
        <f t="shared" ca="1" si="425"/>
        <v>44853.556888690335</v>
      </c>
      <c r="C9055">
        <f t="shared" ca="1" si="423"/>
        <v>0</v>
      </c>
      <c r="D9055">
        <f t="shared" ca="1" si="424"/>
        <v>4853.5568886903347</v>
      </c>
    </row>
    <row r="9056" spans="2:4" x14ac:dyDescent="0.25">
      <c r="B9056">
        <f t="shared" ca="1" si="425"/>
        <v>46539.502849281707</v>
      </c>
      <c r="C9056">
        <f t="shared" ca="1" si="423"/>
        <v>0</v>
      </c>
      <c r="D9056">
        <f t="shared" ca="1" si="424"/>
        <v>6539.5028492817073</v>
      </c>
    </row>
    <row r="9057" spans="2:4" x14ac:dyDescent="0.25">
      <c r="B9057">
        <f t="shared" ca="1" si="425"/>
        <v>34689.024077424918</v>
      </c>
      <c r="C9057">
        <f t="shared" ca="1" si="423"/>
        <v>5310.9759225750822</v>
      </c>
      <c r="D9057">
        <f t="shared" ca="1" si="424"/>
        <v>0</v>
      </c>
    </row>
    <row r="9058" spans="2:4" x14ac:dyDescent="0.25">
      <c r="B9058">
        <f t="shared" ca="1" si="425"/>
        <v>41519.28355335541</v>
      </c>
      <c r="C9058">
        <f t="shared" ca="1" si="423"/>
        <v>0</v>
      </c>
      <c r="D9058">
        <f t="shared" ca="1" si="424"/>
        <v>1519.2835533554098</v>
      </c>
    </row>
    <row r="9059" spans="2:4" x14ac:dyDescent="0.25">
      <c r="B9059">
        <f t="shared" ca="1" si="425"/>
        <v>47256.412845078405</v>
      </c>
      <c r="C9059">
        <f t="shared" ca="1" si="423"/>
        <v>0</v>
      </c>
      <c r="D9059">
        <f t="shared" ca="1" si="424"/>
        <v>7256.4128450784046</v>
      </c>
    </row>
    <row r="9060" spans="2:4" x14ac:dyDescent="0.25">
      <c r="B9060">
        <f t="shared" ca="1" si="425"/>
        <v>47450.032902916544</v>
      </c>
      <c r="C9060">
        <f t="shared" ca="1" si="423"/>
        <v>0</v>
      </c>
      <c r="D9060">
        <f t="shared" ca="1" si="424"/>
        <v>7450.0329029165441</v>
      </c>
    </row>
    <row r="9061" spans="2:4" x14ac:dyDescent="0.25">
      <c r="B9061">
        <f t="shared" ca="1" si="425"/>
        <v>43618.832579583526</v>
      </c>
      <c r="C9061">
        <f t="shared" ca="1" si="423"/>
        <v>0</v>
      </c>
      <c r="D9061">
        <f t="shared" ca="1" si="424"/>
        <v>3618.8325795835262</v>
      </c>
    </row>
    <row r="9062" spans="2:4" x14ac:dyDescent="0.25">
      <c r="B9062">
        <f t="shared" ca="1" si="425"/>
        <v>37622.029206247942</v>
      </c>
      <c r="C9062">
        <f t="shared" ca="1" si="423"/>
        <v>2377.9707937520579</v>
      </c>
      <c r="D9062">
        <f t="shared" ca="1" si="424"/>
        <v>0</v>
      </c>
    </row>
    <row r="9063" spans="2:4" x14ac:dyDescent="0.25">
      <c r="B9063">
        <f t="shared" ca="1" si="425"/>
        <v>46020.399415497312</v>
      </c>
      <c r="C9063">
        <f t="shared" ca="1" si="423"/>
        <v>0</v>
      </c>
      <c r="D9063">
        <f t="shared" ca="1" si="424"/>
        <v>6020.3994154973116</v>
      </c>
    </row>
    <row r="9064" spans="2:4" x14ac:dyDescent="0.25">
      <c r="B9064">
        <f t="shared" ca="1" si="425"/>
        <v>48362.682969113608</v>
      </c>
      <c r="C9064">
        <f t="shared" ca="1" si="423"/>
        <v>0</v>
      </c>
      <c r="D9064">
        <f t="shared" ca="1" si="424"/>
        <v>8362.6829691136081</v>
      </c>
    </row>
    <row r="9065" spans="2:4" x14ac:dyDescent="0.25">
      <c r="B9065">
        <f t="shared" ca="1" si="425"/>
        <v>43269.493959670879</v>
      </c>
      <c r="C9065">
        <f t="shared" ca="1" si="423"/>
        <v>0</v>
      </c>
      <c r="D9065">
        <f t="shared" ca="1" si="424"/>
        <v>3269.4939596708791</v>
      </c>
    </row>
    <row r="9066" spans="2:4" x14ac:dyDescent="0.25">
      <c r="B9066">
        <f t="shared" ca="1" si="425"/>
        <v>54874.84559090939</v>
      </c>
      <c r="C9066">
        <f t="shared" ca="1" si="423"/>
        <v>0</v>
      </c>
      <c r="D9066">
        <f t="shared" ca="1" si="424"/>
        <v>14874.84559090939</v>
      </c>
    </row>
    <row r="9067" spans="2:4" x14ac:dyDescent="0.25">
      <c r="B9067">
        <f t="shared" ca="1" si="425"/>
        <v>54136.862775284848</v>
      </c>
      <c r="C9067">
        <f t="shared" ca="1" si="423"/>
        <v>0</v>
      </c>
      <c r="D9067">
        <f t="shared" ca="1" si="424"/>
        <v>14136.862775284848</v>
      </c>
    </row>
    <row r="9068" spans="2:4" x14ac:dyDescent="0.25">
      <c r="B9068">
        <f t="shared" ca="1" si="425"/>
        <v>41118.288535119129</v>
      </c>
      <c r="C9068">
        <f t="shared" ca="1" si="423"/>
        <v>0</v>
      </c>
      <c r="D9068">
        <f t="shared" ca="1" si="424"/>
        <v>1118.2885351191289</v>
      </c>
    </row>
    <row r="9069" spans="2:4" x14ac:dyDescent="0.25">
      <c r="B9069">
        <f t="shared" ca="1" si="425"/>
        <v>49992.413419394186</v>
      </c>
      <c r="C9069">
        <f t="shared" ca="1" si="423"/>
        <v>0</v>
      </c>
      <c r="D9069">
        <f t="shared" ca="1" si="424"/>
        <v>9992.4134193941863</v>
      </c>
    </row>
    <row r="9070" spans="2:4" x14ac:dyDescent="0.25">
      <c r="B9070">
        <f t="shared" ca="1" si="425"/>
        <v>46354.313382308384</v>
      </c>
      <c r="C9070">
        <f t="shared" ca="1" si="423"/>
        <v>0</v>
      </c>
      <c r="D9070">
        <f t="shared" ca="1" si="424"/>
        <v>6354.3133823083845</v>
      </c>
    </row>
    <row r="9071" spans="2:4" x14ac:dyDescent="0.25">
      <c r="B9071">
        <f t="shared" ca="1" si="425"/>
        <v>44773.987264734969</v>
      </c>
      <c r="C9071">
        <f t="shared" ca="1" si="423"/>
        <v>0</v>
      </c>
      <c r="D9071">
        <f t="shared" ca="1" si="424"/>
        <v>4773.9872647349694</v>
      </c>
    </row>
    <row r="9072" spans="2:4" x14ac:dyDescent="0.25">
      <c r="B9072">
        <f t="shared" ca="1" si="425"/>
        <v>49405.618559999435</v>
      </c>
      <c r="C9072">
        <f t="shared" ca="1" si="423"/>
        <v>0</v>
      </c>
      <c r="D9072">
        <f t="shared" ca="1" si="424"/>
        <v>9405.6185599994351</v>
      </c>
    </row>
    <row r="9073" spans="2:4" x14ac:dyDescent="0.25">
      <c r="B9073">
        <f t="shared" ca="1" si="425"/>
        <v>42209.667285874457</v>
      </c>
      <c r="C9073">
        <f t="shared" ca="1" si="423"/>
        <v>0</v>
      </c>
      <c r="D9073">
        <f t="shared" ca="1" si="424"/>
        <v>2209.6672858744569</v>
      </c>
    </row>
    <row r="9074" spans="2:4" x14ac:dyDescent="0.25">
      <c r="B9074">
        <f t="shared" ca="1" si="425"/>
        <v>40834.002639181213</v>
      </c>
      <c r="C9074">
        <f t="shared" ca="1" si="423"/>
        <v>0</v>
      </c>
      <c r="D9074">
        <f t="shared" ca="1" si="424"/>
        <v>834.00263918121345</v>
      </c>
    </row>
    <row r="9075" spans="2:4" x14ac:dyDescent="0.25">
      <c r="B9075">
        <f t="shared" ca="1" si="425"/>
        <v>40533.271608547235</v>
      </c>
      <c r="C9075">
        <f t="shared" ca="1" si="423"/>
        <v>0</v>
      </c>
      <c r="D9075">
        <f t="shared" ca="1" si="424"/>
        <v>533.27160854723479</v>
      </c>
    </row>
    <row r="9076" spans="2:4" x14ac:dyDescent="0.25">
      <c r="B9076">
        <f t="shared" ca="1" si="425"/>
        <v>49645.474325925345</v>
      </c>
      <c r="C9076">
        <f t="shared" ca="1" si="423"/>
        <v>0</v>
      </c>
      <c r="D9076">
        <f t="shared" ca="1" si="424"/>
        <v>9645.4743259253446</v>
      </c>
    </row>
    <row r="9077" spans="2:4" x14ac:dyDescent="0.25">
      <c r="B9077">
        <f t="shared" ca="1" si="425"/>
        <v>49201.526473461272</v>
      </c>
      <c r="C9077">
        <f t="shared" ca="1" si="423"/>
        <v>0</v>
      </c>
      <c r="D9077">
        <f t="shared" ca="1" si="424"/>
        <v>9201.526473461272</v>
      </c>
    </row>
    <row r="9078" spans="2:4" x14ac:dyDescent="0.25">
      <c r="B9078">
        <f t="shared" ca="1" si="425"/>
        <v>51330.748850231175</v>
      </c>
      <c r="C9078">
        <f t="shared" ca="1" si="423"/>
        <v>0</v>
      </c>
      <c r="D9078">
        <f t="shared" ca="1" si="424"/>
        <v>11330.748850231175</v>
      </c>
    </row>
    <row r="9079" spans="2:4" x14ac:dyDescent="0.25">
      <c r="B9079">
        <f t="shared" ca="1" si="425"/>
        <v>42531.238808973416</v>
      </c>
      <c r="C9079">
        <f t="shared" ca="1" si="423"/>
        <v>0</v>
      </c>
      <c r="D9079">
        <f t="shared" ca="1" si="424"/>
        <v>2531.2388089734159</v>
      </c>
    </row>
    <row r="9080" spans="2:4" x14ac:dyDescent="0.25">
      <c r="B9080">
        <f t="shared" ca="1" si="425"/>
        <v>36528.203484947058</v>
      </c>
      <c r="C9080">
        <f t="shared" ca="1" si="423"/>
        <v>3471.7965150529417</v>
      </c>
      <c r="D9080">
        <f t="shared" ca="1" si="424"/>
        <v>0</v>
      </c>
    </row>
    <row r="9081" spans="2:4" x14ac:dyDescent="0.25">
      <c r="B9081">
        <f t="shared" ca="1" si="425"/>
        <v>50245.93797423139</v>
      </c>
      <c r="C9081">
        <f t="shared" ca="1" si="423"/>
        <v>0</v>
      </c>
      <c r="D9081">
        <f t="shared" ca="1" si="424"/>
        <v>10245.93797423139</v>
      </c>
    </row>
    <row r="9082" spans="2:4" x14ac:dyDescent="0.25">
      <c r="B9082">
        <f t="shared" ca="1" si="425"/>
        <v>44437.244997852278</v>
      </c>
      <c r="C9082">
        <f t="shared" ca="1" si="423"/>
        <v>0</v>
      </c>
      <c r="D9082">
        <f t="shared" ca="1" si="424"/>
        <v>4437.2449978522782</v>
      </c>
    </row>
    <row r="9083" spans="2:4" x14ac:dyDescent="0.25">
      <c r="B9083">
        <f t="shared" ca="1" si="425"/>
        <v>46486.999023151024</v>
      </c>
      <c r="C9083">
        <f t="shared" ca="1" si="423"/>
        <v>0</v>
      </c>
      <c r="D9083">
        <f t="shared" ca="1" si="424"/>
        <v>6486.9990231510237</v>
      </c>
    </row>
    <row r="9084" spans="2:4" x14ac:dyDescent="0.25">
      <c r="B9084">
        <f t="shared" ca="1" si="425"/>
        <v>41140.820600184197</v>
      </c>
      <c r="C9084">
        <f t="shared" ca="1" si="423"/>
        <v>0</v>
      </c>
      <c r="D9084">
        <f t="shared" ca="1" si="424"/>
        <v>1140.8206001841972</v>
      </c>
    </row>
    <row r="9085" spans="2:4" x14ac:dyDescent="0.25">
      <c r="B9085">
        <f t="shared" ca="1" si="425"/>
        <v>50555.409370444824</v>
      </c>
      <c r="C9085">
        <f t="shared" ca="1" si="423"/>
        <v>0</v>
      </c>
      <c r="D9085">
        <f t="shared" ca="1" si="424"/>
        <v>10555.409370444824</v>
      </c>
    </row>
    <row r="9086" spans="2:4" x14ac:dyDescent="0.25">
      <c r="B9086">
        <f t="shared" ca="1" si="425"/>
        <v>50137.770125974945</v>
      </c>
      <c r="C9086">
        <f t="shared" ca="1" si="423"/>
        <v>0</v>
      </c>
      <c r="D9086">
        <f t="shared" ca="1" si="424"/>
        <v>10137.770125974945</v>
      </c>
    </row>
    <row r="9087" spans="2:4" x14ac:dyDescent="0.25">
      <c r="B9087">
        <f t="shared" ca="1" si="425"/>
        <v>52055.449684687504</v>
      </c>
      <c r="C9087">
        <f t="shared" ca="1" si="423"/>
        <v>0</v>
      </c>
      <c r="D9087">
        <f t="shared" ca="1" si="424"/>
        <v>12055.449684687504</v>
      </c>
    </row>
    <row r="9088" spans="2:4" x14ac:dyDescent="0.25">
      <c r="B9088">
        <f t="shared" ca="1" si="425"/>
        <v>47546.556100851303</v>
      </c>
      <c r="C9088">
        <f t="shared" ca="1" si="423"/>
        <v>0</v>
      </c>
      <c r="D9088">
        <f t="shared" ca="1" si="424"/>
        <v>7546.5561008513032</v>
      </c>
    </row>
    <row r="9089" spans="2:4" x14ac:dyDescent="0.25">
      <c r="B9089">
        <f t="shared" ca="1" si="425"/>
        <v>39414.220911862532</v>
      </c>
      <c r="C9089">
        <f t="shared" ca="1" si="423"/>
        <v>585.77908813746762</v>
      </c>
      <c r="D9089">
        <f t="shared" ca="1" si="424"/>
        <v>0</v>
      </c>
    </row>
    <row r="9090" spans="2:4" x14ac:dyDescent="0.25">
      <c r="B9090">
        <f t="shared" ca="1" si="425"/>
        <v>52198.1731299803</v>
      </c>
      <c r="C9090">
        <f t="shared" ca="1" si="423"/>
        <v>0</v>
      </c>
      <c r="D9090">
        <f t="shared" ca="1" si="424"/>
        <v>12198.1731299803</v>
      </c>
    </row>
    <row r="9091" spans="2:4" x14ac:dyDescent="0.25">
      <c r="B9091">
        <f t="shared" ca="1" si="425"/>
        <v>38549.545422508578</v>
      </c>
      <c r="C9091">
        <f t="shared" ca="1" si="423"/>
        <v>1450.4545774914222</v>
      </c>
      <c r="D9091">
        <f t="shared" ca="1" si="424"/>
        <v>0</v>
      </c>
    </row>
    <row r="9092" spans="2:4" x14ac:dyDescent="0.25">
      <c r="B9092">
        <f t="shared" ca="1" si="425"/>
        <v>43741.419152864037</v>
      </c>
      <c r="C9092">
        <f t="shared" ca="1" si="423"/>
        <v>0</v>
      </c>
      <c r="D9092">
        <f t="shared" ca="1" si="424"/>
        <v>3741.4191528640367</v>
      </c>
    </row>
    <row r="9093" spans="2:4" x14ac:dyDescent="0.25">
      <c r="B9093">
        <f t="shared" ca="1" si="425"/>
        <v>50569.554044824974</v>
      </c>
      <c r="C9093">
        <f t="shared" ca="1" si="423"/>
        <v>0</v>
      </c>
      <c r="D9093">
        <f t="shared" ca="1" si="424"/>
        <v>10569.554044824974</v>
      </c>
    </row>
    <row r="9094" spans="2:4" x14ac:dyDescent="0.25">
      <c r="B9094">
        <f t="shared" ca="1" si="425"/>
        <v>44310.772916001704</v>
      </c>
      <c r="C9094">
        <f t="shared" ca="1" si="423"/>
        <v>0</v>
      </c>
      <c r="D9094">
        <f t="shared" ca="1" si="424"/>
        <v>4310.7729160017043</v>
      </c>
    </row>
    <row r="9095" spans="2:4" x14ac:dyDescent="0.25">
      <c r="B9095">
        <f t="shared" ca="1" si="425"/>
        <v>43821.015282023996</v>
      </c>
      <c r="C9095">
        <f t="shared" ca="1" si="423"/>
        <v>0</v>
      </c>
      <c r="D9095">
        <f t="shared" ca="1" si="424"/>
        <v>3821.0152820239964</v>
      </c>
    </row>
    <row r="9096" spans="2:4" x14ac:dyDescent="0.25">
      <c r="B9096">
        <f t="shared" ca="1" si="425"/>
        <v>44687.121214199418</v>
      </c>
      <c r="C9096">
        <f t="shared" ca="1" si="423"/>
        <v>0</v>
      </c>
      <c r="D9096">
        <f t="shared" ca="1" si="424"/>
        <v>4687.1212141994183</v>
      </c>
    </row>
    <row r="9097" spans="2:4" x14ac:dyDescent="0.25">
      <c r="B9097">
        <f t="shared" ca="1" si="425"/>
        <v>40631.553226698255</v>
      </c>
      <c r="C9097">
        <f t="shared" ca="1" si="423"/>
        <v>0</v>
      </c>
      <c r="D9097">
        <f t="shared" ca="1" si="424"/>
        <v>631.55322669825546</v>
      </c>
    </row>
    <row r="9098" spans="2:4" x14ac:dyDescent="0.25">
      <c r="B9098">
        <f t="shared" ca="1" si="425"/>
        <v>43667.448437667335</v>
      </c>
      <c r="C9098">
        <f t="shared" ca="1" si="423"/>
        <v>0</v>
      </c>
      <c r="D9098">
        <f t="shared" ca="1" si="424"/>
        <v>3667.4484376673354</v>
      </c>
    </row>
    <row r="9099" spans="2:4" x14ac:dyDescent="0.25">
      <c r="B9099">
        <f t="shared" ca="1" si="425"/>
        <v>44292.93252028124</v>
      </c>
      <c r="C9099">
        <f t="shared" ca="1" si="423"/>
        <v>0</v>
      </c>
      <c r="D9099">
        <f t="shared" ca="1" si="424"/>
        <v>4292.9325202812397</v>
      </c>
    </row>
    <row r="9100" spans="2:4" x14ac:dyDescent="0.25">
      <c r="B9100">
        <f t="shared" ca="1" si="425"/>
        <v>40354.795775879364</v>
      </c>
      <c r="C9100">
        <f t="shared" ref="C9100:C9163" ca="1" si="426">IF(MAX($B$2-B9100)&lt;0,0,$B$2-B9100)</f>
        <v>0</v>
      </c>
      <c r="D9100">
        <f t="shared" ref="D9100:D9163" ca="1" si="427">IF(MAX(B9100-$B$2)&lt;0,0,B9100-$B$2)</f>
        <v>354.79577587936365</v>
      </c>
    </row>
    <row r="9101" spans="2:4" x14ac:dyDescent="0.25">
      <c r="B9101">
        <f t="shared" ref="B9101:B9164" ca="1" si="428">$B$1*EXP((($B$4-($B$3^2)/2)*$B$5+$B$3*SQRT($B$5)*NORMSINV(RAND())))</f>
        <v>51497.769536501619</v>
      </c>
      <c r="C9101">
        <f t="shared" ca="1" si="426"/>
        <v>0</v>
      </c>
      <c r="D9101">
        <f t="shared" ca="1" si="427"/>
        <v>11497.769536501619</v>
      </c>
    </row>
    <row r="9102" spans="2:4" x14ac:dyDescent="0.25">
      <c r="B9102">
        <f t="shared" ca="1" si="428"/>
        <v>39164.675727226153</v>
      </c>
      <c r="C9102">
        <f t="shared" ca="1" si="426"/>
        <v>835.32427277384704</v>
      </c>
      <c r="D9102">
        <f t="shared" ca="1" si="427"/>
        <v>0</v>
      </c>
    </row>
    <row r="9103" spans="2:4" x14ac:dyDescent="0.25">
      <c r="B9103">
        <f t="shared" ca="1" si="428"/>
        <v>41169.707120138548</v>
      </c>
      <c r="C9103">
        <f t="shared" ca="1" si="426"/>
        <v>0</v>
      </c>
      <c r="D9103">
        <f t="shared" ca="1" si="427"/>
        <v>1169.7071201385479</v>
      </c>
    </row>
    <row r="9104" spans="2:4" x14ac:dyDescent="0.25">
      <c r="B9104">
        <f t="shared" ca="1" si="428"/>
        <v>47002.650069477706</v>
      </c>
      <c r="C9104">
        <f t="shared" ca="1" si="426"/>
        <v>0</v>
      </c>
      <c r="D9104">
        <f t="shared" ca="1" si="427"/>
        <v>7002.650069477706</v>
      </c>
    </row>
    <row r="9105" spans="2:4" x14ac:dyDescent="0.25">
      <c r="B9105">
        <f t="shared" ca="1" si="428"/>
        <v>41094.959978518404</v>
      </c>
      <c r="C9105">
        <f t="shared" ca="1" si="426"/>
        <v>0</v>
      </c>
      <c r="D9105">
        <f t="shared" ca="1" si="427"/>
        <v>1094.9599785184037</v>
      </c>
    </row>
    <row r="9106" spans="2:4" x14ac:dyDescent="0.25">
      <c r="B9106">
        <f t="shared" ca="1" si="428"/>
        <v>41435.928085445907</v>
      </c>
      <c r="C9106">
        <f t="shared" ca="1" si="426"/>
        <v>0</v>
      </c>
      <c r="D9106">
        <f t="shared" ca="1" si="427"/>
        <v>1435.9280854459066</v>
      </c>
    </row>
    <row r="9107" spans="2:4" x14ac:dyDescent="0.25">
      <c r="B9107">
        <f t="shared" ca="1" si="428"/>
        <v>44856.165858197324</v>
      </c>
      <c r="C9107">
        <f t="shared" ca="1" si="426"/>
        <v>0</v>
      </c>
      <c r="D9107">
        <f t="shared" ca="1" si="427"/>
        <v>4856.1658581973243</v>
      </c>
    </row>
    <row r="9108" spans="2:4" x14ac:dyDescent="0.25">
      <c r="B9108">
        <f t="shared" ca="1" si="428"/>
        <v>44549.380314500646</v>
      </c>
      <c r="C9108">
        <f t="shared" ca="1" si="426"/>
        <v>0</v>
      </c>
      <c r="D9108">
        <f t="shared" ca="1" si="427"/>
        <v>4549.3803145006459</v>
      </c>
    </row>
    <row r="9109" spans="2:4" x14ac:dyDescent="0.25">
      <c r="B9109">
        <f t="shared" ca="1" si="428"/>
        <v>45563.407532632882</v>
      </c>
      <c r="C9109">
        <f t="shared" ca="1" si="426"/>
        <v>0</v>
      </c>
      <c r="D9109">
        <f t="shared" ca="1" si="427"/>
        <v>5563.4075326328821</v>
      </c>
    </row>
    <row r="9110" spans="2:4" x14ac:dyDescent="0.25">
      <c r="B9110">
        <f t="shared" ca="1" si="428"/>
        <v>44579.932462017146</v>
      </c>
      <c r="C9110">
        <f t="shared" ca="1" si="426"/>
        <v>0</v>
      </c>
      <c r="D9110">
        <f t="shared" ca="1" si="427"/>
        <v>4579.9324620171465</v>
      </c>
    </row>
    <row r="9111" spans="2:4" x14ac:dyDescent="0.25">
      <c r="B9111">
        <f t="shared" ca="1" si="428"/>
        <v>39809.361936266738</v>
      </c>
      <c r="C9111">
        <f t="shared" ca="1" si="426"/>
        <v>190.63806373326224</v>
      </c>
      <c r="D9111">
        <f t="shared" ca="1" si="427"/>
        <v>0</v>
      </c>
    </row>
    <row r="9112" spans="2:4" x14ac:dyDescent="0.25">
      <c r="B9112">
        <f t="shared" ca="1" si="428"/>
        <v>46709.757311856622</v>
      </c>
      <c r="C9112">
        <f t="shared" ca="1" si="426"/>
        <v>0</v>
      </c>
      <c r="D9112">
        <f t="shared" ca="1" si="427"/>
        <v>6709.7573118566215</v>
      </c>
    </row>
    <row r="9113" spans="2:4" x14ac:dyDescent="0.25">
      <c r="B9113">
        <f t="shared" ca="1" si="428"/>
        <v>45316.911010806158</v>
      </c>
      <c r="C9113">
        <f t="shared" ca="1" si="426"/>
        <v>0</v>
      </c>
      <c r="D9113">
        <f t="shared" ca="1" si="427"/>
        <v>5316.9110108061577</v>
      </c>
    </row>
    <row r="9114" spans="2:4" x14ac:dyDescent="0.25">
      <c r="B9114">
        <f t="shared" ca="1" si="428"/>
        <v>41148.560781898414</v>
      </c>
      <c r="C9114">
        <f t="shared" ca="1" si="426"/>
        <v>0</v>
      </c>
      <c r="D9114">
        <f t="shared" ca="1" si="427"/>
        <v>1148.5607818984136</v>
      </c>
    </row>
    <row r="9115" spans="2:4" x14ac:dyDescent="0.25">
      <c r="B9115">
        <f t="shared" ca="1" si="428"/>
        <v>52131.734458909581</v>
      </c>
      <c r="C9115">
        <f t="shared" ca="1" si="426"/>
        <v>0</v>
      </c>
      <c r="D9115">
        <f t="shared" ca="1" si="427"/>
        <v>12131.734458909581</v>
      </c>
    </row>
    <row r="9116" spans="2:4" x14ac:dyDescent="0.25">
      <c r="B9116">
        <f t="shared" ca="1" si="428"/>
        <v>39730.04122658079</v>
      </c>
      <c r="C9116">
        <f t="shared" ca="1" si="426"/>
        <v>269.95877341921005</v>
      </c>
      <c r="D9116">
        <f t="shared" ca="1" si="427"/>
        <v>0</v>
      </c>
    </row>
    <row r="9117" spans="2:4" x14ac:dyDescent="0.25">
      <c r="B9117">
        <f t="shared" ca="1" si="428"/>
        <v>47042.755555102493</v>
      </c>
      <c r="C9117">
        <f t="shared" ca="1" si="426"/>
        <v>0</v>
      </c>
      <c r="D9117">
        <f t="shared" ca="1" si="427"/>
        <v>7042.7555551024925</v>
      </c>
    </row>
    <row r="9118" spans="2:4" x14ac:dyDescent="0.25">
      <c r="B9118">
        <f t="shared" ca="1" si="428"/>
        <v>47986.299259022526</v>
      </c>
      <c r="C9118">
        <f t="shared" ca="1" si="426"/>
        <v>0</v>
      </c>
      <c r="D9118">
        <f t="shared" ca="1" si="427"/>
        <v>7986.2992590225258</v>
      </c>
    </row>
    <row r="9119" spans="2:4" x14ac:dyDescent="0.25">
      <c r="B9119">
        <f t="shared" ca="1" si="428"/>
        <v>44060.652980117135</v>
      </c>
      <c r="C9119">
        <f t="shared" ca="1" si="426"/>
        <v>0</v>
      </c>
      <c r="D9119">
        <f t="shared" ca="1" si="427"/>
        <v>4060.6529801171346</v>
      </c>
    </row>
    <row r="9120" spans="2:4" x14ac:dyDescent="0.25">
      <c r="B9120">
        <f t="shared" ca="1" si="428"/>
        <v>47089.322261239809</v>
      </c>
      <c r="C9120">
        <f t="shared" ca="1" si="426"/>
        <v>0</v>
      </c>
      <c r="D9120">
        <f t="shared" ca="1" si="427"/>
        <v>7089.3222612398094</v>
      </c>
    </row>
    <row r="9121" spans="2:4" x14ac:dyDescent="0.25">
      <c r="B9121">
        <f t="shared" ca="1" si="428"/>
        <v>50718.515763601456</v>
      </c>
      <c r="C9121">
        <f t="shared" ca="1" si="426"/>
        <v>0</v>
      </c>
      <c r="D9121">
        <f t="shared" ca="1" si="427"/>
        <v>10718.515763601456</v>
      </c>
    </row>
    <row r="9122" spans="2:4" x14ac:dyDescent="0.25">
      <c r="B9122">
        <f t="shared" ca="1" si="428"/>
        <v>43412.37667762614</v>
      </c>
      <c r="C9122">
        <f t="shared" ca="1" si="426"/>
        <v>0</v>
      </c>
      <c r="D9122">
        <f t="shared" ca="1" si="427"/>
        <v>3412.37667762614</v>
      </c>
    </row>
    <row r="9123" spans="2:4" x14ac:dyDescent="0.25">
      <c r="B9123">
        <f t="shared" ca="1" si="428"/>
        <v>39411.184770064698</v>
      </c>
      <c r="C9123">
        <f t="shared" ca="1" si="426"/>
        <v>588.81522993530234</v>
      </c>
      <c r="D9123">
        <f t="shared" ca="1" si="427"/>
        <v>0</v>
      </c>
    </row>
    <row r="9124" spans="2:4" x14ac:dyDescent="0.25">
      <c r="B9124">
        <f t="shared" ca="1" si="428"/>
        <v>41672.684635356112</v>
      </c>
      <c r="C9124">
        <f t="shared" ca="1" si="426"/>
        <v>0</v>
      </c>
      <c r="D9124">
        <f t="shared" ca="1" si="427"/>
        <v>1672.6846353561123</v>
      </c>
    </row>
    <row r="9125" spans="2:4" x14ac:dyDescent="0.25">
      <c r="B9125">
        <f t="shared" ca="1" si="428"/>
        <v>35129.555047224385</v>
      </c>
      <c r="C9125">
        <f t="shared" ca="1" si="426"/>
        <v>4870.4449527756151</v>
      </c>
      <c r="D9125">
        <f t="shared" ca="1" si="427"/>
        <v>0</v>
      </c>
    </row>
    <row r="9126" spans="2:4" x14ac:dyDescent="0.25">
      <c r="B9126">
        <f t="shared" ca="1" si="428"/>
        <v>57565.357749394534</v>
      </c>
      <c r="C9126">
        <f t="shared" ca="1" si="426"/>
        <v>0</v>
      </c>
      <c r="D9126">
        <f t="shared" ca="1" si="427"/>
        <v>17565.357749394534</v>
      </c>
    </row>
    <row r="9127" spans="2:4" x14ac:dyDescent="0.25">
      <c r="B9127">
        <f t="shared" ca="1" si="428"/>
        <v>47187.179715984297</v>
      </c>
      <c r="C9127">
        <f t="shared" ca="1" si="426"/>
        <v>0</v>
      </c>
      <c r="D9127">
        <f t="shared" ca="1" si="427"/>
        <v>7187.1797159842972</v>
      </c>
    </row>
    <row r="9128" spans="2:4" x14ac:dyDescent="0.25">
      <c r="B9128">
        <f t="shared" ca="1" si="428"/>
        <v>47156.697849530952</v>
      </c>
      <c r="C9128">
        <f t="shared" ca="1" si="426"/>
        <v>0</v>
      </c>
      <c r="D9128">
        <f t="shared" ca="1" si="427"/>
        <v>7156.6978495309522</v>
      </c>
    </row>
    <row r="9129" spans="2:4" x14ac:dyDescent="0.25">
      <c r="B9129">
        <f t="shared" ca="1" si="428"/>
        <v>49070.568027981666</v>
      </c>
      <c r="C9129">
        <f t="shared" ca="1" si="426"/>
        <v>0</v>
      </c>
      <c r="D9129">
        <f t="shared" ca="1" si="427"/>
        <v>9070.5680279816661</v>
      </c>
    </row>
    <row r="9130" spans="2:4" x14ac:dyDescent="0.25">
      <c r="B9130">
        <f t="shared" ca="1" si="428"/>
        <v>50791.21934968944</v>
      </c>
      <c r="C9130">
        <f t="shared" ca="1" si="426"/>
        <v>0</v>
      </c>
      <c r="D9130">
        <f t="shared" ca="1" si="427"/>
        <v>10791.21934968944</v>
      </c>
    </row>
    <row r="9131" spans="2:4" x14ac:dyDescent="0.25">
      <c r="B9131">
        <f t="shared" ca="1" si="428"/>
        <v>46342.727782366193</v>
      </c>
      <c r="C9131">
        <f t="shared" ca="1" si="426"/>
        <v>0</v>
      </c>
      <c r="D9131">
        <f t="shared" ca="1" si="427"/>
        <v>6342.7277823661934</v>
      </c>
    </row>
    <row r="9132" spans="2:4" x14ac:dyDescent="0.25">
      <c r="B9132">
        <f t="shared" ca="1" si="428"/>
        <v>51111.777476051029</v>
      </c>
      <c r="C9132">
        <f t="shared" ca="1" si="426"/>
        <v>0</v>
      </c>
      <c r="D9132">
        <f t="shared" ca="1" si="427"/>
        <v>11111.777476051029</v>
      </c>
    </row>
    <row r="9133" spans="2:4" x14ac:dyDescent="0.25">
      <c r="B9133">
        <f t="shared" ca="1" si="428"/>
        <v>44693.771457915413</v>
      </c>
      <c r="C9133">
        <f t="shared" ca="1" si="426"/>
        <v>0</v>
      </c>
      <c r="D9133">
        <f t="shared" ca="1" si="427"/>
        <v>4693.7714579154126</v>
      </c>
    </row>
    <row r="9134" spans="2:4" x14ac:dyDescent="0.25">
      <c r="B9134">
        <f t="shared" ca="1" si="428"/>
        <v>46545.908351813741</v>
      </c>
      <c r="C9134">
        <f t="shared" ca="1" si="426"/>
        <v>0</v>
      </c>
      <c r="D9134">
        <f t="shared" ca="1" si="427"/>
        <v>6545.9083518137413</v>
      </c>
    </row>
    <row r="9135" spans="2:4" x14ac:dyDescent="0.25">
      <c r="B9135">
        <f t="shared" ca="1" si="428"/>
        <v>43909.504626902002</v>
      </c>
      <c r="C9135">
        <f t="shared" ca="1" si="426"/>
        <v>0</v>
      </c>
      <c r="D9135">
        <f t="shared" ca="1" si="427"/>
        <v>3909.5046269020022</v>
      </c>
    </row>
    <row r="9136" spans="2:4" x14ac:dyDescent="0.25">
      <c r="B9136">
        <f t="shared" ca="1" si="428"/>
        <v>41669.227093955174</v>
      </c>
      <c r="C9136">
        <f t="shared" ca="1" si="426"/>
        <v>0</v>
      </c>
      <c r="D9136">
        <f t="shared" ca="1" si="427"/>
        <v>1669.2270939551745</v>
      </c>
    </row>
    <row r="9137" spans="2:4" x14ac:dyDescent="0.25">
      <c r="B9137">
        <f t="shared" ca="1" si="428"/>
        <v>44111.553452966953</v>
      </c>
      <c r="C9137">
        <f t="shared" ca="1" si="426"/>
        <v>0</v>
      </c>
      <c r="D9137">
        <f t="shared" ca="1" si="427"/>
        <v>4111.553452966953</v>
      </c>
    </row>
    <row r="9138" spans="2:4" x14ac:dyDescent="0.25">
      <c r="B9138">
        <f t="shared" ca="1" si="428"/>
        <v>52583.519662697465</v>
      </c>
      <c r="C9138">
        <f t="shared" ca="1" si="426"/>
        <v>0</v>
      </c>
      <c r="D9138">
        <f t="shared" ca="1" si="427"/>
        <v>12583.519662697465</v>
      </c>
    </row>
    <row r="9139" spans="2:4" x14ac:dyDescent="0.25">
      <c r="B9139">
        <f t="shared" ca="1" si="428"/>
        <v>45776.491741101301</v>
      </c>
      <c r="C9139">
        <f t="shared" ca="1" si="426"/>
        <v>0</v>
      </c>
      <c r="D9139">
        <f t="shared" ca="1" si="427"/>
        <v>5776.4917411013012</v>
      </c>
    </row>
    <row r="9140" spans="2:4" x14ac:dyDescent="0.25">
      <c r="B9140">
        <f t="shared" ca="1" si="428"/>
        <v>45094.934033202146</v>
      </c>
      <c r="C9140">
        <f t="shared" ca="1" si="426"/>
        <v>0</v>
      </c>
      <c r="D9140">
        <f t="shared" ca="1" si="427"/>
        <v>5094.9340332021457</v>
      </c>
    </row>
    <row r="9141" spans="2:4" x14ac:dyDescent="0.25">
      <c r="B9141">
        <f t="shared" ca="1" si="428"/>
        <v>50093.123692469002</v>
      </c>
      <c r="C9141">
        <f t="shared" ca="1" si="426"/>
        <v>0</v>
      </c>
      <c r="D9141">
        <f t="shared" ca="1" si="427"/>
        <v>10093.123692469002</v>
      </c>
    </row>
    <row r="9142" spans="2:4" x14ac:dyDescent="0.25">
      <c r="B9142">
        <f t="shared" ca="1" si="428"/>
        <v>37895.417749190834</v>
      </c>
      <c r="C9142">
        <f t="shared" ca="1" si="426"/>
        <v>2104.582250809166</v>
      </c>
      <c r="D9142">
        <f t="shared" ca="1" si="427"/>
        <v>0</v>
      </c>
    </row>
    <row r="9143" spans="2:4" x14ac:dyDescent="0.25">
      <c r="B9143">
        <f t="shared" ca="1" si="428"/>
        <v>44884.230048606049</v>
      </c>
      <c r="C9143">
        <f t="shared" ca="1" si="426"/>
        <v>0</v>
      </c>
      <c r="D9143">
        <f t="shared" ca="1" si="427"/>
        <v>4884.2300486060485</v>
      </c>
    </row>
    <row r="9144" spans="2:4" x14ac:dyDescent="0.25">
      <c r="B9144">
        <f t="shared" ca="1" si="428"/>
        <v>55089.197372335904</v>
      </c>
      <c r="C9144">
        <f t="shared" ca="1" si="426"/>
        <v>0</v>
      </c>
      <c r="D9144">
        <f t="shared" ca="1" si="427"/>
        <v>15089.197372335904</v>
      </c>
    </row>
    <row r="9145" spans="2:4" x14ac:dyDescent="0.25">
      <c r="B9145">
        <f t="shared" ca="1" si="428"/>
        <v>47427.887761642378</v>
      </c>
      <c r="C9145">
        <f t="shared" ca="1" si="426"/>
        <v>0</v>
      </c>
      <c r="D9145">
        <f t="shared" ca="1" si="427"/>
        <v>7427.8877616423779</v>
      </c>
    </row>
    <row r="9146" spans="2:4" x14ac:dyDescent="0.25">
      <c r="B9146">
        <f t="shared" ca="1" si="428"/>
        <v>45235.612623388821</v>
      </c>
      <c r="C9146">
        <f t="shared" ca="1" si="426"/>
        <v>0</v>
      </c>
      <c r="D9146">
        <f t="shared" ca="1" si="427"/>
        <v>5235.6126233888208</v>
      </c>
    </row>
    <row r="9147" spans="2:4" x14ac:dyDescent="0.25">
      <c r="B9147">
        <f t="shared" ca="1" si="428"/>
        <v>32447.176205321535</v>
      </c>
      <c r="C9147">
        <f t="shared" ca="1" si="426"/>
        <v>7552.8237946784648</v>
      </c>
      <c r="D9147">
        <f t="shared" ca="1" si="427"/>
        <v>0</v>
      </c>
    </row>
    <row r="9148" spans="2:4" x14ac:dyDescent="0.25">
      <c r="B9148">
        <f t="shared" ca="1" si="428"/>
        <v>36515.734900558928</v>
      </c>
      <c r="C9148">
        <f t="shared" ca="1" si="426"/>
        <v>3484.2650994410724</v>
      </c>
      <c r="D9148">
        <f t="shared" ca="1" si="427"/>
        <v>0</v>
      </c>
    </row>
    <row r="9149" spans="2:4" x14ac:dyDescent="0.25">
      <c r="B9149">
        <f t="shared" ca="1" si="428"/>
        <v>41024.096254879056</v>
      </c>
      <c r="C9149">
        <f t="shared" ca="1" si="426"/>
        <v>0</v>
      </c>
      <c r="D9149">
        <f t="shared" ca="1" si="427"/>
        <v>1024.0962548790558</v>
      </c>
    </row>
    <row r="9150" spans="2:4" x14ac:dyDescent="0.25">
      <c r="B9150">
        <f t="shared" ca="1" si="428"/>
        <v>49484.793986102683</v>
      </c>
      <c r="C9150">
        <f t="shared" ca="1" si="426"/>
        <v>0</v>
      </c>
      <c r="D9150">
        <f t="shared" ca="1" si="427"/>
        <v>9484.7939861026825</v>
      </c>
    </row>
    <row r="9151" spans="2:4" x14ac:dyDescent="0.25">
      <c r="B9151">
        <f t="shared" ca="1" si="428"/>
        <v>42400.264736513498</v>
      </c>
      <c r="C9151">
        <f t="shared" ca="1" si="426"/>
        <v>0</v>
      </c>
      <c r="D9151">
        <f t="shared" ca="1" si="427"/>
        <v>2400.2647365134981</v>
      </c>
    </row>
    <row r="9152" spans="2:4" x14ac:dyDescent="0.25">
      <c r="B9152">
        <f t="shared" ca="1" si="428"/>
        <v>46043.177236459436</v>
      </c>
      <c r="C9152">
        <f t="shared" ca="1" si="426"/>
        <v>0</v>
      </c>
      <c r="D9152">
        <f t="shared" ca="1" si="427"/>
        <v>6043.1772364594362</v>
      </c>
    </row>
    <row r="9153" spans="2:4" x14ac:dyDescent="0.25">
      <c r="B9153">
        <f t="shared" ca="1" si="428"/>
        <v>44111.363754152611</v>
      </c>
      <c r="C9153">
        <f t="shared" ca="1" si="426"/>
        <v>0</v>
      </c>
      <c r="D9153">
        <f t="shared" ca="1" si="427"/>
        <v>4111.3637541526114</v>
      </c>
    </row>
    <row r="9154" spans="2:4" x14ac:dyDescent="0.25">
      <c r="B9154">
        <f t="shared" ca="1" si="428"/>
        <v>44909.757962203686</v>
      </c>
      <c r="C9154">
        <f t="shared" ca="1" si="426"/>
        <v>0</v>
      </c>
      <c r="D9154">
        <f t="shared" ca="1" si="427"/>
        <v>4909.7579622036865</v>
      </c>
    </row>
    <row r="9155" spans="2:4" x14ac:dyDescent="0.25">
      <c r="B9155">
        <f t="shared" ca="1" si="428"/>
        <v>49576.145181960666</v>
      </c>
      <c r="C9155">
        <f t="shared" ca="1" si="426"/>
        <v>0</v>
      </c>
      <c r="D9155">
        <f t="shared" ca="1" si="427"/>
        <v>9576.1451819606664</v>
      </c>
    </row>
    <row r="9156" spans="2:4" x14ac:dyDescent="0.25">
      <c r="B9156">
        <f t="shared" ca="1" si="428"/>
        <v>46655.434258904796</v>
      </c>
      <c r="C9156">
        <f t="shared" ca="1" si="426"/>
        <v>0</v>
      </c>
      <c r="D9156">
        <f t="shared" ca="1" si="427"/>
        <v>6655.4342589047956</v>
      </c>
    </row>
    <row r="9157" spans="2:4" x14ac:dyDescent="0.25">
      <c r="B9157">
        <f t="shared" ca="1" si="428"/>
        <v>52956.310767141731</v>
      </c>
      <c r="C9157">
        <f t="shared" ca="1" si="426"/>
        <v>0</v>
      </c>
      <c r="D9157">
        <f t="shared" ca="1" si="427"/>
        <v>12956.310767141731</v>
      </c>
    </row>
    <row r="9158" spans="2:4" x14ac:dyDescent="0.25">
      <c r="B9158">
        <f t="shared" ca="1" si="428"/>
        <v>36761.389514993585</v>
      </c>
      <c r="C9158">
        <f t="shared" ca="1" si="426"/>
        <v>3238.6104850064148</v>
      </c>
      <c r="D9158">
        <f t="shared" ca="1" si="427"/>
        <v>0</v>
      </c>
    </row>
    <row r="9159" spans="2:4" x14ac:dyDescent="0.25">
      <c r="B9159">
        <f t="shared" ca="1" si="428"/>
        <v>51266.654443067579</v>
      </c>
      <c r="C9159">
        <f t="shared" ca="1" si="426"/>
        <v>0</v>
      </c>
      <c r="D9159">
        <f t="shared" ca="1" si="427"/>
        <v>11266.654443067579</v>
      </c>
    </row>
    <row r="9160" spans="2:4" x14ac:dyDescent="0.25">
      <c r="B9160">
        <f t="shared" ca="1" si="428"/>
        <v>38308.813843448152</v>
      </c>
      <c r="C9160">
        <f t="shared" ca="1" si="426"/>
        <v>1691.1861565518484</v>
      </c>
      <c r="D9160">
        <f t="shared" ca="1" si="427"/>
        <v>0</v>
      </c>
    </row>
    <row r="9161" spans="2:4" x14ac:dyDescent="0.25">
      <c r="B9161">
        <f t="shared" ca="1" si="428"/>
        <v>52696.398561866095</v>
      </c>
      <c r="C9161">
        <f t="shared" ca="1" si="426"/>
        <v>0</v>
      </c>
      <c r="D9161">
        <f t="shared" ca="1" si="427"/>
        <v>12696.398561866095</v>
      </c>
    </row>
    <row r="9162" spans="2:4" x14ac:dyDescent="0.25">
      <c r="B9162">
        <f t="shared" ca="1" si="428"/>
        <v>40878.410484674598</v>
      </c>
      <c r="C9162">
        <f t="shared" ca="1" si="426"/>
        <v>0</v>
      </c>
      <c r="D9162">
        <f t="shared" ca="1" si="427"/>
        <v>878.41048467459768</v>
      </c>
    </row>
    <row r="9163" spans="2:4" x14ac:dyDescent="0.25">
      <c r="B9163">
        <f t="shared" ca="1" si="428"/>
        <v>50472.264267357874</v>
      </c>
      <c r="C9163">
        <f t="shared" ca="1" si="426"/>
        <v>0</v>
      </c>
      <c r="D9163">
        <f t="shared" ca="1" si="427"/>
        <v>10472.264267357874</v>
      </c>
    </row>
    <row r="9164" spans="2:4" x14ac:dyDescent="0.25">
      <c r="B9164">
        <f t="shared" ca="1" si="428"/>
        <v>40546.133862872761</v>
      </c>
      <c r="C9164">
        <f t="shared" ref="C9164:C9227" ca="1" si="429">IF(MAX($B$2-B9164)&lt;0,0,$B$2-B9164)</f>
        <v>0</v>
      </c>
      <c r="D9164">
        <f t="shared" ref="D9164:D9227" ca="1" si="430">IF(MAX(B9164-$B$2)&lt;0,0,B9164-$B$2)</f>
        <v>546.1338628727608</v>
      </c>
    </row>
    <row r="9165" spans="2:4" x14ac:dyDescent="0.25">
      <c r="B9165">
        <f t="shared" ref="B9165:B9228" ca="1" si="431">$B$1*EXP((($B$4-($B$3^2)/2)*$B$5+$B$3*SQRT($B$5)*NORMSINV(RAND())))</f>
        <v>50728.013021767249</v>
      </c>
      <c r="C9165">
        <f t="shared" ca="1" si="429"/>
        <v>0</v>
      </c>
      <c r="D9165">
        <f t="shared" ca="1" si="430"/>
        <v>10728.013021767249</v>
      </c>
    </row>
    <row r="9166" spans="2:4" x14ac:dyDescent="0.25">
      <c r="B9166">
        <f t="shared" ca="1" si="431"/>
        <v>45886.276922273093</v>
      </c>
      <c r="C9166">
        <f t="shared" ca="1" si="429"/>
        <v>0</v>
      </c>
      <c r="D9166">
        <f t="shared" ca="1" si="430"/>
        <v>5886.2769222730931</v>
      </c>
    </row>
    <row r="9167" spans="2:4" x14ac:dyDescent="0.25">
      <c r="B9167">
        <f t="shared" ca="1" si="431"/>
        <v>49807.507115156382</v>
      </c>
      <c r="C9167">
        <f t="shared" ca="1" si="429"/>
        <v>0</v>
      </c>
      <c r="D9167">
        <f t="shared" ca="1" si="430"/>
        <v>9807.5071151563825</v>
      </c>
    </row>
    <row r="9168" spans="2:4" x14ac:dyDescent="0.25">
      <c r="B9168">
        <f t="shared" ca="1" si="431"/>
        <v>47277.375959272795</v>
      </c>
      <c r="C9168">
        <f t="shared" ca="1" si="429"/>
        <v>0</v>
      </c>
      <c r="D9168">
        <f t="shared" ca="1" si="430"/>
        <v>7277.3759592727947</v>
      </c>
    </row>
    <row r="9169" spans="2:4" x14ac:dyDescent="0.25">
      <c r="B9169">
        <f t="shared" ca="1" si="431"/>
        <v>46946.373303861503</v>
      </c>
      <c r="C9169">
        <f t="shared" ca="1" si="429"/>
        <v>0</v>
      </c>
      <c r="D9169">
        <f t="shared" ca="1" si="430"/>
        <v>6946.3733038615028</v>
      </c>
    </row>
    <row r="9170" spans="2:4" x14ac:dyDescent="0.25">
      <c r="B9170">
        <f t="shared" ca="1" si="431"/>
        <v>45754.756696088283</v>
      </c>
      <c r="C9170">
        <f t="shared" ca="1" si="429"/>
        <v>0</v>
      </c>
      <c r="D9170">
        <f t="shared" ca="1" si="430"/>
        <v>5754.7566960882832</v>
      </c>
    </row>
    <row r="9171" spans="2:4" x14ac:dyDescent="0.25">
      <c r="B9171">
        <f t="shared" ca="1" si="431"/>
        <v>54600.291771703429</v>
      </c>
      <c r="C9171">
        <f t="shared" ca="1" si="429"/>
        <v>0</v>
      </c>
      <c r="D9171">
        <f t="shared" ca="1" si="430"/>
        <v>14600.291771703429</v>
      </c>
    </row>
    <row r="9172" spans="2:4" x14ac:dyDescent="0.25">
      <c r="B9172">
        <f t="shared" ca="1" si="431"/>
        <v>38696.384209551237</v>
      </c>
      <c r="C9172">
        <f t="shared" ca="1" si="429"/>
        <v>1303.6157904487627</v>
      </c>
      <c r="D9172">
        <f t="shared" ca="1" si="430"/>
        <v>0</v>
      </c>
    </row>
    <row r="9173" spans="2:4" x14ac:dyDescent="0.25">
      <c r="B9173">
        <f t="shared" ca="1" si="431"/>
        <v>45634.054920780713</v>
      </c>
      <c r="C9173">
        <f t="shared" ca="1" si="429"/>
        <v>0</v>
      </c>
      <c r="D9173">
        <f t="shared" ca="1" si="430"/>
        <v>5634.0549207807126</v>
      </c>
    </row>
    <row r="9174" spans="2:4" x14ac:dyDescent="0.25">
      <c r="B9174">
        <f t="shared" ca="1" si="431"/>
        <v>45462.970761878569</v>
      </c>
      <c r="C9174">
        <f t="shared" ca="1" si="429"/>
        <v>0</v>
      </c>
      <c r="D9174">
        <f t="shared" ca="1" si="430"/>
        <v>5462.9707618785687</v>
      </c>
    </row>
    <row r="9175" spans="2:4" x14ac:dyDescent="0.25">
      <c r="B9175">
        <f t="shared" ca="1" si="431"/>
        <v>42123.525995090982</v>
      </c>
      <c r="C9175">
        <f t="shared" ca="1" si="429"/>
        <v>0</v>
      </c>
      <c r="D9175">
        <f t="shared" ca="1" si="430"/>
        <v>2123.5259950909822</v>
      </c>
    </row>
    <row r="9176" spans="2:4" x14ac:dyDescent="0.25">
      <c r="B9176">
        <f t="shared" ca="1" si="431"/>
        <v>39201.323990206241</v>
      </c>
      <c r="C9176">
        <f t="shared" ca="1" si="429"/>
        <v>798.67600979375857</v>
      </c>
      <c r="D9176">
        <f t="shared" ca="1" si="430"/>
        <v>0</v>
      </c>
    </row>
    <row r="9177" spans="2:4" x14ac:dyDescent="0.25">
      <c r="B9177">
        <f t="shared" ca="1" si="431"/>
        <v>41573.654101117179</v>
      </c>
      <c r="C9177">
        <f t="shared" ca="1" si="429"/>
        <v>0</v>
      </c>
      <c r="D9177">
        <f t="shared" ca="1" si="430"/>
        <v>1573.6541011171794</v>
      </c>
    </row>
    <row r="9178" spans="2:4" x14ac:dyDescent="0.25">
      <c r="B9178">
        <f t="shared" ca="1" si="431"/>
        <v>55990.696212362549</v>
      </c>
      <c r="C9178">
        <f t="shared" ca="1" si="429"/>
        <v>0</v>
      </c>
      <c r="D9178">
        <f t="shared" ca="1" si="430"/>
        <v>15990.696212362549</v>
      </c>
    </row>
    <row r="9179" spans="2:4" x14ac:dyDescent="0.25">
      <c r="B9179">
        <f t="shared" ca="1" si="431"/>
        <v>39586.784480804432</v>
      </c>
      <c r="C9179">
        <f t="shared" ca="1" si="429"/>
        <v>413.21551919556805</v>
      </c>
      <c r="D9179">
        <f t="shared" ca="1" si="430"/>
        <v>0</v>
      </c>
    </row>
    <row r="9180" spans="2:4" x14ac:dyDescent="0.25">
      <c r="B9180">
        <f t="shared" ca="1" si="431"/>
        <v>47664.455111334275</v>
      </c>
      <c r="C9180">
        <f t="shared" ca="1" si="429"/>
        <v>0</v>
      </c>
      <c r="D9180">
        <f t="shared" ca="1" si="430"/>
        <v>7664.455111334275</v>
      </c>
    </row>
    <row r="9181" spans="2:4" x14ac:dyDescent="0.25">
      <c r="B9181">
        <f t="shared" ca="1" si="431"/>
        <v>39663.285927530349</v>
      </c>
      <c r="C9181">
        <f t="shared" ca="1" si="429"/>
        <v>336.714072469651</v>
      </c>
      <c r="D9181">
        <f t="shared" ca="1" si="430"/>
        <v>0</v>
      </c>
    </row>
    <row r="9182" spans="2:4" x14ac:dyDescent="0.25">
      <c r="B9182">
        <f t="shared" ca="1" si="431"/>
        <v>41011.648006734264</v>
      </c>
      <c r="C9182">
        <f t="shared" ca="1" si="429"/>
        <v>0</v>
      </c>
      <c r="D9182">
        <f t="shared" ca="1" si="430"/>
        <v>1011.6480067342636</v>
      </c>
    </row>
    <row r="9183" spans="2:4" x14ac:dyDescent="0.25">
      <c r="B9183">
        <f t="shared" ca="1" si="431"/>
        <v>42993.914782671091</v>
      </c>
      <c r="C9183">
        <f t="shared" ca="1" si="429"/>
        <v>0</v>
      </c>
      <c r="D9183">
        <f t="shared" ca="1" si="430"/>
        <v>2993.9147826710905</v>
      </c>
    </row>
    <row r="9184" spans="2:4" x14ac:dyDescent="0.25">
      <c r="B9184">
        <f t="shared" ca="1" si="431"/>
        <v>44915.776618760872</v>
      </c>
      <c r="C9184">
        <f t="shared" ca="1" si="429"/>
        <v>0</v>
      </c>
      <c r="D9184">
        <f t="shared" ca="1" si="430"/>
        <v>4915.7766187608722</v>
      </c>
    </row>
    <row r="9185" spans="2:4" x14ac:dyDescent="0.25">
      <c r="B9185">
        <f t="shared" ca="1" si="431"/>
        <v>49450.407315065771</v>
      </c>
      <c r="C9185">
        <f t="shared" ca="1" si="429"/>
        <v>0</v>
      </c>
      <c r="D9185">
        <f t="shared" ca="1" si="430"/>
        <v>9450.4073150657714</v>
      </c>
    </row>
    <row r="9186" spans="2:4" x14ac:dyDescent="0.25">
      <c r="B9186">
        <f t="shared" ca="1" si="431"/>
        <v>50695.116825832039</v>
      </c>
      <c r="C9186">
        <f t="shared" ca="1" si="429"/>
        <v>0</v>
      </c>
      <c r="D9186">
        <f t="shared" ca="1" si="430"/>
        <v>10695.116825832039</v>
      </c>
    </row>
    <row r="9187" spans="2:4" x14ac:dyDescent="0.25">
      <c r="B9187">
        <f t="shared" ca="1" si="431"/>
        <v>48976.753702351991</v>
      </c>
      <c r="C9187">
        <f t="shared" ca="1" si="429"/>
        <v>0</v>
      </c>
      <c r="D9187">
        <f t="shared" ca="1" si="430"/>
        <v>8976.7537023519908</v>
      </c>
    </row>
    <row r="9188" spans="2:4" x14ac:dyDescent="0.25">
      <c r="B9188">
        <f t="shared" ca="1" si="431"/>
        <v>46518.478110536402</v>
      </c>
      <c r="C9188">
        <f t="shared" ca="1" si="429"/>
        <v>0</v>
      </c>
      <c r="D9188">
        <f t="shared" ca="1" si="430"/>
        <v>6518.4781105364018</v>
      </c>
    </row>
    <row r="9189" spans="2:4" x14ac:dyDescent="0.25">
      <c r="B9189">
        <f t="shared" ca="1" si="431"/>
        <v>43912.523791237269</v>
      </c>
      <c r="C9189">
        <f t="shared" ca="1" si="429"/>
        <v>0</v>
      </c>
      <c r="D9189">
        <f t="shared" ca="1" si="430"/>
        <v>3912.5237912372686</v>
      </c>
    </row>
    <row r="9190" spans="2:4" x14ac:dyDescent="0.25">
      <c r="B9190">
        <f t="shared" ca="1" si="431"/>
        <v>51470.815685390175</v>
      </c>
      <c r="C9190">
        <f t="shared" ca="1" si="429"/>
        <v>0</v>
      </c>
      <c r="D9190">
        <f t="shared" ca="1" si="430"/>
        <v>11470.815685390175</v>
      </c>
    </row>
    <row r="9191" spans="2:4" x14ac:dyDescent="0.25">
      <c r="B9191">
        <f t="shared" ca="1" si="431"/>
        <v>46252.855908191974</v>
      </c>
      <c r="C9191">
        <f t="shared" ca="1" si="429"/>
        <v>0</v>
      </c>
      <c r="D9191">
        <f t="shared" ca="1" si="430"/>
        <v>6252.8559081919739</v>
      </c>
    </row>
    <row r="9192" spans="2:4" x14ac:dyDescent="0.25">
      <c r="B9192">
        <f t="shared" ca="1" si="431"/>
        <v>45002.194850568078</v>
      </c>
      <c r="C9192">
        <f t="shared" ca="1" si="429"/>
        <v>0</v>
      </c>
      <c r="D9192">
        <f t="shared" ca="1" si="430"/>
        <v>5002.1948505680775</v>
      </c>
    </row>
    <row r="9193" spans="2:4" x14ac:dyDescent="0.25">
      <c r="B9193">
        <f t="shared" ca="1" si="431"/>
        <v>39420.12018540391</v>
      </c>
      <c r="C9193">
        <f t="shared" ca="1" si="429"/>
        <v>579.87981459609</v>
      </c>
      <c r="D9193">
        <f t="shared" ca="1" si="430"/>
        <v>0</v>
      </c>
    </row>
    <row r="9194" spans="2:4" x14ac:dyDescent="0.25">
      <c r="B9194">
        <f t="shared" ca="1" si="431"/>
        <v>39449.742051062945</v>
      </c>
      <c r="C9194">
        <f t="shared" ca="1" si="429"/>
        <v>550.25794893705461</v>
      </c>
      <c r="D9194">
        <f t="shared" ca="1" si="430"/>
        <v>0</v>
      </c>
    </row>
    <row r="9195" spans="2:4" x14ac:dyDescent="0.25">
      <c r="B9195">
        <f t="shared" ca="1" si="431"/>
        <v>45485.008976967874</v>
      </c>
      <c r="C9195">
        <f t="shared" ca="1" si="429"/>
        <v>0</v>
      </c>
      <c r="D9195">
        <f t="shared" ca="1" si="430"/>
        <v>5485.0089769678743</v>
      </c>
    </row>
    <row r="9196" spans="2:4" x14ac:dyDescent="0.25">
      <c r="B9196">
        <f t="shared" ca="1" si="431"/>
        <v>44809.267216681597</v>
      </c>
      <c r="C9196">
        <f t="shared" ca="1" si="429"/>
        <v>0</v>
      </c>
      <c r="D9196">
        <f t="shared" ca="1" si="430"/>
        <v>4809.2672166815973</v>
      </c>
    </row>
    <row r="9197" spans="2:4" x14ac:dyDescent="0.25">
      <c r="B9197">
        <f t="shared" ca="1" si="431"/>
        <v>46574.45818607157</v>
      </c>
      <c r="C9197">
        <f t="shared" ca="1" si="429"/>
        <v>0</v>
      </c>
      <c r="D9197">
        <f t="shared" ca="1" si="430"/>
        <v>6574.4581860715698</v>
      </c>
    </row>
    <row r="9198" spans="2:4" x14ac:dyDescent="0.25">
      <c r="B9198">
        <f t="shared" ca="1" si="431"/>
        <v>47740.920035441151</v>
      </c>
      <c r="C9198">
        <f t="shared" ca="1" si="429"/>
        <v>0</v>
      </c>
      <c r="D9198">
        <f t="shared" ca="1" si="430"/>
        <v>7740.9200354411514</v>
      </c>
    </row>
    <row r="9199" spans="2:4" x14ac:dyDescent="0.25">
      <c r="B9199">
        <f t="shared" ca="1" si="431"/>
        <v>37635.715581114397</v>
      </c>
      <c r="C9199">
        <f t="shared" ca="1" si="429"/>
        <v>2364.2844188856034</v>
      </c>
      <c r="D9199">
        <f t="shared" ca="1" si="430"/>
        <v>0</v>
      </c>
    </row>
    <row r="9200" spans="2:4" x14ac:dyDescent="0.25">
      <c r="B9200">
        <f t="shared" ca="1" si="431"/>
        <v>45522.053009025476</v>
      </c>
      <c r="C9200">
        <f t="shared" ca="1" si="429"/>
        <v>0</v>
      </c>
      <c r="D9200">
        <f t="shared" ca="1" si="430"/>
        <v>5522.0530090254761</v>
      </c>
    </row>
    <row r="9201" spans="2:4" x14ac:dyDescent="0.25">
      <c r="B9201">
        <f t="shared" ca="1" si="431"/>
        <v>39862.613369190265</v>
      </c>
      <c r="C9201">
        <f t="shared" ca="1" si="429"/>
        <v>137.38663080973492</v>
      </c>
      <c r="D9201">
        <f t="shared" ca="1" si="430"/>
        <v>0</v>
      </c>
    </row>
    <row r="9202" spans="2:4" x14ac:dyDescent="0.25">
      <c r="B9202">
        <f t="shared" ca="1" si="431"/>
        <v>54764.444302621661</v>
      </c>
      <c r="C9202">
        <f t="shared" ca="1" si="429"/>
        <v>0</v>
      </c>
      <c r="D9202">
        <f t="shared" ca="1" si="430"/>
        <v>14764.444302621661</v>
      </c>
    </row>
    <row r="9203" spans="2:4" x14ac:dyDescent="0.25">
      <c r="B9203">
        <f t="shared" ca="1" si="431"/>
        <v>44158.063966756519</v>
      </c>
      <c r="C9203">
        <f t="shared" ca="1" si="429"/>
        <v>0</v>
      </c>
      <c r="D9203">
        <f t="shared" ca="1" si="430"/>
        <v>4158.0639667565192</v>
      </c>
    </row>
    <row r="9204" spans="2:4" x14ac:dyDescent="0.25">
      <c r="B9204">
        <f t="shared" ca="1" si="431"/>
        <v>37981.712259060092</v>
      </c>
      <c r="C9204">
        <f t="shared" ca="1" si="429"/>
        <v>2018.287740939908</v>
      </c>
      <c r="D9204">
        <f t="shared" ca="1" si="430"/>
        <v>0</v>
      </c>
    </row>
    <row r="9205" spans="2:4" x14ac:dyDescent="0.25">
      <c r="B9205">
        <f t="shared" ca="1" si="431"/>
        <v>40497.57962369702</v>
      </c>
      <c r="C9205">
        <f t="shared" ca="1" si="429"/>
        <v>0</v>
      </c>
      <c r="D9205">
        <f t="shared" ca="1" si="430"/>
        <v>497.57962369702</v>
      </c>
    </row>
    <row r="9206" spans="2:4" x14ac:dyDescent="0.25">
      <c r="B9206">
        <f t="shared" ca="1" si="431"/>
        <v>46626.458556088335</v>
      </c>
      <c r="C9206">
        <f t="shared" ca="1" si="429"/>
        <v>0</v>
      </c>
      <c r="D9206">
        <f t="shared" ca="1" si="430"/>
        <v>6626.4585560883352</v>
      </c>
    </row>
    <row r="9207" spans="2:4" x14ac:dyDescent="0.25">
      <c r="B9207">
        <f t="shared" ca="1" si="431"/>
        <v>43840.449710999041</v>
      </c>
      <c r="C9207">
        <f t="shared" ca="1" si="429"/>
        <v>0</v>
      </c>
      <c r="D9207">
        <f t="shared" ca="1" si="430"/>
        <v>3840.4497109990407</v>
      </c>
    </row>
    <row r="9208" spans="2:4" x14ac:dyDescent="0.25">
      <c r="B9208">
        <f t="shared" ca="1" si="431"/>
        <v>53252.919370011332</v>
      </c>
      <c r="C9208">
        <f t="shared" ca="1" si="429"/>
        <v>0</v>
      </c>
      <c r="D9208">
        <f t="shared" ca="1" si="430"/>
        <v>13252.919370011332</v>
      </c>
    </row>
    <row r="9209" spans="2:4" x14ac:dyDescent="0.25">
      <c r="B9209">
        <f t="shared" ca="1" si="431"/>
        <v>43441.679746451904</v>
      </c>
      <c r="C9209">
        <f t="shared" ca="1" si="429"/>
        <v>0</v>
      </c>
      <c r="D9209">
        <f t="shared" ca="1" si="430"/>
        <v>3441.6797464519041</v>
      </c>
    </row>
    <row r="9210" spans="2:4" x14ac:dyDescent="0.25">
      <c r="B9210">
        <f t="shared" ca="1" si="431"/>
        <v>39642.370044586016</v>
      </c>
      <c r="C9210">
        <f t="shared" ca="1" si="429"/>
        <v>357.62995541398413</v>
      </c>
      <c r="D9210">
        <f t="shared" ca="1" si="430"/>
        <v>0</v>
      </c>
    </row>
    <row r="9211" spans="2:4" x14ac:dyDescent="0.25">
      <c r="B9211">
        <f t="shared" ca="1" si="431"/>
        <v>41675.286003665693</v>
      </c>
      <c r="C9211">
        <f t="shared" ca="1" si="429"/>
        <v>0</v>
      </c>
      <c r="D9211">
        <f t="shared" ca="1" si="430"/>
        <v>1675.286003665693</v>
      </c>
    </row>
    <row r="9212" spans="2:4" x14ac:dyDescent="0.25">
      <c r="B9212">
        <f t="shared" ca="1" si="431"/>
        <v>45634.344827382964</v>
      </c>
      <c r="C9212">
        <f t="shared" ca="1" si="429"/>
        <v>0</v>
      </c>
      <c r="D9212">
        <f t="shared" ca="1" si="430"/>
        <v>5634.3448273829636</v>
      </c>
    </row>
    <row r="9213" spans="2:4" x14ac:dyDescent="0.25">
      <c r="B9213">
        <f t="shared" ca="1" si="431"/>
        <v>45355.556631513493</v>
      </c>
      <c r="C9213">
        <f t="shared" ca="1" si="429"/>
        <v>0</v>
      </c>
      <c r="D9213">
        <f t="shared" ca="1" si="430"/>
        <v>5355.5566315134929</v>
      </c>
    </row>
    <row r="9214" spans="2:4" x14ac:dyDescent="0.25">
      <c r="B9214">
        <f t="shared" ca="1" si="431"/>
        <v>50777.663212058353</v>
      </c>
      <c r="C9214">
        <f t="shared" ca="1" si="429"/>
        <v>0</v>
      </c>
      <c r="D9214">
        <f t="shared" ca="1" si="430"/>
        <v>10777.663212058353</v>
      </c>
    </row>
    <row r="9215" spans="2:4" x14ac:dyDescent="0.25">
      <c r="B9215">
        <f t="shared" ca="1" si="431"/>
        <v>38705.922920408542</v>
      </c>
      <c r="C9215">
        <f t="shared" ca="1" si="429"/>
        <v>1294.0770795914577</v>
      </c>
      <c r="D9215">
        <f t="shared" ca="1" si="430"/>
        <v>0</v>
      </c>
    </row>
    <row r="9216" spans="2:4" x14ac:dyDescent="0.25">
      <c r="B9216">
        <f t="shared" ca="1" si="431"/>
        <v>53415.961460245126</v>
      </c>
      <c r="C9216">
        <f t="shared" ca="1" si="429"/>
        <v>0</v>
      </c>
      <c r="D9216">
        <f t="shared" ca="1" si="430"/>
        <v>13415.961460245126</v>
      </c>
    </row>
    <row r="9217" spans="2:4" x14ac:dyDescent="0.25">
      <c r="B9217">
        <f t="shared" ca="1" si="431"/>
        <v>53667.737752070658</v>
      </c>
      <c r="C9217">
        <f t="shared" ca="1" si="429"/>
        <v>0</v>
      </c>
      <c r="D9217">
        <f t="shared" ca="1" si="430"/>
        <v>13667.737752070658</v>
      </c>
    </row>
    <row r="9218" spans="2:4" x14ac:dyDescent="0.25">
      <c r="B9218">
        <f t="shared" ca="1" si="431"/>
        <v>41837.160898856986</v>
      </c>
      <c r="C9218">
        <f t="shared" ca="1" si="429"/>
        <v>0</v>
      </c>
      <c r="D9218">
        <f t="shared" ca="1" si="430"/>
        <v>1837.160898856986</v>
      </c>
    </row>
    <row r="9219" spans="2:4" x14ac:dyDescent="0.25">
      <c r="B9219">
        <f t="shared" ca="1" si="431"/>
        <v>39656.764891067513</v>
      </c>
      <c r="C9219">
        <f t="shared" ca="1" si="429"/>
        <v>343.23510893248749</v>
      </c>
      <c r="D9219">
        <f t="shared" ca="1" si="430"/>
        <v>0</v>
      </c>
    </row>
    <row r="9220" spans="2:4" x14ac:dyDescent="0.25">
      <c r="B9220">
        <f t="shared" ca="1" si="431"/>
        <v>55393.056350982995</v>
      </c>
      <c r="C9220">
        <f t="shared" ca="1" si="429"/>
        <v>0</v>
      </c>
      <c r="D9220">
        <f t="shared" ca="1" si="430"/>
        <v>15393.056350982995</v>
      </c>
    </row>
    <row r="9221" spans="2:4" x14ac:dyDescent="0.25">
      <c r="B9221">
        <f t="shared" ca="1" si="431"/>
        <v>50911.025706938919</v>
      </c>
      <c r="C9221">
        <f t="shared" ca="1" si="429"/>
        <v>0</v>
      </c>
      <c r="D9221">
        <f t="shared" ca="1" si="430"/>
        <v>10911.025706938919</v>
      </c>
    </row>
    <row r="9222" spans="2:4" x14ac:dyDescent="0.25">
      <c r="B9222">
        <f t="shared" ca="1" si="431"/>
        <v>51046.369298560741</v>
      </c>
      <c r="C9222">
        <f t="shared" ca="1" si="429"/>
        <v>0</v>
      </c>
      <c r="D9222">
        <f t="shared" ca="1" si="430"/>
        <v>11046.369298560741</v>
      </c>
    </row>
    <row r="9223" spans="2:4" x14ac:dyDescent="0.25">
      <c r="B9223">
        <f t="shared" ca="1" si="431"/>
        <v>48070.719953582156</v>
      </c>
      <c r="C9223">
        <f t="shared" ca="1" si="429"/>
        <v>0</v>
      </c>
      <c r="D9223">
        <f t="shared" ca="1" si="430"/>
        <v>8070.7199535821564</v>
      </c>
    </row>
    <row r="9224" spans="2:4" x14ac:dyDescent="0.25">
      <c r="B9224">
        <f t="shared" ca="1" si="431"/>
        <v>41919.799735607376</v>
      </c>
      <c r="C9224">
        <f t="shared" ca="1" si="429"/>
        <v>0</v>
      </c>
      <c r="D9224">
        <f t="shared" ca="1" si="430"/>
        <v>1919.7997356073756</v>
      </c>
    </row>
    <row r="9225" spans="2:4" x14ac:dyDescent="0.25">
      <c r="B9225">
        <f t="shared" ca="1" si="431"/>
        <v>40500.806321848249</v>
      </c>
      <c r="C9225">
        <f t="shared" ca="1" si="429"/>
        <v>0</v>
      </c>
      <c r="D9225">
        <f t="shared" ca="1" si="430"/>
        <v>500.80632184824935</v>
      </c>
    </row>
    <row r="9226" spans="2:4" x14ac:dyDescent="0.25">
      <c r="B9226">
        <f t="shared" ca="1" si="431"/>
        <v>45600.595180448727</v>
      </c>
      <c r="C9226">
        <f t="shared" ca="1" si="429"/>
        <v>0</v>
      </c>
      <c r="D9226">
        <f t="shared" ca="1" si="430"/>
        <v>5600.5951804487268</v>
      </c>
    </row>
    <row r="9227" spans="2:4" x14ac:dyDescent="0.25">
      <c r="B9227">
        <f t="shared" ca="1" si="431"/>
        <v>37053.220942844819</v>
      </c>
      <c r="C9227">
        <f t="shared" ca="1" si="429"/>
        <v>2946.7790571551814</v>
      </c>
      <c r="D9227">
        <f t="shared" ca="1" si="430"/>
        <v>0</v>
      </c>
    </row>
    <row r="9228" spans="2:4" x14ac:dyDescent="0.25">
      <c r="B9228">
        <f t="shared" ca="1" si="431"/>
        <v>51253.491662890221</v>
      </c>
      <c r="C9228">
        <f t="shared" ref="C9228:C9291" ca="1" si="432">IF(MAX($B$2-B9228)&lt;0,0,$B$2-B9228)</f>
        <v>0</v>
      </c>
      <c r="D9228">
        <f t="shared" ref="D9228:D9291" ca="1" si="433">IF(MAX(B9228-$B$2)&lt;0,0,B9228-$B$2)</f>
        <v>11253.491662890221</v>
      </c>
    </row>
    <row r="9229" spans="2:4" x14ac:dyDescent="0.25">
      <c r="B9229">
        <f t="shared" ref="B9229:B9292" ca="1" si="434">$B$1*EXP((($B$4-($B$3^2)/2)*$B$5+$B$3*SQRT($B$5)*NORMSINV(RAND())))</f>
        <v>43632.784350804359</v>
      </c>
      <c r="C9229">
        <f t="shared" ca="1" si="432"/>
        <v>0</v>
      </c>
      <c r="D9229">
        <f t="shared" ca="1" si="433"/>
        <v>3632.7843508043588</v>
      </c>
    </row>
    <row r="9230" spans="2:4" x14ac:dyDescent="0.25">
      <c r="B9230">
        <f t="shared" ca="1" si="434"/>
        <v>48715.314766289754</v>
      </c>
      <c r="C9230">
        <f t="shared" ca="1" si="432"/>
        <v>0</v>
      </c>
      <c r="D9230">
        <f t="shared" ca="1" si="433"/>
        <v>8715.3147662897536</v>
      </c>
    </row>
    <row r="9231" spans="2:4" x14ac:dyDescent="0.25">
      <c r="B9231">
        <f t="shared" ca="1" si="434"/>
        <v>44153.164994310639</v>
      </c>
      <c r="C9231">
        <f t="shared" ca="1" si="432"/>
        <v>0</v>
      </c>
      <c r="D9231">
        <f t="shared" ca="1" si="433"/>
        <v>4153.1649943106386</v>
      </c>
    </row>
    <row r="9232" spans="2:4" x14ac:dyDescent="0.25">
      <c r="B9232">
        <f t="shared" ca="1" si="434"/>
        <v>43138.62957723868</v>
      </c>
      <c r="C9232">
        <f t="shared" ca="1" si="432"/>
        <v>0</v>
      </c>
      <c r="D9232">
        <f t="shared" ca="1" si="433"/>
        <v>3138.6295772386802</v>
      </c>
    </row>
    <row r="9233" spans="2:4" x14ac:dyDescent="0.25">
      <c r="B9233">
        <f t="shared" ca="1" si="434"/>
        <v>37638.150124695225</v>
      </c>
      <c r="C9233">
        <f t="shared" ca="1" si="432"/>
        <v>2361.8498753047752</v>
      </c>
      <c r="D9233">
        <f t="shared" ca="1" si="433"/>
        <v>0</v>
      </c>
    </row>
    <row r="9234" spans="2:4" x14ac:dyDescent="0.25">
      <c r="B9234">
        <f t="shared" ca="1" si="434"/>
        <v>54451.557071859061</v>
      </c>
      <c r="C9234">
        <f t="shared" ca="1" si="432"/>
        <v>0</v>
      </c>
      <c r="D9234">
        <f t="shared" ca="1" si="433"/>
        <v>14451.557071859061</v>
      </c>
    </row>
    <row r="9235" spans="2:4" x14ac:dyDescent="0.25">
      <c r="B9235">
        <f t="shared" ca="1" si="434"/>
        <v>51018.978517147872</v>
      </c>
      <c r="C9235">
        <f t="shared" ca="1" si="432"/>
        <v>0</v>
      </c>
      <c r="D9235">
        <f t="shared" ca="1" si="433"/>
        <v>11018.978517147872</v>
      </c>
    </row>
    <row r="9236" spans="2:4" x14ac:dyDescent="0.25">
      <c r="B9236">
        <f t="shared" ca="1" si="434"/>
        <v>44378.301783002789</v>
      </c>
      <c r="C9236">
        <f t="shared" ca="1" si="432"/>
        <v>0</v>
      </c>
      <c r="D9236">
        <f t="shared" ca="1" si="433"/>
        <v>4378.3017830027893</v>
      </c>
    </row>
    <row r="9237" spans="2:4" x14ac:dyDescent="0.25">
      <c r="B9237">
        <f t="shared" ca="1" si="434"/>
        <v>46986.214413497459</v>
      </c>
      <c r="C9237">
        <f t="shared" ca="1" si="432"/>
        <v>0</v>
      </c>
      <c r="D9237">
        <f t="shared" ca="1" si="433"/>
        <v>6986.2144134974587</v>
      </c>
    </row>
    <row r="9238" spans="2:4" x14ac:dyDescent="0.25">
      <c r="B9238">
        <f t="shared" ca="1" si="434"/>
        <v>41245.514356699969</v>
      </c>
      <c r="C9238">
        <f t="shared" ca="1" si="432"/>
        <v>0</v>
      </c>
      <c r="D9238">
        <f t="shared" ca="1" si="433"/>
        <v>1245.5143566999686</v>
      </c>
    </row>
    <row r="9239" spans="2:4" x14ac:dyDescent="0.25">
      <c r="B9239">
        <f t="shared" ca="1" si="434"/>
        <v>42656.904235818234</v>
      </c>
      <c r="C9239">
        <f t="shared" ca="1" si="432"/>
        <v>0</v>
      </c>
      <c r="D9239">
        <f t="shared" ca="1" si="433"/>
        <v>2656.9042358182342</v>
      </c>
    </row>
    <row r="9240" spans="2:4" x14ac:dyDescent="0.25">
      <c r="B9240">
        <f t="shared" ca="1" si="434"/>
        <v>50711.971502428132</v>
      </c>
      <c r="C9240">
        <f t="shared" ca="1" si="432"/>
        <v>0</v>
      </c>
      <c r="D9240">
        <f t="shared" ca="1" si="433"/>
        <v>10711.971502428132</v>
      </c>
    </row>
    <row r="9241" spans="2:4" x14ac:dyDescent="0.25">
      <c r="B9241">
        <f t="shared" ca="1" si="434"/>
        <v>43455.018180550338</v>
      </c>
      <c r="C9241">
        <f t="shared" ca="1" si="432"/>
        <v>0</v>
      </c>
      <c r="D9241">
        <f t="shared" ca="1" si="433"/>
        <v>3455.018180550338</v>
      </c>
    </row>
    <row r="9242" spans="2:4" x14ac:dyDescent="0.25">
      <c r="B9242">
        <f t="shared" ca="1" si="434"/>
        <v>44478.964863044501</v>
      </c>
      <c r="C9242">
        <f t="shared" ca="1" si="432"/>
        <v>0</v>
      </c>
      <c r="D9242">
        <f t="shared" ca="1" si="433"/>
        <v>4478.9648630445008</v>
      </c>
    </row>
    <row r="9243" spans="2:4" x14ac:dyDescent="0.25">
      <c r="B9243">
        <f t="shared" ca="1" si="434"/>
        <v>42085.605326442848</v>
      </c>
      <c r="C9243">
        <f t="shared" ca="1" si="432"/>
        <v>0</v>
      </c>
      <c r="D9243">
        <f t="shared" ca="1" si="433"/>
        <v>2085.6053264428483</v>
      </c>
    </row>
    <row r="9244" spans="2:4" x14ac:dyDescent="0.25">
      <c r="B9244">
        <f t="shared" ca="1" si="434"/>
        <v>50099.835917969198</v>
      </c>
      <c r="C9244">
        <f t="shared" ca="1" si="432"/>
        <v>0</v>
      </c>
      <c r="D9244">
        <f t="shared" ca="1" si="433"/>
        <v>10099.835917969198</v>
      </c>
    </row>
    <row r="9245" spans="2:4" x14ac:dyDescent="0.25">
      <c r="B9245">
        <f t="shared" ca="1" si="434"/>
        <v>42011.892559271771</v>
      </c>
      <c r="C9245">
        <f t="shared" ca="1" si="432"/>
        <v>0</v>
      </c>
      <c r="D9245">
        <f t="shared" ca="1" si="433"/>
        <v>2011.8925592717715</v>
      </c>
    </row>
    <row r="9246" spans="2:4" x14ac:dyDescent="0.25">
      <c r="B9246">
        <f t="shared" ca="1" si="434"/>
        <v>48983.236837698059</v>
      </c>
      <c r="C9246">
        <f t="shared" ca="1" si="432"/>
        <v>0</v>
      </c>
      <c r="D9246">
        <f t="shared" ca="1" si="433"/>
        <v>8983.2368376980594</v>
      </c>
    </row>
    <row r="9247" spans="2:4" x14ac:dyDescent="0.25">
      <c r="B9247">
        <f t="shared" ca="1" si="434"/>
        <v>49804.209241060526</v>
      </c>
      <c r="C9247">
        <f t="shared" ca="1" si="432"/>
        <v>0</v>
      </c>
      <c r="D9247">
        <f t="shared" ca="1" si="433"/>
        <v>9804.2092410605255</v>
      </c>
    </row>
    <row r="9248" spans="2:4" x14ac:dyDescent="0.25">
      <c r="B9248">
        <f t="shared" ca="1" si="434"/>
        <v>42319.0028039475</v>
      </c>
      <c r="C9248">
        <f t="shared" ca="1" si="432"/>
        <v>0</v>
      </c>
      <c r="D9248">
        <f t="shared" ca="1" si="433"/>
        <v>2319.0028039475001</v>
      </c>
    </row>
    <row r="9249" spans="2:4" x14ac:dyDescent="0.25">
      <c r="B9249">
        <f t="shared" ca="1" si="434"/>
        <v>35477.373036359924</v>
      </c>
      <c r="C9249">
        <f t="shared" ca="1" si="432"/>
        <v>4522.6269636400757</v>
      </c>
      <c r="D9249">
        <f t="shared" ca="1" si="433"/>
        <v>0</v>
      </c>
    </row>
    <row r="9250" spans="2:4" x14ac:dyDescent="0.25">
      <c r="B9250">
        <f t="shared" ca="1" si="434"/>
        <v>40283.996879726903</v>
      </c>
      <c r="C9250">
        <f t="shared" ca="1" si="432"/>
        <v>0</v>
      </c>
      <c r="D9250">
        <f t="shared" ca="1" si="433"/>
        <v>283.99687972690299</v>
      </c>
    </row>
    <row r="9251" spans="2:4" x14ac:dyDescent="0.25">
      <c r="B9251">
        <f t="shared" ca="1" si="434"/>
        <v>50446.603404615598</v>
      </c>
      <c r="C9251">
        <f t="shared" ca="1" si="432"/>
        <v>0</v>
      </c>
      <c r="D9251">
        <f t="shared" ca="1" si="433"/>
        <v>10446.603404615598</v>
      </c>
    </row>
    <row r="9252" spans="2:4" x14ac:dyDescent="0.25">
      <c r="B9252">
        <f t="shared" ca="1" si="434"/>
        <v>52949.313705491069</v>
      </c>
      <c r="C9252">
        <f t="shared" ca="1" si="432"/>
        <v>0</v>
      </c>
      <c r="D9252">
        <f t="shared" ca="1" si="433"/>
        <v>12949.313705491069</v>
      </c>
    </row>
    <row r="9253" spans="2:4" x14ac:dyDescent="0.25">
      <c r="B9253">
        <f t="shared" ca="1" si="434"/>
        <v>43158.78715350834</v>
      </c>
      <c r="C9253">
        <f t="shared" ca="1" si="432"/>
        <v>0</v>
      </c>
      <c r="D9253">
        <f t="shared" ca="1" si="433"/>
        <v>3158.7871535083395</v>
      </c>
    </row>
    <row r="9254" spans="2:4" x14ac:dyDescent="0.25">
      <c r="B9254">
        <f t="shared" ca="1" si="434"/>
        <v>49310.103139660234</v>
      </c>
      <c r="C9254">
        <f t="shared" ca="1" si="432"/>
        <v>0</v>
      </c>
      <c r="D9254">
        <f t="shared" ca="1" si="433"/>
        <v>9310.1031396602339</v>
      </c>
    </row>
    <row r="9255" spans="2:4" x14ac:dyDescent="0.25">
      <c r="B9255">
        <f t="shared" ca="1" si="434"/>
        <v>47900.215016243972</v>
      </c>
      <c r="C9255">
        <f t="shared" ca="1" si="432"/>
        <v>0</v>
      </c>
      <c r="D9255">
        <f t="shared" ca="1" si="433"/>
        <v>7900.2150162439721</v>
      </c>
    </row>
    <row r="9256" spans="2:4" x14ac:dyDescent="0.25">
      <c r="B9256">
        <f t="shared" ca="1" si="434"/>
        <v>46124.247104915907</v>
      </c>
      <c r="C9256">
        <f t="shared" ca="1" si="432"/>
        <v>0</v>
      </c>
      <c r="D9256">
        <f t="shared" ca="1" si="433"/>
        <v>6124.2471049159067</v>
      </c>
    </row>
    <row r="9257" spans="2:4" x14ac:dyDescent="0.25">
      <c r="B9257">
        <f t="shared" ca="1" si="434"/>
        <v>42637.53933407992</v>
      </c>
      <c r="C9257">
        <f t="shared" ca="1" si="432"/>
        <v>0</v>
      </c>
      <c r="D9257">
        <f t="shared" ca="1" si="433"/>
        <v>2637.5393340799201</v>
      </c>
    </row>
    <row r="9258" spans="2:4" x14ac:dyDescent="0.25">
      <c r="B9258">
        <f t="shared" ca="1" si="434"/>
        <v>48234.278910874622</v>
      </c>
      <c r="C9258">
        <f t="shared" ca="1" si="432"/>
        <v>0</v>
      </c>
      <c r="D9258">
        <f t="shared" ca="1" si="433"/>
        <v>8234.2789108746219</v>
      </c>
    </row>
    <row r="9259" spans="2:4" x14ac:dyDescent="0.25">
      <c r="B9259">
        <f t="shared" ca="1" si="434"/>
        <v>50936.588888156024</v>
      </c>
      <c r="C9259">
        <f t="shared" ca="1" si="432"/>
        <v>0</v>
      </c>
      <c r="D9259">
        <f t="shared" ca="1" si="433"/>
        <v>10936.588888156024</v>
      </c>
    </row>
    <row r="9260" spans="2:4" x14ac:dyDescent="0.25">
      <c r="B9260">
        <f t="shared" ca="1" si="434"/>
        <v>45838.815023123076</v>
      </c>
      <c r="C9260">
        <f t="shared" ca="1" si="432"/>
        <v>0</v>
      </c>
      <c r="D9260">
        <f t="shared" ca="1" si="433"/>
        <v>5838.8150231230757</v>
      </c>
    </row>
    <row r="9261" spans="2:4" x14ac:dyDescent="0.25">
      <c r="B9261">
        <f t="shared" ca="1" si="434"/>
        <v>43248.301003129047</v>
      </c>
      <c r="C9261">
        <f t="shared" ca="1" si="432"/>
        <v>0</v>
      </c>
      <c r="D9261">
        <f t="shared" ca="1" si="433"/>
        <v>3248.3010031290469</v>
      </c>
    </row>
    <row r="9262" spans="2:4" x14ac:dyDescent="0.25">
      <c r="B9262">
        <f t="shared" ca="1" si="434"/>
        <v>34700.131787263825</v>
      </c>
      <c r="C9262">
        <f t="shared" ca="1" si="432"/>
        <v>5299.8682127361753</v>
      </c>
      <c r="D9262">
        <f t="shared" ca="1" si="433"/>
        <v>0</v>
      </c>
    </row>
    <row r="9263" spans="2:4" x14ac:dyDescent="0.25">
      <c r="B9263">
        <f t="shared" ca="1" si="434"/>
        <v>45044.7444139777</v>
      </c>
      <c r="C9263">
        <f t="shared" ca="1" si="432"/>
        <v>0</v>
      </c>
      <c r="D9263">
        <f t="shared" ca="1" si="433"/>
        <v>5044.7444139776999</v>
      </c>
    </row>
    <row r="9264" spans="2:4" x14ac:dyDescent="0.25">
      <c r="B9264">
        <f t="shared" ca="1" si="434"/>
        <v>46532.243713228614</v>
      </c>
      <c r="C9264">
        <f t="shared" ca="1" si="432"/>
        <v>0</v>
      </c>
      <c r="D9264">
        <f t="shared" ca="1" si="433"/>
        <v>6532.2437132286141</v>
      </c>
    </row>
    <row r="9265" spans="2:4" x14ac:dyDescent="0.25">
      <c r="B9265">
        <f t="shared" ca="1" si="434"/>
        <v>48367.455944402478</v>
      </c>
      <c r="C9265">
        <f t="shared" ca="1" si="432"/>
        <v>0</v>
      </c>
      <c r="D9265">
        <f t="shared" ca="1" si="433"/>
        <v>8367.4559444024781</v>
      </c>
    </row>
    <row r="9266" spans="2:4" x14ac:dyDescent="0.25">
      <c r="B9266">
        <f t="shared" ca="1" si="434"/>
        <v>43919.528626904459</v>
      </c>
      <c r="C9266">
        <f t="shared" ca="1" si="432"/>
        <v>0</v>
      </c>
      <c r="D9266">
        <f t="shared" ca="1" si="433"/>
        <v>3919.5286269044591</v>
      </c>
    </row>
    <row r="9267" spans="2:4" x14ac:dyDescent="0.25">
      <c r="B9267">
        <f t="shared" ca="1" si="434"/>
        <v>42114.004577759886</v>
      </c>
      <c r="C9267">
        <f t="shared" ca="1" si="432"/>
        <v>0</v>
      </c>
      <c r="D9267">
        <f t="shared" ca="1" si="433"/>
        <v>2114.0045777598862</v>
      </c>
    </row>
    <row r="9268" spans="2:4" x14ac:dyDescent="0.25">
      <c r="B9268">
        <f t="shared" ca="1" si="434"/>
        <v>45437.829722541581</v>
      </c>
      <c r="C9268">
        <f t="shared" ca="1" si="432"/>
        <v>0</v>
      </c>
      <c r="D9268">
        <f t="shared" ca="1" si="433"/>
        <v>5437.8297225415808</v>
      </c>
    </row>
    <row r="9269" spans="2:4" x14ac:dyDescent="0.25">
      <c r="B9269">
        <f t="shared" ca="1" si="434"/>
        <v>47194.624605980491</v>
      </c>
      <c r="C9269">
        <f t="shared" ca="1" si="432"/>
        <v>0</v>
      </c>
      <c r="D9269">
        <f t="shared" ca="1" si="433"/>
        <v>7194.6246059804907</v>
      </c>
    </row>
    <row r="9270" spans="2:4" x14ac:dyDescent="0.25">
      <c r="B9270">
        <f t="shared" ca="1" si="434"/>
        <v>39448.614669291434</v>
      </c>
      <c r="C9270">
        <f t="shared" ca="1" si="432"/>
        <v>551.38533070856647</v>
      </c>
      <c r="D9270">
        <f t="shared" ca="1" si="433"/>
        <v>0</v>
      </c>
    </row>
    <row r="9271" spans="2:4" x14ac:dyDescent="0.25">
      <c r="B9271">
        <f t="shared" ca="1" si="434"/>
        <v>40576.856802230555</v>
      </c>
      <c r="C9271">
        <f t="shared" ca="1" si="432"/>
        <v>0</v>
      </c>
      <c r="D9271">
        <f t="shared" ca="1" si="433"/>
        <v>576.85680223055533</v>
      </c>
    </row>
    <row r="9272" spans="2:4" x14ac:dyDescent="0.25">
      <c r="B9272">
        <f t="shared" ca="1" si="434"/>
        <v>45138.922394013272</v>
      </c>
      <c r="C9272">
        <f t="shared" ca="1" si="432"/>
        <v>0</v>
      </c>
      <c r="D9272">
        <f t="shared" ca="1" si="433"/>
        <v>5138.9223940132724</v>
      </c>
    </row>
    <row r="9273" spans="2:4" x14ac:dyDescent="0.25">
      <c r="B9273">
        <f t="shared" ca="1" si="434"/>
        <v>39424.865831318661</v>
      </c>
      <c r="C9273">
        <f t="shared" ca="1" si="432"/>
        <v>575.13416868133936</v>
      </c>
      <c r="D9273">
        <f t="shared" ca="1" si="433"/>
        <v>0</v>
      </c>
    </row>
    <row r="9274" spans="2:4" x14ac:dyDescent="0.25">
      <c r="B9274">
        <f t="shared" ca="1" si="434"/>
        <v>42001.895107469114</v>
      </c>
      <c r="C9274">
        <f t="shared" ca="1" si="432"/>
        <v>0</v>
      </c>
      <c r="D9274">
        <f t="shared" ca="1" si="433"/>
        <v>2001.895107469114</v>
      </c>
    </row>
    <row r="9275" spans="2:4" x14ac:dyDescent="0.25">
      <c r="B9275">
        <f t="shared" ca="1" si="434"/>
        <v>51023.992283568718</v>
      </c>
      <c r="C9275">
        <f t="shared" ca="1" si="432"/>
        <v>0</v>
      </c>
      <c r="D9275">
        <f t="shared" ca="1" si="433"/>
        <v>11023.992283568718</v>
      </c>
    </row>
    <row r="9276" spans="2:4" x14ac:dyDescent="0.25">
      <c r="B9276">
        <f t="shared" ca="1" si="434"/>
        <v>45689.350635175295</v>
      </c>
      <c r="C9276">
        <f t="shared" ca="1" si="432"/>
        <v>0</v>
      </c>
      <c r="D9276">
        <f t="shared" ca="1" si="433"/>
        <v>5689.3506351752949</v>
      </c>
    </row>
    <row r="9277" spans="2:4" x14ac:dyDescent="0.25">
      <c r="B9277">
        <f t="shared" ca="1" si="434"/>
        <v>41910.092547802342</v>
      </c>
      <c r="C9277">
        <f t="shared" ca="1" si="432"/>
        <v>0</v>
      </c>
      <c r="D9277">
        <f t="shared" ca="1" si="433"/>
        <v>1910.0925478023419</v>
      </c>
    </row>
    <row r="9278" spans="2:4" x14ac:dyDescent="0.25">
      <c r="B9278">
        <f t="shared" ca="1" si="434"/>
        <v>45677.222646847811</v>
      </c>
      <c r="C9278">
        <f t="shared" ca="1" si="432"/>
        <v>0</v>
      </c>
      <c r="D9278">
        <f t="shared" ca="1" si="433"/>
        <v>5677.2226468478111</v>
      </c>
    </row>
    <row r="9279" spans="2:4" x14ac:dyDescent="0.25">
      <c r="B9279">
        <f t="shared" ca="1" si="434"/>
        <v>43106.525529671628</v>
      </c>
      <c r="C9279">
        <f t="shared" ca="1" si="432"/>
        <v>0</v>
      </c>
      <c r="D9279">
        <f t="shared" ca="1" si="433"/>
        <v>3106.5255296716277</v>
      </c>
    </row>
    <row r="9280" spans="2:4" x14ac:dyDescent="0.25">
      <c r="B9280">
        <f t="shared" ca="1" si="434"/>
        <v>49905.168469492244</v>
      </c>
      <c r="C9280">
        <f t="shared" ca="1" si="432"/>
        <v>0</v>
      </c>
      <c r="D9280">
        <f t="shared" ca="1" si="433"/>
        <v>9905.1684694922442</v>
      </c>
    </row>
    <row r="9281" spans="2:4" x14ac:dyDescent="0.25">
      <c r="B9281">
        <f t="shared" ca="1" si="434"/>
        <v>36439.488582184327</v>
      </c>
      <c r="C9281">
        <f t="shared" ca="1" si="432"/>
        <v>3560.5114178156728</v>
      </c>
      <c r="D9281">
        <f t="shared" ca="1" si="433"/>
        <v>0</v>
      </c>
    </row>
    <row r="9282" spans="2:4" x14ac:dyDescent="0.25">
      <c r="B9282">
        <f t="shared" ca="1" si="434"/>
        <v>43499.423171464296</v>
      </c>
      <c r="C9282">
        <f t="shared" ca="1" si="432"/>
        <v>0</v>
      </c>
      <c r="D9282">
        <f t="shared" ca="1" si="433"/>
        <v>3499.4231714642956</v>
      </c>
    </row>
    <row r="9283" spans="2:4" x14ac:dyDescent="0.25">
      <c r="B9283">
        <f t="shared" ca="1" si="434"/>
        <v>40075.449050112569</v>
      </c>
      <c r="C9283">
        <f t="shared" ca="1" si="432"/>
        <v>0</v>
      </c>
      <c r="D9283">
        <f t="shared" ca="1" si="433"/>
        <v>75.449050112569239</v>
      </c>
    </row>
    <row r="9284" spans="2:4" x14ac:dyDescent="0.25">
      <c r="B9284">
        <f t="shared" ca="1" si="434"/>
        <v>46654.578794173663</v>
      </c>
      <c r="C9284">
        <f t="shared" ca="1" si="432"/>
        <v>0</v>
      </c>
      <c r="D9284">
        <f t="shared" ca="1" si="433"/>
        <v>6654.5787941736635</v>
      </c>
    </row>
    <row r="9285" spans="2:4" x14ac:dyDescent="0.25">
      <c r="B9285">
        <f t="shared" ca="1" si="434"/>
        <v>53605.88751694822</v>
      </c>
      <c r="C9285">
        <f t="shared" ca="1" si="432"/>
        <v>0</v>
      </c>
      <c r="D9285">
        <f t="shared" ca="1" si="433"/>
        <v>13605.88751694822</v>
      </c>
    </row>
    <row r="9286" spans="2:4" x14ac:dyDescent="0.25">
      <c r="B9286">
        <f t="shared" ca="1" si="434"/>
        <v>42473.69086049858</v>
      </c>
      <c r="C9286">
        <f t="shared" ca="1" si="432"/>
        <v>0</v>
      </c>
      <c r="D9286">
        <f t="shared" ca="1" si="433"/>
        <v>2473.6908604985802</v>
      </c>
    </row>
    <row r="9287" spans="2:4" x14ac:dyDescent="0.25">
      <c r="B9287">
        <f t="shared" ca="1" si="434"/>
        <v>46321.871090749897</v>
      </c>
      <c r="C9287">
        <f t="shared" ca="1" si="432"/>
        <v>0</v>
      </c>
      <c r="D9287">
        <f t="shared" ca="1" si="433"/>
        <v>6321.8710907498971</v>
      </c>
    </row>
    <row r="9288" spans="2:4" x14ac:dyDescent="0.25">
      <c r="B9288">
        <f t="shared" ca="1" si="434"/>
        <v>49592.769129165667</v>
      </c>
      <c r="C9288">
        <f t="shared" ca="1" si="432"/>
        <v>0</v>
      </c>
      <c r="D9288">
        <f t="shared" ca="1" si="433"/>
        <v>9592.7691291656665</v>
      </c>
    </row>
    <row r="9289" spans="2:4" x14ac:dyDescent="0.25">
      <c r="B9289">
        <f t="shared" ca="1" si="434"/>
        <v>51487.984277022588</v>
      </c>
      <c r="C9289">
        <f t="shared" ca="1" si="432"/>
        <v>0</v>
      </c>
      <c r="D9289">
        <f t="shared" ca="1" si="433"/>
        <v>11487.984277022588</v>
      </c>
    </row>
    <row r="9290" spans="2:4" x14ac:dyDescent="0.25">
      <c r="B9290">
        <f t="shared" ca="1" si="434"/>
        <v>38485.211081292982</v>
      </c>
      <c r="C9290">
        <f t="shared" ca="1" si="432"/>
        <v>1514.7889187070177</v>
      </c>
      <c r="D9290">
        <f t="shared" ca="1" si="433"/>
        <v>0</v>
      </c>
    </row>
    <row r="9291" spans="2:4" x14ac:dyDescent="0.25">
      <c r="B9291">
        <f t="shared" ca="1" si="434"/>
        <v>46019.147210932715</v>
      </c>
      <c r="C9291">
        <f t="shared" ca="1" si="432"/>
        <v>0</v>
      </c>
      <c r="D9291">
        <f t="shared" ca="1" si="433"/>
        <v>6019.1472109327151</v>
      </c>
    </row>
    <row r="9292" spans="2:4" x14ac:dyDescent="0.25">
      <c r="B9292">
        <f t="shared" ca="1" si="434"/>
        <v>43261.882597313815</v>
      </c>
      <c r="C9292">
        <f t="shared" ref="C9292:C9355" ca="1" si="435">IF(MAX($B$2-B9292)&lt;0,0,$B$2-B9292)</f>
        <v>0</v>
      </c>
      <c r="D9292">
        <f t="shared" ref="D9292:D9355" ca="1" si="436">IF(MAX(B9292-$B$2)&lt;0,0,B9292-$B$2)</f>
        <v>3261.8825973138155</v>
      </c>
    </row>
    <row r="9293" spans="2:4" x14ac:dyDescent="0.25">
      <c r="B9293">
        <f t="shared" ref="B9293:B9356" ca="1" si="437">$B$1*EXP((($B$4-($B$3^2)/2)*$B$5+$B$3*SQRT($B$5)*NORMSINV(RAND())))</f>
        <v>45477.69915289287</v>
      </c>
      <c r="C9293">
        <f t="shared" ca="1" si="435"/>
        <v>0</v>
      </c>
      <c r="D9293">
        <f t="shared" ca="1" si="436"/>
        <v>5477.6991528928702</v>
      </c>
    </row>
    <row r="9294" spans="2:4" x14ac:dyDescent="0.25">
      <c r="B9294">
        <f t="shared" ca="1" si="437"/>
        <v>43132.540706197557</v>
      </c>
      <c r="C9294">
        <f t="shared" ca="1" si="435"/>
        <v>0</v>
      </c>
      <c r="D9294">
        <f t="shared" ca="1" si="436"/>
        <v>3132.5407061975566</v>
      </c>
    </row>
    <row r="9295" spans="2:4" x14ac:dyDescent="0.25">
      <c r="B9295">
        <f t="shared" ca="1" si="437"/>
        <v>47469.102604604806</v>
      </c>
      <c r="C9295">
        <f t="shared" ca="1" si="435"/>
        <v>0</v>
      </c>
      <c r="D9295">
        <f t="shared" ca="1" si="436"/>
        <v>7469.1026046048064</v>
      </c>
    </row>
    <row r="9296" spans="2:4" x14ac:dyDescent="0.25">
      <c r="B9296">
        <f t="shared" ca="1" si="437"/>
        <v>42921.492550289848</v>
      </c>
      <c r="C9296">
        <f t="shared" ca="1" si="435"/>
        <v>0</v>
      </c>
      <c r="D9296">
        <f t="shared" ca="1" si="436"/>
        <v>2921.4925502898477</v>
      </c>
    </row>
    <row r="9297" spans="2:4" x14ac:dyDescent="0.25">
      <c r="B9297">
        <f t="shared" ca="1" si="437"/>
        <v>49766.987845594653</v>
      </c>
      <c r="C9297">
        <f t="shared" ca="1" si="435"/>
        <v>0</v>
      </c>
      <c r="D9297">
        <f t="shared" ca="1" si="436"/>
        <v>9766.9878455946528</v>
      </c>
    </row>
    <row r="9298" spans="2:4" x14ac:dyDescent="0.25">
      <c r="B9298">
        <f t="shared" ca="1" si="437"/>
        <v>47606.372427982082</v>
      </c>
      <c r="C9298">
        <f t="shared" ca="1" si="435"/>
        <v>0</v>
      </c>
      <c r="D9298">
        <f t="shared" ca="1" si="436"/>
        <v>7606.3724279820817</v>
      </c>
    </row>
    <row r="9299" spans="2:4" x14ac:dyDescent="0.25">
      <c r="B9299">
        <f t="shared" ca="1" si="437"/>
        <v>53857.047057652569</v>
      </c>
      <c r="C9299">
        <f t="shared" ca="1" si="435"/>
        <v>0</v>
      </c>
      <c r="D9299">
        <f t="shared" ca="1" si="436"/>
        <v>13857.047057652569</v>
      </c>
    </row>
    <row r="9300" spans="2:4" x14ac:dyDescent="0.25">
      <c r="B9300">
        <f t="shared" ca="1" si="437"/>
        <v>44171.286456232483</v>
      </c>
      <c r="C9300">
        <f t="shared" ca="1" si="435"/>
        <v>0</v>
      </c>
      <c r="D9300">
        <f t="shared" ca="1" si="436"/>
        <v>4171.286456232483</v>
      </c>
    </row>
    <row r="9301" spans="2:4" x14ac:dyDescent="0.25">
      <c r="B9301">
        <f t="shared" ca="1" si="437"/>
        <v>51458.769017845138</v>
      </c>
      <c r="C9301">
        <f t="shared" ca="1" si="435"/>
        <v>0</v>
      </c>
      <c r="D9301">
        <f t="shared" ca="1" si="436"/>
        <v>11458.769017845138</v>
      </c>
    </row>
    <row r="9302" spans="2:4" x14ac:dyDescent="0.25">
      <c r="B9302">
        <f t="shared" ca="1" si="437"/>
        <v>43844.51357986396</v>
      </c>
      <c r="C9302">
        <f t="shared" ca="1" si="435"/>
        <v>0</v>
      </c>
      <c r="D9302">
        <f t="shared" ca="1" si="436"/>
        <v>3844.5135798639603</v>
      </c>
    </row>
    <row r="9303" spans="2:4" x14ac:dyDescent="0.25">
      <c r="B9303">
        <f t="shared" ca="1" si="437"/>
        <v>44838.056354400178</v>
      </c>
      <c r="C9303">
        <f t="shared" ca="1" si="435"/>
        <v>0</v>
      </c>
      <c r="D9303">
        <f t="shared" ca="1" si="436"/>
        <v>4838.056354400178</v>
      </c>
    </row>
    <row r="9304" spans="2:4" x14ac:dyDescent="0.25">
      <c r="B9304">
        <f t="shared" ca="1" si="437"/>
        <v>51950.522669890917</v>
      </c>
      <c r="C9304">
        <f t="shared" ca="1" si="435"/>
        <v>0</v>
      </c>
      <c r="D9304">
        <f t="shared" ca="1" si="436"/>
        <v>11950.522669890917</v>
      </c>
    </row>
    <row r="9305" spans="2:4" x14ac:dyDescent="0.25">
      <c r="B9305">
        <f t="shared" ca="1" si="437"/>
        <v>42790.841602945453</v>
      </c>
      <c r="C9305">
        <f t="shared" ca="1" si="435"/>
        <v>0</v>
      </c>
      <c r="D9305">
        <f t="shared" ca="1" si="436"/>
        <v>2790.8416029454529</v>
      </c>
    </row>
    <row r="9306" spans="2:4" x14ac:dyDescent="0.25">
      <c r="B9306">
        <f t="shared" ca="1" si="437"/>
        <v>43781.025450851062</v>
      </c>
      <c r="C9306">
        <f t="shared" ca="1" si="435"/>
        <v>0</v>
      </c>
      <c r="D9306">
        <f t="shared" ca="1" si="436"/>
        <v>3781.0254508510625</v>
      </c>
    </row>
    <row r="9307" spans="2:4" x14ac:dyDescent="0.25">
      <c r="B9307">
        <f t="shared" ca="1" si="437"/>
        <v>43132.868113552038</v>
      </c>
      <c r="C9307">
        <f t="shared" ca="1" si="435"/>
        <v>0</v>
      </c>
      <c r="D9307">
        <f t="shared" ca="1" si="436"/>
        <v>3132.8681135520383</v>
      </c>
    </row>
    <row r="9308" spans="2:4" x14ac:dyDescent="0.25">
      <c r="B9308">
        <f t="shared" ca="1" si="437"/>
        <v>43243.91732100278</v>
      </c>
      <c r="C9308">
        <f t="shared" ca="1" si="435"/>
        <v>0</v>
      </c>
      <c r="D9308">
        <f t="shared" ca="1" si="436"/>
        <v>3243.9173210027802</v>
      </c>
    </row>
    <row r="9309" spans="2:4" x14ac:dyDescent="0.25">
      <c r="B9309">
        <f t="shared" ca="1" si="437"/>
        <v>45255.067046975055</v>
      </c>
      <c r="C9309">
        <f t="shared" ca="1" si="435"/>
        <v>0</v>
      </c>
      <c r="D9309">
        <f t="shared" ca="1" si="436"/>
        <v>5255.0670469750548</v>
      </c>
    </row>
    <row r="9310" spans="2:4" x14ac:dyDescent="0.25">
      <c r="B9310">
        <f t="shared" ca="1" si="437"/>
        <v>44595.260498170617</v>
      </c>
      <c r="C9310">
        <f t="shared" ca="1" si="435"/>
        <v>0</v>
      </c>
      <c r="D9310">
        <f t="shared" ca="1" si="436"/>
        <v>4595.2604981706172</v>
      </c>
    </row>
    <row r="9311" spans="2:4" x14ac:dyDescent="0.25">
      <c r="B9311">
        <f t="shared" ca="1" si="437"/>
        <v>36592.854740987968</v>
      </c>
      <c r="C9311">
        <f t="shared" ca="1" si="435"/>
        <v>3407.1452590120316</v>
      </c>
      <c r="D9311">
        <f t="shared" ca="1" si="436"/>
        <v>0</v>
      </c>
    </row>
    <row r="9312" spans="2:4" x14ac:dyDescent="0.25">
      <c r="B9312">
        <f t="shared" ca="1" si="437"/>
        <v>48756.614590943325</v>
      </c>
      <c r="C9312">
        <f t="shared" ca="1" si="435"/>
        <v>0</v>
      </c>
      <c r="D9312">
        <f t="shared" ca="1" si="436"/>
        <v>8756.6145909433253</v>
      </c>
    </row>
    <row r="9313" spans="2:4" x14ac:dyDescent="0.25">
      <c r="B9313">
        <f t="shared" ca="1" si="437"/>
        <v>46909.206447459328</v>
      </c>
      <c r="C9313">
        <f t="shared" ca="1" si="435"/>
        <v>0</v>
      </c>
      <c r="D9313">
        <f t="shared" ca="1" si="436"/>
        <v>6909.206447459328</v>
      </c>
    </row>
    <row r="9314" spans="2:4" x14ac:dyDescent="0.25">
      <c r="B9314">
        <f t="shared" ca="1" si="437"/>
        <v>44279.730841446231</v>
      </c>
      <c r="C9314">
        <f t="shared" ca="1" si="435"/>
        <v>0</v>
      </c>
      <c r="D9314">
        <f t="shared" ca="1" si="436"/>
        <v>4279.7308414462314</v>
      </c>
    </row>
    <row r="9315" spans="2:4" x14ac:dyDescent="0.25">
      <c r="B9315">
        <f t="shared" ca="1" si="437"/>
        <v>53707.833616243202</v>
      </c>
      <c r="C9315">
        <f t="shared" ca="1" si="435"/>
        <v>0</v>
      </c>
      <c r="D9315">
        <f t="shared" ca="1" si="436"/>
        <v>13707.833616243202</v>
      </c>
    </row>
    <row r="9316" spans="2:4" x14ac:dyDescent="0.25">
      <c r="B9316">
        <f t="shared" ca="1" si="437"/>
        <v>46667.259583552877</v>
      </c>
      <c r="C9316">
        <f t="shared" ca="1" si="435"/>
        <v>0</v>
      </c>
      <c r="D9316">
        <f t="shared" ca="1" si="436"/>
        <v>6667.2595835528773</v>
      </c>
    </row>
    <row r="9317" spans="2:4" x14ac:dyDescent="0.25">
      <c r="B9317">
        <f t="shared" ca="1" si="437"/>
        <v>44552.429988877986</v>
      </c>
      <c r="C9317">
        <f t="shared" ca="1" si="435"/>
        <v>0</v>
      </c>
      <c r="D9317">
        <f t="shared" ca="1" si="436"/>
        <v>4552.429988877986</v>
      </c>
    </row>
    <row r="9318" spans="2:4" x14ac:dyDescent="0.25">
      <c r="B9318">
        <f t="shared" ca="1" si="437"/>
        <v>47143.232751472839</v>
      </c>
      <c r="C9318">
        <f t="shared" ca="1" si="435"/>
        <v>0</v>
      </c>
      <c r="D9318">
        <f t="shared" ca="1" si="436"/>
        <v>7143.2327514728386</v>
      </c>
    </row>
    <row r="9319" spans="2:4" x14ac:dyDescent="0.25">
      <c r="B9319">
        <f t="shared" ca="1" si="437"/>
        <v>47204.774838126148</v>
      </c>
      <c r="C9319">
        <f t="shared" ca="1" si="435"/>
        <v>0</v>
      </c>
      <c r="D9319">
        <f t="shared" ca="1" si="436"/>
        <v>7204.7748381261481</v>
      </c>
    </row>
    <row r="9320" spans="2:4" x14ac:dyDescent="0.25">
      <c r="B9320">
        <f t="shared" ca="1" si="437"/>
        <v>37773.130198925632</v>
      </c>
      <c r="C9320">
        <f t="shared" ca="1" si="435"/>
        <v>2226.8698010743683</v>
      </c>
      <c r="D9320">
        <f t="shared" ca="1" si="436"/>
        <v>0</v>
      </c>
    </row>
    <row r="9321" spans="2:4" x14ac:dyDescent="0.25">
      <c r="B9321">
        <f t="shared" ca="1" si="437"/>
        <v>45089.30487916003</v>
      </c>
      <c r="C9321">
        <f t="shared" ca="1" si="435"/>
        <v>0</v>
      </c>
      <c r="D9321">
        <f t="shared" ca="1" si="436"/>
        <v>5089.3048791600304</v>
      </c>
    </row>
    <row r="9322" spans="2:4" x14ac:dyDescent="0.25">
      <c r="B9322">
        <f t="shared" ca="1" si="437"/>
        <v>42867.029361037021</v>
      </c>
      <c r="C9322">
        <f t="shared" ca="1" si="435"/>
        <v>0</v>
      </c>
      <c r="D9322">
        <f t="shared" ca="1" si="436"/>
        <v>2867.0293610370209</v>
      </c>
    </row>
    <row r="9323" spans="2:4" x14ac:dyDescent="0.25">
      <c r="B9323">
        <f t="shared" ca="1" si="437"/>
        <v>42504.175281209733</v>
      </c>
      <c r="C9323">
        <f t="shared" ca="1" si="435"/>
        <v>0</v>
      </c>
      <c r="D9323">
        <f t="shared" ca="1" si="436"/>
        <v>2504.1752812097329</v>
      </c>
    </row>
    <row r="9324" spans="2:4" x14ac:dyDescent="0.25">
      <c r="B9324">
        <f t="shared" ca="1" si="437"/>
        <v>50733.010075804719</v>
      </c>
      <c r="C9324">
        <f t="shared" ca="1" si="435"/>
        <v>0</v>
      </c>
      <c r="D9324">
        <f t="shared" ca="1" si="436"/>
        <v>10733.010075804719</v>
      </c>
    </row>
    <row r="9325" spans="2:4" x14ac:dyDescent="0.25">
      <c r="B9325">
        <f t="shared" ca="1" si="437"/>
        <v>50511.328461415615</v>
      </c>
      <c r="C9325">
        <f t="shared" ca="1" si="435"/>
        <v>0</v>
      </c>
      <c r="D9325">
        <f t="shared" ca="1" si="436"/>
        <v>10511.328461415615</v>
      </c>
    </row>
    <row r="9326" spans="2:4" x14ac:dyDescent="0.25">
      <c r="B9326">
        <f t="shared" ca="1" si="437"/>
        <v>49543.758237094669</v>
      </c>
      <c r="C9326">
        <f t="shared" ca="1" si="435"/>
        <v>0</v>
      </c>
      <c r="D9326">
        <f t="shared" ca="1" si="436"/>
        <v>9543.7582370946693</v>
      </c>
    </row>
    <row r="9327" spans="2:4" x14ac:dyDescent="0.25">
      <c r="B9327">
        <f t="shared" ca="1" si="437"/>
        <v>46730.499870602849</v>
      </c>
      <c r="C9327">
        <f t="shared" ca="1" si="435"/>
        <v>0</v>
      </c>
      <c r="D9327">
        <f t="shared" ca="1" si="436"/>
        <v>6730.4998706028491</v>
      </c>
    </row>
    <row r="9328" spans="2:4" x14ac:dyDescent="0.25">
      <c r="B9328">
        <f t="shared" ca="1" si="437"/>
        <v>47252.782762514697</v>
      </c>
      <c r="C9328">
        <f t="shared" ca="1" si="435"/>
        <v>0</v>
      </c>
      <c r="D9328">
        <f t="shared" ca="1" si="436"/>
        <v>7252.7827625146965</v>
      </c>
    </row>
    <row r="9329" spans="2:4" x14ac:dyDescent="0.25">
      <c r="B9329">
        <f t="shared" ca="1" si="437"/>
        <v>46828.983699440469</v>
      </c>
      <c r="C9329">
        <f t="shared" ca="1" si="435"/>
        <v>0</v>
      </c>
      <c r="D9329">
        <f t="shared" ca="1" si="436"/>
        <v>6828.9836994404686</v>
      </c>
    </row>
    <row r="9330" spans="2:4" x14ac:dyDescent="0.25">
      <c r="B9330">
        <f t="shared" ca="1" si="437"/>
        <v>43693.438250106155</v>
      </c>
      <c r="C9330">
        <f t="shared" ca="1" si="435"/>
        <v>0</v>
      </c>
      <c r="D9330">
        <f t="shared" ca="1" si="436"/>
        <v>3693.4382501061555</v>
      </c>
    </row>
    <row r="9331" spans="2:4" x14ac:dyDescent="0.25">
      <c r="B9331">
        <f t="shared" ca="1" si="437"/>
        <v>44631.436505105332</v>
      </c>
      <c r="C9331">
        <f t="shared" ca="1" si="435"/>
        <v>0</v>
      </c>
      <c r="D9331">
        <f t="shared" ca="1" si="436"/>
        <v>4631.4365051053319</v>
      </c>
    </row>
    <row r="9332" spans="2:4" x14ac:dyDescent="0.25">
      <c r="B9332">
        <f t="shared" ca="1" si="437"/>
        <v>39859.637948185082</v>
      </c>
      <c r="C9332">
        <f t="shared" ca="1" si="435"/>
        <v>140.36205181491823</v>
      </c>
      <c r="D9332">
        <f t="shared" ca="1" si="436"/>
        <v>0</v>
      </c>
    </row>
    <row r="9333" spans="2:4" x14ac:dyDescent="0.25">
      <c r="B9333">
        <f t="shared" ca="1" si="437"/>
        <v>41244.728888860889</v>
      </c>
      <c r="C9333">
        <f t="shared" ca="1" si="435"/>
        <v>0</v>
      </c>
      <c r="D9333">
        <f t="shared" ca="1" si="436"/>
        <v>1244.7288888608891</v>
      </c>
    </row>
    <row r="9334" spans="2:4" x14ac:dyDescent="0.25">
      <c r="B9334">
        <f t="shared" ca="1" si="437"/>
        <v>44570.829870790592</v>
      </c>
      <c r="C9334">
        <f t="shared" ca="1" si="435"/>
        <v>0</v>
      </c>
      <c r="D9334">
        <f t="shared" ca="1" si="436"/>
        <v>4570.8298707905924</v>
      </c>
    </row>
    <row r="9335" spans="2:4" x14ac:dyDescent="0.25">
      <c r="B9335">
        <f t="shared" ca="1" si="437"/>
        <v>40618.862160414625</v>
      </c>
      <c r="C9335">
        <f t="shared" ca="1" si="435"/>
        <v>0</v>
      </c>
      <c r="D9335">
        <f t="shared" ca="1" si="436"/>
        <v>618.86216041462467</v>
      </c>
    </row>
    <row r="9336" spans="2:4" x14ac:dyDescent="0.25">
      <c r="B9336">
        <f t="shared" ca="1" si="437"/>
        <v>43745.358294169491</v>
      </c>
      <c r="C9336">
        <f t="shared" ca="1" si="435"/>
        <v>0</v>
      </c>
      <c r="D9336">
        <f t="shared" ca="1" si="436"/>
        <v>3745.3582941694913</v>
      </c>
    </row>
    <row r="9337" spans="2:4" x14ac:dyDescent="0.25">
      <c r="B9337">
        <f t="shared" ca="1" si="437"/>
        <v>50050.052995819016</v>
      </c>
      <c r="C9337">
        <f t="shared" ca="1" si="435"/>
        <v>0</v>
      </c>
      <c r="D9337">
        <f t="shared" ca="1" si="436"/>
        <v>10050.052995819016</v>
      </c>
    </row>
    <row r="9338" spans="2:4" x14ac:dyDescent="0.25">
      <c r="B9338">
        <f t="shared" ca="1" si="437"/>
        <v>41992.612354907425</v>
      </c>
      <c r="C9338">
        <f t="shared" ca="1" si="435"/>
        <v>0</v>
      </c>
      <c r="D9338">
        <f t="shared" ca="1" si="436"/>
        <v>1992.6123549074255</v>
      </c>
    </row>
    <row r="9339" spans="2:4" x14ac:dyDescent="0.25">
      <c r="B9339">
        <f t="shared" ca="1" si="437"/>
        <v>44213.571173768833</v>
      </c>
      <c r="C9339">
        <f t="shared" ca="1" si="435"/>
        <v>0</v>
      </c>
      <c r="D9339">
        <f t="shared" ca="1" si="436"/>
        <v>4213.5711737688325</v>
      </c>
    </row>
    <row r="9340" spans="2:4" x14ac:dyDescent="0.25">
      <c r="B9340">
        <f t="shared" ca="1" si="437"/>
        <v>42899.295841100218</v>
      </c>
      <c r="C9340">
        <f t="shared" ca="1" si="435"/>
        <v>0</v>
      </c>
      <c r="D9340">
        <f t="shared" ca="1" si="436"/>
        <v>2899.2958411002182</v>
      </c>
    </row>
    <row r="9341" spans="2:4" x14ac:dyDescent="0.25">
      <c r="B9341">
        <f t="shared" ca="1" si="437"/>
        <v>43743.695647959488</v>
      </c>
      <c r="C9341">
        <f t="shared" ca="1" si="435"/>
        <v>0</v>
      </c>
      <c r="D9341">
        <f t="shared" ca="1" si="436"/>
        <v>3743.6956479594883</v>
      </c>
    </row>
    <row r="9342" spans="2:4" x14ac:dyDescent="0.25">
      <c r="B9342">
        <f t="shared" ca="1" si="437"/>
        <v>53244.926866344853</v>
      </c>
      <c r="C9342">
        <f t="shared" ca="1" si="435"/>
        <v>0</v>
      </c>
      <c r="D9342">
        <f t="shared" ca="1" si="436"/>
        <v>13244.926866344853</v>
      </c>
    </row>
    <row r="9343" spans="2:4" x14ac:dyDescent="0.25">
      <c r="B9343">
        <f t="shared" ca="1" si="437"/>
        <v>53697.095652039847</v>
      </c>
      <c r="C9343">
        <f t="shared" ca="1" si="435"/>
        <v>0</v>
      </c>
      <c r="D9343">
        <f t="shared" ca="1" si="436"/>
        <v>13697.095652039847</v>
      </c>
    </row>
    <row r="9344" spans="2:4" x14ac:dyDescent="0.25">
      <c r="B9344">
        <f t="shared" ca="1" si="437"/>
        <v>42919.280341657148</v>
      </c>
      <c r="C9344">
        <f t="shared" ca="1" si="435"/>
        <v>0</v>
      </c>
      <c r="D9344">
        <f t="shared" ca="1" si="436"/>
        <v>2919.2803416571478</v>
      </c>
    </row>
    <row r="9345" spans="2:4" x14ac:dyDescent="0.25">
      <c r="B9345">
        <f t="shared" ca="1" si="437"/>
        <v>45411.792509808016</v>
      </c>
      <c r="C9345">
        <f t="shared" ca="1" si="435"/>
        <v>0</v>
      </c>
      <c r="D9345">
        <f t="shared" ca="1" si="436"/>
        <v>5411.7925098080159</v>
      </c>
    </row>
    <row r="9346" spans="2:4" x14ac:dyDescent="0.25">
      <c r="B9346">
        <f t="shared" ca="1" si="437"/>
        <v>52178.297000784711</v>
      </c>
      <c r="C9346">
        <f t="shared" ca="1" si="435"/>
        <v>0</v>
      </c>
      <c r="D9346">
        <f t="shared" ca="1" si="436"/>
        <v>12178.297000784711</v>
      </c>
    </row>
    <row r="9347" spans="2:4" x14ac:dyDescent="0.25">
      <c r="B9347">
        <f t="shared" ca="1" si="437"/>
        <v>46484.741260505893</v>
      </c>
      <c r="C9347">
        <f t="shared" ca="1" si="435"/>
        <v>0</v>
      </c>
      <c r="D9347">
        <f t="shared" ca="1" si="436"/>
        <v>6484.7412605058926</v>
      </c>
    </row>
    <row r="9348" spans="2:4" x14ac:dyDescent="0.25">
      <c r="B9348">
        <f t="shared" ca="1" si="437"/>
        <v>48290.844498785489</v>
      </c>
      <c r="C9348">
        <f t="shared" ca="1" si="435"/>
        <v>0</v>
      </c>
      <c r="D9348">
        <f t="shared" ca="1" si="436"/>
        <v>8290.8444987854891</v>
      </c>
    </row>
    <row r="9349" spans="2:4" x14ac:dyDescent="0.25">
      <c r="B9349">
        <f t="shared" ca="1" si="437"/>
        <v>43130.750693018337</v>
      </c>
      <c r="C9349">
        <f t="shared" ca="1" si="435"/>
        <v>0</v>
      </c>
      <c r="D9349">
        <f t="shared" ca="1" si="436"/>
        <v>3130.7506930183372</v>
      </c>
    </row>
    <row r="9350" spans="2:4" x14ac:dyDescent="0.25">
      <c r="B9350">
        <f t="shared" ca="1" si="437"/>
        <v>46694.615420005437</v>
      </c>
      <c r="C9350">
        <f t="shared" ca="1" si="435"/>
        <v>0</v>
      </c>
      <c r="D9350">
        <f t="shared" ca="1" si="436"/>
        <v>6694.615420005437</v>
      </c>
    </row>
    <row r="9351" spans="2:4" x14ac:dyDescent="0.25">
      <c r="B9351">
        <f t="shared" ca="1" si="437"/>
        <v>50549.525508983199</v>
      </c>
      <c r="C9351">
        <f t="shared" ca="1" si="435"/>
        <v>0</v>
      </c>
      <c r="D9351">
        <f t="shared" ca="1" si="436"/>
        <v>10549.525508983199</v>
      </c>
    </row>
    <row r="9352" spans="2:4" x14ac:dyDescent="0.25">
      <c r="B9352">
        <f t="shared" ca="1" si="437"/>
        <v>47836.149417520814</v>
      </c>
      <c r="C9352">
        <f t="shared" ca="1" si="435"/>
        <v>0</v>
      </c>
      <c r="D9352">
        <f t="shared" ca="1" si="436"/>
        <v>7836.1494175208136</v>
      </c>
    </row>
    <row r="9353" spans="2:4" x14ac:dyDescent="0.25">
      <c r="B9353">
        <f t="shared" ca="1" si="437"/>
        <v>52066.478004080804</v>
      </c>
      <c r="C9353">
        <f t="shared" ca="1" si="435"/>
        <v>0</v>
      </c>
      <c r="D9353">
        <f t="shared" ca="1" si="436"/>
        <v>12066.478004080804</v>
      </c>
    </row>
    <row r="9354" spans="2:4" x14ac:dyDescent="0.25">
      <c r="B9354">
        <f t="shared" ca="1" si="437"/>
        <v>40362.859288584667</v>
      </c>
      <c r="C9354">
        <f t="shared" ca="1" si="435"/>
        <v>0</v>
      </c>
      <c r="D9354">
        <f t="shared" ca="1" si="436"/>
        <v>362.8592885846665</v>
      </c>
    </row>
    <row r="9355" spans="2:4" x14ac:dyDescent="0.25">
      <c r="B9355">
        <f t="shared" ca="1" si="437"/>
        <v>38579.594966453951</v>
      </c>
      <c r="C9355">
        <f t="shared" ca="1" si="435"/>
        <v>1420.4050335460488</v>
      </c>
      <c r="D9355">
        <f t="shared" ca="1" si="436"/>
        <v>0</v>
      </c>
    </row>
    <row r="9356" spans="2:4" x14ac:dyDescent="0.25">
      <c r="B9356">
        <f t="shared" ca="1" si="437"/>
        <v>51574.938460875659</v>
      </c>
      <c r="C9356">
        <f t="shared" ref="C9356:C9419" ca="1" si="438">IF(MAX($B$2-B9356)&lt;0,0,$B$2-B9356)</f>
        <v>0</v>
      </c>
      <c r="D9356">
        <f t="shared" ref="D9356:D9419" ca="1" si="439">IF(MAX(B9356-$B$2)&lt;0,0,B9356-$B$2)</f>
        <v>11574.938460875659</v>
      </c>
    </row>
    <row r="9357" spans="2:4" x14ac:dyDescent="0.25">
      <c r="B9357">
        <f t="shared" ref="B9357:B9420" ca="1" si="440">$B$1*EXP((($B$4-($B$3^2)/2)*$B$5+$B$3*SQRT($B$5)*NORMSINV(RAND())))</f>
        <v>48693.334955991377</v>
      </c>
      <c r="C9357">
        <f t="shared" ca="1" si="438"/>
        <v>0</v>
      </c>
      <c r="D9357">
        <f t="shared" ca="1" si="439"/>
        <v>8693.3349559913768</v>
      </c>
    </row>
    <row r="9358" spans="2:4" x14ac:dyDescent="0.25">
      <c r="B9358">
        <f t="shared" ca="1" si="440"/>
        <v>42068.450457728701</v>
      </c>
      <c r="C9358">
        <f t="shared" ca="1" si="438"/>
        <v>0</v>
      </c>
      <c r="D9358">
        <f t="shared" ca="1" si="439"/>
        <v>2068.4504577287007</v>
      </c>
    </row>
    <row r="9359" spans="2:4" x14ac:dyDescent="0.25">
      <c r="B9359">
        <f t="shared" ca="1" si="440"/>
        <v>40848.593195822104</v>
      </c>
      <c r="C9359">
        <f t="shared" ca="1" si="438"/>
        <v>0</v>
      </c>
      <c r="D9359">
        <f t="shared" ca="1" si="439"/>
        <v>848.59319582210446</v>
      </c>
    </row>
    <row r="9360" spans="2:4" x14ac:dyDescent="0.25">
      <c r="B9360">
        <f t="shared" ca="1" si="440"/>
        <v>44634.112975581411</v>
      </c>
      <c r="C9360">
        <f t="shared" ca="1" si="438"/>
        <v>0</v>
      </c>
      <c r="D9360">
        <f t="shared" ca="1" si="439"/>
        <v>4634.1129755814109</v>
      </c>
    </row>
    <row r="9361" spans="2:4" x14ac:dyDescent="0.25">
      <c r="B9361">
        <f t="shared" ca="1" si="440"/>
        <v>40026.772943568089</v>
      </c>
      <c r="C9361">
        <f t="shared" ca="1" si="438"/>
        <v>0</v>
      </c>
      <c r="D9361">
        <f t="shared" ca="1" si="439"/>
        <v>26.772943568088522</v>
      </c>
    </row>
    <row r="9362" spans="2:4" x14ac:dyDescent="0.25">
      <c r="B9362">
        <f t="shared" ca="1" si="440"/>
        <v>31347.203472635265</v>
      </c>
      <c r="C9362">
        <f t="shared" ca="1" si="438"/>
        <v>8652.7965273647351</v>
      </c>
      <c r="D9362">
        <f t="shared" ca="1" si="439"/>
        <v>0</v>
      </c>
    </row>
    <row r="9363" spans="2:4" x14ac:dyDescent="0.25">
      <c r="B9363">
        <f t="shared" ca="1" si="440"/>
        <v>42517.628570085966</v>
      </c>
      <c r="C9363">
        <f t="shared" ca="1" si="438"/>
        <v>0</v>
      </c>
      <c r="D9363">
        <f t="shared" ca="1" si="439"/>
        <v>2517.6285700859662</v>
      </c>
    </row>
    <row r="9364" spans="2:4" x14ac:dyDescent="0.25">
      <c r="B9364">
        <f t="shared" ca="1" si="440"/>
        <v>39143.802137304461</v>
      </c>
      <c r="C9364">
        <f t="shared" ca="1" si="438"/>
        <v>856.19786269553879</v>
      </c>
      <c r="D9364">
        <f t="shared" ca="1" si="439"/>
        <v>0</v>
      </c>
    </row>
    <row r="9365" spans="2:4" x14ac:dyDescent="0.25">
      <c r="B9365">
        <f t="shared" ca="1" si="440"/>
        <v>46583.532251760778</v>
      </c>
      <c r="C9365">
        <f t="shared" ca="1" si="438"/>
        <v>0</v>
      </c>
      <c r="D9365">
        <f t="shared" ca="1" si="439"/>
        <v>6583.5322517607783</v>
      </c>
    </row>
    <row r="9366" spans="2:4" x14ac:dyDescent="0.25">
      <c r="B9366">
        <f t="shared" ca="1" si="440"/>
        <v>46005.591942800085</v>
      </c>
      <c r="C9366">
        <f t="shared" ca="1" si="438"/>
        <v>0</v>
      </c>
      <c r="D9366">
        <f t="shared" ca="1" si="439"/>
        <v>6005.5919428000852</v>
      </c>
    </row>
    <row r="9367" spans="2:4" x14ac:dyDescent="0.25">
      <c r="B9367">
        <f t="shared" ca="1" si="440"/>
        <v>41630.345445086452</v>
      </c>
      <c r="C9367">
        <f t="shared" ca="1" si="438"/>
        <v>0</v>
      </c>
      <c r="D9367">
        <f t="shared" ca="1" si="439"/>
        <v>1630.3454450864519</v>
      </c>
    </row>
    <row r="9368" spans="2:4" x14ac:dyDescent="0.25">
      <c r="B9368">
        <f t="shared" ca="1" si="440"/>
        <v>42970.8203633292</v>
      </c>
      <c r="C9368">
        <f t="shared" ca="1" si="438"/>
        <v>0</v>
      </c>
      <c r="D9368">
        <f t="shared" ca="1" si="439"/>
        <v>2970.8203633291996</v>
      </c>
    </row>
    <row r="9369" spans="2:4" x14ac:dyDescent="0.25">
      <c r="B9369">
        <f t="shared" ca="1" si="440"/>
        <v>40266.31665285537</v>
      </c>
      <c r="C9369">
        <f t="shared" ca="1" si="438"/>
        <v>0</v>
      </c>
      <c r="D9369">
        <f t="shared" ca="1" si="439"/>
        <v>266.31665285537019</v>
      </c>
    </row>
    <row r="9370" spans="2:4" x14ac:dyDescent="0.25">
      <c r="B9370">
        <f t="shared" ca="1" si="440"/>
        <v>45542.528484516602</v>
      </c>
      <c r="C9370">
        <f t="shared" ca="1" si="438"/>
        <v>0</v>
      </c>
      <c r="D9370">
        <f t="shared" ca="1" si="439"/>
        <v>5542.5284845166025</v>
      </c>
    </row>
    <row r="9371" spans="2:4" x14ac:dyDescent="0.25">
      <c r="B9371">
        <f t="shared" ca="1" si="440"/>
        <v>42772.814248286857</v>
      </c>
      <c r="C9371">
        <f t="shared" ca="1" si="438"/>
        <v>0</v>
      </c>
      <c r="D9371">
        <f t="shared" ca="1" si="439"/>
        <v>2772.814248286857</v>
      </c>
    </row>
    <row r="9372" spans="2:4" x14ac:dyDescent="0.25">
      <c r="B9372">
        <f t="shared" ca="1" si="440"/>
        <v>52346.563880116009</v>
      </c>
      <c r="C9372">
        <f t="shared" ca="1" si="438"/>
        <v>0</v>
      </c>
      <c r="D9372">
        <f t="shared" ca="1" si="439"/>
        <v>12346.563880116009</v>
      </c>
    </row>
    <row r="9373" spans="2:4" x14ac:dyDescent="0.25">
      <c r="B9373">
        <f t="shared" ca="1" si="440"/>
        <v>44373.776427377314</v>
      </c>
      <c r="C9373">
        <f t="shared" ca="1" si="438"/>
        <v>0</v>
      </c>
      <c r="D9373">
        <f t="shared" ca="1" si="439"/>
        <v>4373.7764273773137</v>
      </c>
    </row>
    <row r="9374" spans="2:4" x14ac:dyDescent="0.25">
      <c r="B9374">
        <f t="shared" ca="1" si="440"/>
        <v>40193.371457900852</v>
      </c>
      <c r="C9374">
        <f t="shared" ca="1" si="438"/>
        <v>0</v>
      </c>
      <c r="D9374">
        <f t="shared" ca="1" si="439"/>
        <v>193.37145790085196</v>
      </c>
    </row>
    <row r="9375" spans="2:4" x14ac:dyDescent="0.25">
      <c r="B9375">
        <f t="shared" ca="1" si="440"/>
        <v>35596.421024833566</v>
      </c>
      <c r="C9375">
        <f t="shared" ca="1" si="438"/>
        <v>4403.5789751664342</v>
      </c>
      <c r="D9375">
        <f t="shared" ca="1" si="439"/>
        <v>0</v>
      </c>
    </row>
    <row r="9376" spans="2:4" x14ac:dyDescent="0.25">
      <c r="B9376">
        <f t="shared" ca="1" si="440"/>
        <v>42989.187373901914</v>
      </c>
      <c r="C9376">
        <f t="shared" ca="1" si="438"/>
        <v>0</v>
      </c>
      <c r="D9376">
        <f t="shared" ca="1" si="439"/>
        <v>2989.1873739019138</v>
      </c>
    </row>
    <row r="9377" spans="2:4" x14ac:dyDescent="0.25">
      <c r="B9377">
        <f t="shared" ca="1" si="440"/>
        <v>48293.143558663956</v>
      </c>
      <c r="C9377">
        <f t="shared" ca="1" si="438"/>
        <v>0</v>
      </c>
      <c r="D9377">
        <f t="shared" ca="1" si="439"/>
        <v>8293.1435586639564</v>
      </c>
    </row>
    <row r="9378" spans="2:4" x14ac:dyDescent="0.25">
      <c r="B9378">
        <f t="shared" ca="1" si="440"/>
        <v>40610.562816954247</v>
      </c>
      <c r="C9378">
        <f t="shared" ca="1" si="438"/>
        <v>0</v>
      </c>
      <c r="D9378">
        <f t="shared" ca="1" si="439"/>
        <v>610.56281695424695</v>
      </c>
    </row>
    <row r="9379" spans="2:4" x14ac:dyDescent="0.25">
      <c r="B9379">
        <f t="shared" ca="1" si="440"/>
        <v>39012.512987098773</v>
      </c>
      <c r="C9379">
        <f t="shared" ca="1" si="438"/>
        <v>987.48701290122699</v>
      </c>
      <c r="D9379">
        <f t="shared" ca="1" si="439"/>
        <v>0</v>
      </c>
    </row>
    <row r="9380" spans="2:4" x14ac:dyDescent="0.25">
      <c r="B9380">
        <f t="shared" ca="1" si="440"/>
        <v>55376.477342337093</v>
      </c>
      <c r="C9380">
        <f t="shared" ca="1" si="438"/>
        <v>0</v>
      </c>
      <c r="D9380">
        <f t="shared" ca="1" si="439"/>
        <v>15376.477342337093</v>
      </c>
    </row>
    <row r="9381" spans="2:4" x14ac:dyDescent="0.25">
      <c r="B9381">
        <f t="shared" ca="1" si="440"/>
        <v>45592.446343983102</v>
      </c>
      <c r="C9381">
        <f t="shared" ca="1" si="438"/>
        <v>0</v>
      </c>
      <c r="D9381">
        <f t="shared" ca="1" si="439"/>
        <v>5592.4463439831015</v>
      </c>
    </row>
    <row r="9382" spans="2:4" x14ac:dyDescent="0.25">
      <c r="B9382">
        <f t="shared" ca="1" si="440"/>
        <v>39494.332060818961</v>
      </c>
      <c r="C9382">
        <f t="shared" ca="1" si="438"/>
        <v>505.6679391810394</v>
      </c>
      <c r="D9382">
        <f t="shared" ca="1" si="439"/>
        <v>0</v>
      </c>
    </row>
    <row r="9383" spans="2:4" x14ac:dyDescent="0.25">
      <c r="B9383">
        <f t="shared" ca="1" si="440"/>
        <v>42404.84670148811</v>
      </c>
      <c r="C9383">
        <f t="shared" ca="1" si="438"/>
        <v>0</v>
      </c>
      <c r="D9383">
        <f t="shared" ca="1" si="439"/>
        <v>2404.8467014881098</v>
      </c>
    </row>
    <row r="9384" spans="2:4" x14ac:dyDescent="0.25">
      <c r="B9384">
        <f t="shared" ca="1" si="440"/>
        <v>51155.403624608523</v>
      </c>
      <c r="C9384">
        <f t="shared" ca="1" si="438"/>
        <v>0</v>
      </c>
      <c r="D9384">
        <f t="shared" ca="1" si="439"/>
        <v>11155.403624608523</v>
      </c>
    </row>
    <row r="9385" spans="2:4" x14ac:dyDescent="0.25">
      <c r="B9385">
        <f t="shared" ca="1" si="440"/>
        <v>47609.234015436472</v>
      </c>
      <c r="C9385">
        <f t="shared" ca="1" si="438"/>
        <v>0</v>
      </c>
      <c r="D9385">
        <f t="shared" ca="1" si="439"/>
        <v>7609.234015436472</v>
      </c>
    </row>
    <row r="9386" spans="2:4" x14ac:dyDescent="0.25">
      <c r="B9386">
        <f t="shared" ca="1" si="440"/>
        <v>50048.853466296066</v>
      </c>
      <c r="C9386">
        <f t="shared" ca="1" si="438"/>
        <v>0</v>
      </c>
      <c r="D9386">
        <f t="shared" ca="1" si="439"/>
        <v>10048.853466296066</v>
      </c>
    </row>
    <row r="9387" spans="2:4" x14ac:dyDescent="0.25">
      <c r="B9387">
        <f t="shared" ca="1" si="440"/>
        <v>54214.384457519707</v>
      </c>
      <c r="C9387">
        <f t="shared" ca="1" si="438"/>
        <v>0</v>
      </c>
      <c r="D9387">
        <f t="shared" ca="1" si="439"/>
        <v>14214.384457519707</v>
      </c>
    </row>
    <row r="9388" spans="2:4" x14ac:dyDescent="0.25">
      <c r="B9388">
        <f t="shared" ca="1" si="440"/>
        <v>40406.539376027256</v>
      </c>
      <c r="C9388">
        <f t="shared" ca="1" si="438"/>
        <v>0</v>
      </c>
      <c r="D9388">
        <f t="shared" ca="1" si="439"/>
        <v>406.53937602725637</v>
      </c>
    </row>
    <row r="9389" spans="2:4" x14ac:dyDescent="0.25">
      <c r="B9389">
        <f t="shared" ca="1" si="440"/>
        <v>49492.559623291781</v>
      </c>
      <c r="C9389">
        <f t="shared" ca="1" si="438"/>
        <v>0</v>
      </c>
      <c r="D9389">
        <f t="shared" ca="1" si="439"/>
        <v>9492.5596232917815</v>
      </c>
    </row>
    <row r="9390" spans="2:4" x14ac:dyDescent="0.25">
      <c r="B9390">
        <f t="shared" ca="1" si="440"/>
        <v>43940.69636060809</v>
      </c>
      <c r="C9390">
        <f t="shared" ca="1" si="438"/>
        <v>0</v>
      </c>
      <c r="D9390">
        <f t="shared" ca="1" si="439"/>
        <v>3940.6963606080899</v>
      </c>
    </row>
    <row r="9391" spans="2:4" x14ac:dyDescent="0.25">
      <c r="B9391">
        <f t="shared" ca="1" si="440"/>
        <v>49301.863765895643</v>
      </c>
      <c r="C9391">
        <f t="shared" ca="1" si="438"/>
        <v>0</v>
      </c>
      <c r="D9391">
        <f t="shared" ca="1" si="439"/>
        <v>9301.8637658956432</v>
      </c>
    </row>
    <row r="9392" spans="2:4" x14ac:dyDescent="0.25">
      <c r="B9392">
        <f t="shared" ca="1" si="440"/>
        <v>40119.884284678228</v>
      </c>
      <c r="C9392">
        <f t="shared" ca="1" si="438"/>
        <v>0</v>
      </c>
      <c r="D9392">
        <f t="shared" ca="1" si="439"/>
        <v>119.88428467822814</v>
      </c>
    </row>
    <row r="9393" spans="2:4" x14ac:dyDescent="0.25">
      <c r="B9393">
        <f t="shared" ca="1" si="440"/>
        <v>42340.61750377412</v>
      </c>
      <c r="C9393">
        <f t="shared" ca="1" si="438"/>
        <v>0</v>
      </c>
      <c r="D9393">
        <f t="shared" ca="1" si="439"/>
        <v>2340.6175037741195</v>
      </c>
    </row>
    <row r="9394" spans="2:4" x14ac:dyDescent="0.25">
      <c r="B9394">
        <f t="shared" ca="1" si="440"/>
        <v>43685.139111729848</v>
      </c>
      <c r="C9394">
        <f t="shared" ca="1" si="438"/>
        <v>0</v>
      </c>
      <c r="D9394">
        <f t="shared" ca="1" si="439"/>
        <v>3685.1391117298481</v>
      </c>
    </row>
    <row r="9395" spans="2:4" x14ac:dyDescent="0.25">
      <c r="B9395">
        <f t="shared" ca="1" si="440"/>
        <v>51320.952106142598</v>
      </c>
      <c r="C9395">
        <f t="shared" ca="1" si="438"/>
        <v>0</v>
      </c>
      <c r="D9395">
        <f t="shared" ca="1" si="439"/>
        <v>11320.952106142598</v>
      </c>
    </row>
    <row r="9396" spans="2:4" x14ac:dyDescent="0.25">
      <c r="B9396">
        <f t="shared" ca="1" si="440"/>
        <v>41889.620361760186</v>
      </c>
      <c r="C9396">
        <f t="shared" ca="1" si="438"/>
        <v>0</v>
      </c>
      <c r="D9396">
        <f t="shared" ca="1" si="439"/>
        <v>1889.6203617601859</v>
      </c>
    </row>
    <row r="9397" spans="2:4" x14ac:dyDescent="0.25">
      <c r="B9397">
        <f t="shared" ca="1" si="440"/>
        <v>43561.337563834721</v>
      </c>
      <c r="C9397">
        <f t="shared" ca="1" si="438"/>
        <v>0</v>
      </c>
      <c r="D9397">
        <f t="shared" ca="1" si="439"/>
        <v>3561.3375638347206</v>
      </c>
    </row>
    <row r="9398" spans="2:4" x14ac:dyDescent="0.25">
      <c r="B9398">
        <f t="shared" ca="1" si="440"/>
        <v>41015.822928889385</v>
      </c>
      <c r="C9398">
        <f t="shared" ca="1" si="438"/>
        <v>0</v>
      </c>
      <c r="D9398">
        <f t="shared" ca="1" si="439"/>
        <v>1015.8229288893854</v>
      </c>
    </row>
    <row r="9399" spans="2:4" x14ac:dyDescent="0.25">
      <c r="B9399">
        <f t="shared" ca="1" si="440"/>
        <v>51626.040735322487</v>
      </c>
      <c r="C9399">
        <f t="shared" ca="1" si="438"/>
        <v>0</v>
      </c>
      <c r="D9399">
        <f t="shared" ca="1" si="439"/>
        <v>11626.040735322487</v>
      </c>
    </row>
    <row r="9400" spans="2:4" x14ac:dyDescent="0.25">
      <c r="B9400">
        <f t="shared" ca="1" si="440"/>
        <v>44743.638592078016</v>
      </c>
      <c r="C9400">
        <f t="shared" ca="1" si="438"/>
        <v>0</v>
      </c>
      <c r="D9400">
        <f t="shared" ca="1" si="439"/>
        <v>4743.6385920780158</v>
      </c>
    </row>
    <row r="9401" spans="2:4" x14ac:dyDescent="0.25">
      <c r="B9401">
        <f t="shared" ca="1" si="440"/>
        <v>49937.384728039928</v>
      </c>
      <c r="C9401">
        <f t="shared" ca="1" si="438"/>
        <v>0</v>
      </c>
      <c r="D9401">
        <f t="shared" ca="1" si="439"/>
        <v>9937.3847280399277</v>
      </c>
    </row>
    <row r="9402" spans="2:4" x14ac:dyDescent="0.25">
      <c r="B9402">
        <f t="shared" ca="1" si="440"/>
        <v>37392.236635366404</v>
      </c>
      <c r="C9402">
        <f t="shared" ca="1" si="438"/>
        <v>2607.7633646335962</v>
      </c>
      <c r="D9402">
        <f t="shared" ca="1" si="439"/>
        <v>0</v>
      </c>
    </row>
    <row r="9403" spans="2:4" x14ac:dyDescent="0.25">
      <c r="B9403">
        <f t="shared" ca="1" si="440"/>
        <v>51527.64661557613</v>
      </c>
      <c r="C9403">
        <f t="shared" ca="1" si="438"/>
        <v>0</v>
      </c>
      <c r="D9403">
        <f t="shared" ca="1" si="439"/>
        <v>11527.64661557613</v>
      </c>
    </row>
    <row r="9404" spans="2:4" x14ac:dyDescent="0.25">
      <c r="B9404">
        <f t="shared" ca="1" si="440"/>
        <v>38285.65762686573</v>
      </c>
      <c r="C9404">
        <f t="shared" ca="1" si="438"/>
        <v>1714.34237313427</v>
      </c>
      <c r="D9404">
        <f t="shared" ca="1" si="439"/>
        <v>0</v>
      </c>
    </row>
    <row r="9405" spans="2:4" x14ac:dyDescent="0.25">
      <c r="B9405">
        <f t="shared" ca="1" si="440"/>
        <v>57034.488800544248</v>
      </c>
      <c r="C9405">
        <f t="shared" ca="1" si="438"/>
        <v>0</v>
      </c>
      <c r="D9405">
        <f t="shared" ca="1" si="439"/>
        <v>17034.488800544248</v>
      </c>
    </row>
    <row r="9406" spans="2:4" x14ac:dyDescent="0.25">
      <c r="B9406">
        <f t="shared" ca="1" si="440"/>
        <v>45208.617901045327</v>
      </c>
      <c r="C9406">
        <f t="shared" ca="1" si="438"/>
        <v>0</v>
      </c>
      <c r="D9406">
        <f t="shared" ca="1" si="439"/>
        <v>5208.617901045327</v>
      </c>
    </row>
    <row r="9407" spans="2:4" x14ac:dyDescent="0.25">
      <c r="B9407">
        <f t="shared" ca="1" si="440"/>
        <v>48660.948292814697</v>
      </c>
      <c r="C9407">
        <f t="shared" ca="1" si="438"/>
        <v>0</v>
      </c>
      <c r="D9407">
        <f t="shared" ca="1" si="439"/>
        <v>8660.9482928146972</v>
      </c>
    </row>
    <row r="9408" spans="2:4" x14ac:dyDescent="0.25">
      <c r="B9408">
        <f t="shared" ca="1" si="440"/>
        <v>41833.24856501563</v>
      </c>
      <c r="C9408">
        <f t="shared" ca="1" si="438"/>
        <v>0</v>
      </c>
      <c r="D9408">
        <f t="shared" ca="1" si="439"/>
        <v>1833.2485650156304</v>
      </c>
    </row>
    <row r="9409" spans="2:4" x14ac:dyDescent="0.25">
      <c r="B9409">
        <f t="shared" ca="1" si="440"/>
        <v>46670.894683984414</v>
      </c>
      <c r="C9409">
        <f t="shared" ca="1" si="438"/>
        <v>0</v>
      </c>
      <c r="D9409">
        <f t="shared" ca="1" si="439"/>
        <v>6670.8946839844139</v>
      </c>
    </row>
    <row r="9410" spans="2:4" x14ac:dyDescent="0.25">
      <c r="B9410">
        <f t="shared" ca="1" si="440"/>
        <v>42594.315967765382</v>
      </c>
      <c r="C9410">
        <f t="shared" ca="1" si="438"/>
        <v>0</v>
      </c>
      <c r="D9410">
        <f t="shared" ca="1" si="439"/>
        <v>2594.3159677653821</v>
      </c>
    </row>
    <row r="9411" spans="2:4" x14ac:dyDescent="0.25">
      <c r="B9411">
        <f t="shared" ca="1" si="440"/>
        <v>45071.709283958582</v>
      </c>
      <c r="C9411">
        <f t="shared" ca="1" si="438"/>
        <v>0</v>
      </c>
      <c r="D9411">
        <f t="shared" ca="1" si="439"/>
        <v>5071.7092839585821</v>
      </c>
    </row>
    <row r="9412" spans="2:4" x14ac:dyDescent="0.25">
      <c r="B9412">
        <f t="shared" ca="1" si="440"/>
        <v>58400.766691409801</v>
      </c>
      <c r="C9412">
        <f t="shared" ca="1" si="438"/>
        <v>0</v>
      </c>
      <c r="D9412">
        <f t="shared" ca="1" si="439"/>
        <v>18400.766691409801</v>
      </c>
    </row>
    <row r="9413" spans="2:4" x14ac:dyDescent="0.25">
      <c r="B9413">
        <f t="shared" ca="1" si="440"/>
        <v>43731.047404932877</v>
      </c>
      <c r="C9413">
        <f t="shared" ca="1" si="438"/>
        <v>0</v>
      </c>
      <c r="D9413">
        <f t="shared" ca="1" si="439"/>
        <v>3731.0474049328768</v>
      </c>
    </row>
    <row r="9414" spans="2:4" x14ac:dyDescent="0.25">
      <c r="B9414">
        <f t="shared" ca="1" si="440"/>
        <v>43134.399231462368</v>
      </c>
      <c r="C9414">
        <f t="shared" ca="1" si="438"/>
        <v>0</v>
      </c>
      <c r="D9414">
        <f t="shared" ca="1" si="439"/>
        <v>3134.3992314623683</v>
      </c>
    </row>
    <row r="9415" spans="2:4" x14ac:dyDescent="0.25">
      <c r="B9415">
        <f t="shared" ca="1" si="440"/>
        <v>42583.033065280957</v>
      </c>
      <c r="C9415">
        <f t="shared" ca="1" si="438"/>
        <v>0</v>
      </c>
      <c r="D9415">
        <f t="shared" ca="1" si="439"/>
        <v>2583.0330652809571</v>
      </c>
    </row>
    <row r="9416" spans="2:4" x14ac:dyDescent="0.25">
      <c r="B9416">
        <f t="shared" ca="1" si="440"/>
        <v>44217.644517760709</v>
      </c>
      <c r="C9416">
        <f t="shared" ca="1" si="438"/>
        <v>0</v>
      </c>
      <c r="D9416">
        <f t="shared" ca="1" si="439"/>
        <v>4217.6445177607093</v>
      </c>
    </row>
    <row r="9417" spans="2:4" x14ac:dyDescent="0.25">
      <c r="B9417">
        <f t="shared" ca="1" si="440"/>
        <v>38188.923833801498</v>
      </c>
      <c r="C9417">
        <f t="shared" ca="1" si="438"/>
        <v>1811.0761661985016</v>
      </c>
      <c r="D9417">
        <f t="shared" ca="1" si="439"/>
        <v>0</v>
      </c>
    </row>
    <row r="9418" spans="2:4" x14ac:dyDescent="0.25">
      <c r="B9418">
        <f t="shared" ca="1" si="440"/>
        <v>47272.771687966138</v>
      </c>
      <c r="C9418">
        <f t="shared" ca="1" si="438"/>
        <v>0</v>
      </c>
      <c r="D9418">
        <f t="shared" ca="1" si="439"/>
        <v>7272.7716879661384</v>
      </c>
    </row>
    <row r="9419" spans="2:4" x14ac:dyDescent="0.25">
      <c r="B9419">
        <f t="shared" ca="1" si="440"/>
        <v>34694.182832618317</v>
      </c>
      <c r="C9419">
        <f t="shared" ca="1" si="438"/>
        <v>5305.8171673816832</v>
      </c>
      <c r="D9419">
        <f t="shared" ca="1" si="439"/>
        <v>0</v>
      </c>
    </row>
    <row r="9420" spans="2:4" x14ac:dyDescent="0.25">
      <c r="B9420">
        <f t="shared" ca="1" si="440"/>
        <v>44425.209812513509</v>
      </c>
      <c r="C9420">
        <f t="shared" ref="C9420:C9483" ca="1" si="441">IF(MAX($B$2-B9420)&lt;0,0,$B$2-B9420)</f>
        <v>0</v>
      </c>
      <c r="D9420">
        <f t="shared" ref="D9420:D9483" ca="1" si="442">IF(MAX(B9420-$B$2)&lt;0,0,B9420-$B$2)</f>
        <v>4425.209812513509</v>
      </c>
    </row>
    <row r="9421" spans="2:4" x14ac:dyDescent="0.25">
      <c r="B9421">
        <f t="shared" ref="B9421:B9484" ca="1" si="443">$B$1*EXP((($B$4-($B$3^2)/2)*$B$5+$B$3*SQRT($B$5)*NORMSINV(RAND())))</f>
        <v>49259.896447218605</v>
      </c>
      <c r="C9421">
        <f t="shared" ca="1" si="441"/>
        <v>0</v>
      </c>
      <c r="D9421">
        <f t="shared" ca="1" si="442"/>
        <v>9259.8964472186053</v>
      </c>
    </row>
    <row r="9422" spans="2:4" x14ac:dyDescent="0.25">
      <c r="B9422">
        <f t="shared" ca="1" si="443"/>
        <v>47332.096708975674</v>
      </c>
      <c r="C9422">
        <f t="shared" ca="1" si="441"/>
        <v>0</v>
      </c>
      <c r="D9422">
        <f t="shared" ca="1" si="442"/>
        <v>7332.0967089756741</v>
      </c>
    </row>
    <row r="9423" spans="2:4" x14ac:dyDescent="0.25">
      <c r="B9423">
        <f t="shared" ca="1" si="443"/>
        <v>44405.131988267603</v>
      </c>
      <c r="C9423">
        <f t="shared" ca="1" si="441"/>
        <v>0</v>
      </c>
      <c r="D9423">
        <f t="shared" ca="1" si="442"/>
        <v>4405.1319882676034</v>
      </c>
    </row>
    <row r="9424" spans="2:4" x14ac:dyDescent="0.25">
      <c r="B9424">
        <f t="shared" ca="1" si="443"/>
        <v>41625.138630481837</v>
      </c>
      <c r="C9424">
        <f t="shared" ca="1" si="441"/>
        <v>0</v>
      </c>
      <c r="D9424">
        <f t="shared" ca="1" si="442"/>
        <v>1625.138630481837</v>
      </c>
    </row>
    <row r="9425" spans="2:4" x14ac:dyDescent="0.25">
      <c r="B9425">
        <f t="shared" ca="1" si="443"/>
        <v>38610.228951660247</v>
      </c>
      <c r="C9425">
        <f t="shared" ca="1" si="441"/>
        <v>1389.7710483397532</v>
      </c>
      <c r="D9425">
        <f t="shared" ca="1" si="442"/>
        <v>0</v>
      </c>
    </row>
    <row r="9426" spans="2:4" x14ac:dyDescent="0.25">
      <c r="B9426">
        <f t="shared" ca="1" si="443"/>
        <v>44673.202089844439</v>
      </c>
      <c r="C9426">
        <f t="shared" ca="1" si="441"/>
        <v>0</v>
      </c>
      <c r="D9426">
        <f t="shared" ca="1" si="442"/>
        <v>4673.2020898444389</v>
      </c>
    </row>
    <row r="9427" spans="2:4" x14ac:dyDescent="0.25">
      <c r="B9427">
        <f t="shared" ca="1" si="443"/>
        <v>51500.760664492736</v>
      </c>
      <c r="C9427">
        <f t="shared" ca="1" si="441"/>
        <v>0</v>
      </c>
      <c r="D9427">
        <f t="shared" ca="1" si="442"/>
        <v>11500.760664492736</v>
      </c>
    </row>
    <row r="9428" spans="2:4" x14ac:dyDescent="0.25">
      <c r="B9428">
        <f t="shared" ca="1" si="443"/>
        <v>49479.527104289242</v>
      </c>
      <c r="C9428">
        <f t="shared" ca="1" si="441"/>
        <v>0</v>
      </c>
      <c r="D9428">
        <f t="shared" ca="1" si="442"/>
        <v>9479.5271042892418</v>
      </c>
    </row>
    <row r="9429" spans="2:4" x14ac:dyDescent="0.25">
      <c r="B9429">
        <f t="shared" ca="1" si="443"/>
        <v>37649.12910518673</v>
      </c>
      <c r="C9429">
        <f t="shared" ca="1" si="441"/>
        <v>2350.8708948132698</v>
      </c>
      <c r="D9429">
        <f t="shared" ca="1" si="442"/>
        <v>0</v>
      </c>
    </row>
    <row r="9430" spans="2:4" x14ac:dyDescent="0.25">
      <c r="B9430">
        <f t="shared" ca="1" si="443"/>
        <v>44366.865466268529</v>
      </c>
      <c r="C9430">
        <f t="shared" ca="1" si="441"/>
        <v>0</v>
      </c>
      <c r="D9430">
        <f t="shared" ca="1" si="442"/>
        <v>4366.8654662685294</v>
      </c>
    </row>
    <row r="9431" spans="2:4" x14ac:dyDescent="0.25">
      <c r="B9431">
        <f t="shared" ca="1" si="443"/>
        <v>43600.475054211616</v>
      </c>
      <c r="C9431">
        <f t="shared" ca="1" si="441"/>
        <v>0</v>
      </c>
      <c r="D9431">
        <f t="shared" ca="1" si="442"/>
        <v>3600.4750542116162</v>
      </c>
    </row>
    <row r="9432" spans="2:4" x14ac:dyDescent="0.25">
      <c r="B9432">
        <f t="shared" ca="1" si="443"/>
        <v>49231.359063749966</v>
      </c>
      <c r="C9432">
        <f t="shared" ca="1" si="441"/>
        <v>0</v>
      </c>
      <c r="D9432">
        <f t="shared" ca="1" si="442"/>
        <v>9231.3590637499656</v>
      </c>
    </row>
    <row r="9433" spans="2:4" x14ac:dyDescent="0.25">
      <c r="B9433">
        <f t="shared" ca="1" si="443"/>
        <v>47562.399799298364</v>
      </c>
      <c r="C9433">
        <f t="shared" ca="1" si="441"/>
        <v>0</v>
      </c>
      <c r="D9433">
        <f t="shared" ca="1" si="442"/>
        <v>7562.3997992983641</v>
      </c>
    </row>
    <row r="9434" spans="2:4" x14ac:dyDescent="0.25">
      <c r="B9434">
        <f t="shared" ca="1" si="443"/>
        <v>42998.189582360239</v>
      </c>
      <c r="C9434">
        <f t="shared" ca="1" si="441"/>
        <v>0</v>
      </c>
      <c r="D9434">
        <f t="shared" ca="1" si="442"/>
        <v>2998.189582360239</v>
      </c>
    </row>
    <row r="9435" spans="2:4" x14ac:dyDescent="0.25">
      <c r="B9435">
        <f t="shared" ca="1" si="443"/>
        <v>48126.017540677363</v>
      </c>
      <c r="C9435">
        <f t="shared" ca="1" si="441"/>
        <v>0</v>
      </c>
      <c r="D9435">
        <f t="shared" ca="1" si="442"/>
        <v>8126.0175406773633</v>
      </c>
    </row>
    <row r="9436" spans="2:4" x14ac:dyDescent="0.25">
      <c r="B9436">
        <f t="shared" ca="1" si="443"/>
        <v>42245.830874350555</v>
      </c>
      <c r="C9436">
        <f t="shared" ca="1" si="441"/>
        <v>0</v>
      </c>
      <c r="D9436">
        <f t="shared" ca="1" si="442"/>
        <v>2245.830874350555</v>
      </c>
    </row>
    <row r="9437" spans="2:4" x14ac:dyDescent="0.25">
      <c r="B9437">
        <f t="shared" ca="1" si="443"/>
        <v>45438.93559630392</v>
      </c>
      <c r="C9437">
        <f t="shared" ca="1" si="441"/>
        <v>0</v>
      </c>
      <c r="D9437">
        <f t="shared" ca="1" si="442"/>
        <v>5438.9355963039197</v>
      </c>
    </row>
    <row r="9438" spans="2:4" x14ac:dyDescent="0.25">
      <c r="B9438">
        <f t="shared" ca="1" si="443"/>
        <v>41856.130504672321</v>
      </c>
      <c r="C9438">
        <f t="shared" ca="1" si="441"/>
        <v>0</v>
      </c>
      <c r="D9438">
        <f t="shared" ca="1" si="442"/>
        <v>1856.130504672321</v>
      </c>
    </row>
    <row r="9439" spans="2:4" x14ac:dyDescent="0.25">
      <c r="B9439">
        <f t="shared" ca="1" si="443"/>
        <v>43362.830240750744</v>
      </c>
      <c r="C9439">
        <f t="shared" ca="1" si="441"/>
        <v>0</v>
      </c>
      <c r="D9439">
        <f t="shared" ca="1" si="442"/>
        <v>3362.8302407507435</v>
      </c>
    </row>
    <row r="9440" spans="2:4" x14ac:dyDescent="0.25">
      <c r="B9440">
        <f t="shared" ca="1" si="443"/>
        <v>43495.356018268234</v>
      </c>
      <c r="C9440">
        <f t="shared" ca="1" si="441"/>
        <v>0</v>
      </c>
      <c r="D9440">
        <f t="shared" ca="1" si="442"/>
        <v>3495.356018268234</v>
      </c>
    </row>
    <row r="9441" spans="2:4" x14ac:dyDescent="0.25">
      <c r="B9441">
        <f t="shared" ca="1" si="443"/>
        <v>32762.679811288253</v>
      </c>
      <c r="C9441">
        <f t="shared" ca="1" si="441"/>
        <v>7237.3201887117466</v>
      </c>
      <c r="D9441">
        <f t="shared" ca="1" si="442"/>
        <v>0</v>
      </c>
    </row>
    <row r="9442" spans="2:4" x14ac:dyDescent="0.25">
      <c r="B9442">
        <f t="shared" ca="1" si="443"/>
        <v>41711.930196026471</v>
      </c>
      <c r="C9442">
        <f t="shared" ca="1" si="441"/>
        <v>0</v>
      </c>
      <c r="D9442">
        <f t="shared" ca="1" si="442"/>
        <v>1711.9301960264711</v>
      </c>
    </row>
    <row r="9443" spans="2:4" x14ac:dyDescent="0.25">
      <c r="B9443">
        <f t="shared" ca="1" si="443"/>
        <v>48988.202752815268</v>
      </c>
      <c r="C9443">
        <f t="shared" ca="1" si="441"/>
        <v>0</v>
      </c>
      <c r="D9443">
        <f t="shared" ca="1" si="442"/>
        <v>8988.2027528152685</v>
      </c>
    </row>
    <row r="9444" spans="2:4" x14ac:dyDescent="0.25">
      <c r="B9444">
        <f t="shared" ca="1" si="443"/>
        <v>49528.860652570947</v>
      </c>
      <c r="C9444">
        <f t="shared" ca="1" si="441"/>
        <v>0</v>
      </c>
      <c r="D9444">
        <f t="shared" ca="1" si="442"/>
        <v>9528.8606525709474</v>
      </c>
    </row>
    <row r="9445" spans="2:4" x14ac:dyDescent="0.25">
      <c r="B9445">
        <f t="shared" ca="1" si="443"/>
        <v>45889.917504191842</v>
      </c>
      <c r="C9445">
        <f t="shared" ca="1" si="441"/>
        <v>0</v>
      </c>
      <c r="D9445">
        <f t="shared" ca="1" si="442"/>
        <v>5889.9175041918425</v>
      </c>
    </row>
    <row r="9446" spans="2:4" x14ac:dyDescent="0.25">
      <c r="B9446">
        <f t="shared" ca="1" si="443"/>
        <v>39879.128573510767</v>
      </c>
      <c r="C9446">
        <f t="shared" ca="1" si="441"/>
        <v>120.87142648923327</v>
      </c>
      <c r="D9446">
        <f t="shared" ca="1" si="442"/>
        <v>0</v>
      </c>
    </row>
    <row r="9447" spans="2:4" x14ac:dyDescent="0.25">
      <c r="B9447">
        <f t="shared" ca="1" si="443"/>
        <v>47636.05778338026</v>
      </c>
      <c r="C9447">
        <f t="shared" ca="1" si="441"/>
        <v>0</v>
      </c>
      <c r="D9447">
        <f t="shared" ca="1" si="442"/>
        <v>7636.0577833802599</v>
      </c>
    </row>
    <row r="9448" spans="2:4" x14ac:dyDescent="0.25">
      <c r="B9448">
        <f t="shared" ca="1" si="443"/>
        <v>57030.280840945656</v>
      </c>
      <c r="C9448">
        <f t="shared" ca="1" si="441"/>
        <v>0</v>
      </c>
      <c r="D9448">
        <f t="shared" ca="1" si="442"/>
        <v>17030.280840945656</v>
      </c>
    </row>
    <row r="9449" spans="2:4" x14ac:dyDescent="0.25">
      <c r="B9449">
        <f t="shared" ca="1" si="443"/>
        <v>53149.444641314418</v>
      </c>
      <c r="C9449">
        <f t="shared" ca="1" si="441"/>
        <v>0</v>
      </c>
      <c r="D9449">
        <f t="shared" ca="1" si="442"/>
        <v>13149.444641314418</v>
      </c>
    </row>
    <row r="9450" spans="2:4" x14ac:dyDescent="0.25">
      <c r="B9450">
        <f t="shared" ca="1" si="443"/>
        <v>42351.81969204967</v>
      </c>
      <c r="C9450">
        <f t="shared" ca="1" si="441"/>
        <v>0</v>
      </c>
      <c r="D9450">
        <f t="shared" ca="1" si="442"/>
        <v>2351.8196920496703</v>
      </c>
    </row>
    <row r="9451" spans="2:4" x14ac:dyDescent="0.25">
      <c r="B9451">
        <f t="shared" ca="1" si="443"/>
        <v>43199.165539844194</v>
      </c>
      <c r="C9451">
        <f t="shared" ca="1" si="441"/>
        <v>0</v>
      </c>
      <c r="D9451">
        <f t="shared" ca="1" si="442"/>
        <v>3199.1655398441944</v>
      </c>
    </row>
    <row r="9452" spans="2:4" x14ac:dyDescent="0.25">
      <c r="B9452">
        <f t="shared" ca="1" si="443"/>
        <v>45842.374064520365</v>
      </c>
      <c r="C9452">
        <f t="shared" ca="1" si="441"/>
        <v>0</v>
      </c>
      <c r="D9452">
        <f t="shared" ca="1" si="442"/>
        <v>5842.3740645203652</v>
      </c>
    </row>
    <row r="9453" spans="2:4" x14ac:dyDescent="0.25">
      <c r="B9453">
        <f t="shared" ca="1" si="443"/>
        <v>46774.717144058981</v>
      </c>
      <c r="C9453">
        <f t="shared" ca="1" si="441"/>
        <v>0</v>
      </c>
      <c r="D9453">
        <f t="shared" ca="1" si="442"/>
        <v>6774.7171440589809</v>
      </c>
    </row>
    <row r="9454" spans="2:4" x14ac:dyDescent="0.25">
      <c r="B9454">
        <f t="shared" ca="1" si="443"/>
        <v>43824.089435627284</v>
      </c>
      <c r="C9454">
        <f t="shared" ca="1" si="441"/>
        <v>0</v>
      </c>
      <c r="D9454">
        <f t="shared" ca="1" si="442"/>
        <v>3824.0894356272838</v>
      </c>
    </row>
    <row r="9455" spans="2:4" x14ac:dyDescent="0.25">
      <c r="B9455">
        <f t="shared" ca="1" si="443"/>
        <v>41642.94477757327</v>
      </c>
      <c r="C9455">
        <f t="shared" ca="1" si="441"/>
        <v>0</v>
      </c>
      <c r="D9455">
        <f t="shared" ca="1" si="442"/>
        <v>1642.9447775732697</v>
      </c>
    </row>
    <row r="9456" spans="2:4" x14ac:dyDescent="0.25">
      <c r="B9456">
        <f t="shared" ca="1" si="443"/>
        <v>45469.873964299208</v>
      </c>
      <c r="C9456">
        <f t="shared" ca="1" si="441"/>
        <v>0</v>
      </c>
      <c r="D9456">
        <f t="shared" ca="1" si="442"/>
        <v>5469.8739642992077</v>
      </c>
    </row>
    <row r="9457" spans="2:4" x14ac:dyDescent="0.25">
      <c r="B9457">
        <f t="shared" ca="1" si="443"/>
        <v>43915.403826509188</v>
      </c>
      <c r="C9457">
        <f t="shared" ca="1" si="441"/>
        <v>0</v>
      </c>
      <c r="D9457">
        <f t="shared" ca="1" si="442"/>
        <v>3915.4038265091876</v>
      </c>
    </row>
    <row r="9458" spans="2:4" x14ac:dyDescent="0.25">
      <c r="B9458">
        <f t="shared" ca="1" si="443"/>
        <v>40766.063465230087</v>
      </c>
      <c r="C9458">
        <f t="shared" ca="1" si="441"/>
        <v>0</v>
      </c>
      <c r="D9458">
        <f t="shared" ca="1" si="442"/>
        <v>766.06346523008688</v>
      </c>
    </row>
    <row r="9459" spans="2:4" x14ac:dyDescent="0.25">
      <c r="B9459">
        <f t="shared" ca="1" si="443"/>
        <v>41421.468448692794</v>
      </c>
      <c r="C9459">
        <f t="shared" ca="1" si="441"/>
        <v>0</v>
      </c>
      <c r="D9459">
        <f t="shared" ca="1" si="442"/>
        <v>1421.4684486927945</v>
      </c>
    </row>
    <row r="9460" spans="2:4" x14ac:dyDescent="0.25">
      <c r="B9460">
        <f t="shared" ca="1" si="443"/>
        <v>46309.986824378218</v>
      </c>
      <c r="C9460">
        <f t="shared" ca="1" si="441"/>
        <v>0</v>
      </c>
      <c r="D9460">
        <f t="shared" ca="1" si="442"/>
        <v>6309.9868243782184</v>
      </c>
    </row>
    <row r="9461" spans="2:4" x14ac:dyDescent="0.25">
      <c r="B9461">
        <f t="shared" ca="1" si="443"/>
        <v>46386.621344945714</v>
      </c>
      <c r="C9461">
        <f t="shared" ca="1" si="441"/>
        <v>0</v>
      </c>
      <c r="D9461">
        <f t="shared" ca="1" si="442"/>
        <v>6386.6213449457136</v>
      </c>
    </row>
    <row r="9462" spans="2:4" x14ac:dyDescent="0.25">
      <c r="B9462">
        <f t="shared" ca="1" si="443"/>
        <v>53057.273833557643</v>
      </c>
      <c r="C9462">
        <f t="shared" ca="1" si="441"/>
        <v>0</v>
      </c>
      <c r="D9462">
        <f t="shared" ca="1" si="442"/>
        <v>13057.273833557643</v>
      </c>
    </row>
    <row r="9463" spans="2:4" x14ac:dyDescent="0.25">
      <c r="B9463">
        <f t="shared" ca="1" si="443"/>
        <v>47248.807346184592</v>
      </c>
      <c r="C9463">
        <f t="shared" ca="1" si="441"/>
        <v>0</v>
      </c>
      <c r="D9463">
        <f t="shared" ca="1" si="442"/>
        <v>7248.8073461845925</v>
      </c>
    </row>
    <row r="9464" spans="2:4" x14ac:dyDescent="0.25">
      <c r="B9464">
        <f t="shared" ca="1" si="443"/>
        <v>52021.655599008831</v>
      </c>
      <c r="C9464">
        <f t="shared" ca="1" si="441"/>
        <v>0</v>
      </c>
      <c r="D9464">
        <f t="shared" ca="1" si="442"/>
        <v>12021.655599008831</v>
      </c>
    </row>
    <row r="9465" spans="2:4" x14ac:dyDescent="0.25">
      <c r="B9465">
        <f t="shared" ca="1" si="443"/>
        <v>48194.10574182577</v>
      </c>
      <c r="C9465">
        <f t="shared" ca="1" si="441"/>
        <v>0</v>
      </c>
      <c r="D9465">
        <f t="shared" ca="1" si="442"/>
        <v>8194.1057418257697</v>
      </c>
    </row>
    <row r="9466" spans="2:4" x14ac:dyDescent="0.25">
      <c r="B9466">
        <f t="shared" ca="1" si="443"/>
        <v>49629.967876728966</v>
      </c>
      <c r="C9466">
        <f t="shared" ca="1" si="441"/>
        <v>0</v>
      </c>
      <c r="D9466">
        <f t="shared" ca="1" si="442"/>
        <v>9629.9678767289661</v>
      </c>
    </row>
    <row r="9467" spans="2:4" x14ac:dyDescent="0.25">
      <c r="B9467">
        <f t="shared" ca="1" si="443"/>
        <v>40353.429278326337</v>
      </c>
      <c r="C9467">
        <f t="shared" ca="1" si="441"/>
        <v>0</v>
      </c>
      <c r="D9467">
        <f t="shared" ca="1" si="442"/>
        <v>353.42927832633723</v>
      </c>
    </row>
    <row r="9468" spans="2:4" x14ac:dyDescent="0.25">
      <c r="B9468">
        <f t="shared" ca="1" si="443"/>
        <v>38927.39314702079</v>
      </c>
      <c r="C9468">
        <f t="shared" ca="1" si="441"/>
        <v>1072.6068529792101</v>
      </c>
      <c r="D9468">
        <f t="shared" ca="1" si="442"/>
        <v>0</v>
      </c>
    </row>
    <row r="9469" spans="2:4" x14ac:dyDescent="0.25">
      <c r="B9469">
        <f t="shared" ca="1" si="443"/>
        <v>43493.911706520572</v>
      </c>
      <c r="C9469">
        <f t="shared" ca="1" si="441"/>
        <v>0</v>
      </c>
      <c r="D9469">
        <f t="shared" ca="1" si="442"/>
        <v>3493.9117065205719</v>
      </c>
    </row>
    <row r="9470" spans="2:4" x14ac:dyDescent="0.25">
      <c r="B9470">
        <f t="shared" ca="1" si="443"/>
        <v>41582.44777644008</v>
      </c>
      <c r="C9470">
        <f t="shared" ca="1" si="441"/>
        <v>0</v>
      </c>
      <c r="D9470">
        <f t="shared" ca="1" si="442"/>
        <v>1582.4477764400799</v>
      </c>
    </row>
    <row r="9471" spans="2:4" x14ac:dyDescent="0.25">
      <c r="B9471">
        <f t="shared" ca="1" si="443"/>
        <v>41782.407364012237</v>
      </c>
      <c r="C9471">
        <f t="shared" ca="1" si="441"/>
        <v>0</v>
      </c>
      <c r="D9471">
        <f t="shared" ca="1" si="442"/>
        <v>1782.4073640122369</v>
      </c>
    </row>
    <row r="9472" spans="2:4" x14ac:dyDescent="0.25">
      <c r="B9472">
        <f t="shared" ca="1" si="443"/>
        <v>47762.253533998075</v>
      </c>
      <c r="C9472">
        <f t="shared" ca="1" si="441"/>
        <v>0</v>
      </c>
      <c r="D9472">
        <f t="shared" ca="1" si="442"/>
        <v>7762.253533998075</v>
      </c>
    </row>
    <row r="9473" spans="2:4" x14ac:dyDescent="0.25">
      <c r="B9473">
        <f t="shared" ca="1" si="443"/>
        <v>48078.62579454622</v>
      </c>
      <c r="C9473">
        <f t="shared" ca="1" si="441"/>
        <v>0</v>
      </c>
      <c r="D9473">
        <f t="shared" ca="1" si="442"/>
        <v>8078.6257945462203</v>
      </c>
    </row>
    <row r="9474" spans="2:4" x14ac:dyDescent="0.25">
      <c r="B9474">
        <f t="shared" ca="1" si="443"/>
        <v>44709.499143805297</v>
      </c>
      <c r="C9474">
        <f t="shared" ca="1" si="441"/>
        <v>0</v>
      </c>
      <c r="D9474">
        <f t="shared" ca="1" si="442"/>
        <v>4709.4991438052966</v>
      </c>
    </row>
    <row r="9475" spans="2:4" x14ac:dyDescent="0.25">
      <c r="B9475">
        <f t="shared" ca="1" si="443"/>
        <v>43190.743380176558</v>
      </c>
      <c r="C9475">
        <f t="shared" ca="1" si="441"/>
        <v>0</v>
      </c>
      <c r="D9475">
        <f t="shared" ca="1" si="442"/>
        <v>3190.7433801765583</v>
      </c>
    </row>
    <row r="9476" spans="2:4" x14ac:dyDescent="0.25">
      <c r="B9476">
        <f t="shared" ca="1" si="443"/>
        <v>45426.860194691835</v>
      </c>
      <c r="C9476">
        <f t="shared" ca="1" si="441"/>
        <v>0</v>
      </c>
      <c r="D9476">
        <f t="shared" ca="1" si="442"/>
        <v>5426.8601946918352</v>
      </c>
    </row>
    <row r="9477" spans="2:4" x14ac:dyDescent="0.25">
      <c r="B9477">
        <f t="shared" ca="1" si="443"/>
        <v>43461.039552920804</v>
      </c>
      <c r="C9477">
        <f t="shared" ca="1" si="441"/>
        <v>0</v>
      </c>
      <c r="D9477">
        <f t="shared" ca="1" si="442"/>
        <v>3461.0395529208035</v>
      </c>
    </row>
    <row r="9478" spans="2:4" x14ac:dyDescent="0.25">
      <c r="B9478">
        <f t="shared" ca="1" si="443"/>
        <v>44995.207192058435</v>
      </c>
      <c r="C9478">
        <f t="shared" ca="1" si="441"/>
        <v>0</v>
      </c>
      <c r="D9478">
        <f t="shared" ca="1" si="442"/>
        <v>4995.2071920584349</v>
      </c>
    </row>
    <row r="9479" spans="2:4" x14ac:dyDescent="0.25">
      <c r="B9479">
        <f t="shared" ca="1" si="443"/>
        <v>32742.027415227276</v>
      </c>
      <c r="C9479">
        <f t="shared" ca="1" si="441"/>
        <v>7257.9725847727241</v>
      </c>
      <c r="D9479">
        <f t="shared" ca="1" si="442"/>
        <v>0</v>
      </c>
    </row>
    <row r="9480" spans="2:4" x14ac:dyDescent="0.25">
      <c r="B9480">
        <f t="shared" ca="1" si="443"/>
        <v>41093.174621311708</v>
      </c>
      <c r="C9480">
        <f t="shared" ca="1" si="441"/>
        <v>0</v>
      </c>
      <c r="D9480">
        <f t="shared" ca="1" si="442"/>
        <v>1093.1746213117076</v>
      </c>
    </row>
    <row r="9481" spans="2:4" x14ac:dyDescent="0.25">
      <c r="B9481">
        <f t="shared" ca="1" si="443"/>
        <v>52258.96428078723</v>
      </c>
      <c r="C9481">
        <f t="shared" ca="1" si="441"/>
        <v>0</v>
      </c>
      <c r="D9481">
        <f t="shared" ca="1" si="442"/>
        <v>12258.96428078723</v>
      </c>
    </row>
    <row r="9482" spans="2:4" x14ac:dyDescent="0.25">
      <c r="B9482">
        <f t="shared" ca="1" si="443"/>
        <v>42821.982686705865</v>
      </c>
      <c r="C9482">
        <f t="shared" ca="1" si="441"/>
        <v>0</v>
      </c>
      <c r="D9482">
        <f t="shared" ca="1" si="442"/>
        <v>2821.9826867058655</v>
      </c>
    </row>
    <row r="9483" spans="2:4" x14ac:dyDescent="0.25">
      <c r="B9483">
        <f t="shared" ca="1" si="443"/>
        <v>43527.407311762894</v>
      </c>
      <c r="C9483">
        <f t="shared" ca="1" si="441"/>
        <v>0</v>
      </c>
      <c r="D9483">
        <f t="shared" ca="1" si="442"/>
        <v>3527.4073117628941</v>
      </c>
    </row>
    <row r="9484" spans="2:4" x14ac:dyDescent="0.25">
      <c r="B9484">
        <f t="shared" ca="1" si="443"/>
        <v>45473.571201550149</v>
      </c>
      <c r="C9484">
        <f t="shared" ref="C9484:C9547" ca="1" si="444">IF(MAX($B$2-B9484)&lt;0,0,$B$2-B9484)</f>
        <v>0</v>
      </c>
      <c r="D9484">
        <f t="shared" ref="D9484:D9547" ca="1" si="445">IF(MAX(B9484-$B$2)&lt;0,0,B9484-$B$2)</f>
        <v>5473.5712015501485</v>
      </c>
    </row>
    <row r="9485" spans="2:4" x14ac:dyDescent="0.25">
      <c r="B9485">
        <f t="shared" ref="B9485:B9548" ca="1" si="446">$B$1*EXP((($B$4-($B$3^2)/2)*$B$5+$B$3*SQRT($B$5)*NORMSINV(RAND())))</f>
        <v>52307.834700641113</v>
      </c>
      <c r="C9485">
        <f t="shared" ca="1" si="444"/>
        <v>0</v>
      </c>
      <c r="D9485">
        <f t="shared" ca="1" si="445"/>
        <v>12307.834700641113</v>
      </c>
    </row>
    <row r="9486" spans="2:4" x14ac:dyDescent="0.25">
      <c r="B9486">
        <f t="shared" ca="1" si="446"/>
        <v>49565.5879636885</v>
      </c>
      <c r="C9486">
        <f t="shared" ca="1" si="444"/>
        <v>0</v>
      </c>
      <c r="D9486">
        <f t="shared" ca="1" si="445"/>
        <v>9565.5879636885002</v>
      </c>
    </row>
    <row r="9487" spans="2:4" x14ac:dyDescent="0.25">
      <c r="B9487">
        <f t="shared" ca="1" si="446"/>
        <v>46167.800577330054</v>
      </c>
      <c r="C9487">
        <f t="shared" ca="1" si="444"/>
        <v>0</v>
      </c>
      <c r="D9487">
        <f t="shared" ca="1" si="445"/>
        <v>6167.8005773300538</v>
      </c>
    </row>
    <row r="9488" spans="2:4" x14ac:dyDescent="0.25">
      <c r="B9488">
        <f t="shared" ca="1" si="446"/>
        <v>46430.674824400798</v>
      </c>
      <c r="C9488">
        <f t="shared" ca="1" si="444"/>
        <v>0</v>
      </c>
      <c r="D9488">
        <f t="shared" ca="1" si="445"/>
        <v>6430.6748244007977</v>
      </c>
    </row>
    <row r="9489" spans="2:4" x14ac:dyDescent="0.25">
      <c r="B9489">
        <f t="shared" ca="1" si="446"/>
        <v>41261.337711911474</v>
      </c>
      <c r="C9489">
        <f t="shared" ca="1" si="444"/>
        <v>0</v>
      </c>
      <c r="D9489">
        <f t="shared" ca="1" si="445"/>
        <v>1261.3377119114739</v>
      </c>
    </row>
    <row r="9490" spans="2:4" x14ac:dyDescent="0.25">
      <c r="B9490">
        <f t="shared" ca="1" si="446"/>
        <v>45638.239600685039</v>
      </c>
      <c r="C9490">
        <f t="shared" ca="1" si="444"/>
        <v>0</v>
      </c>
      <c r="D9490">
        <f t="shared" ca="1" si="445"/>
        <v>5638.2396006850395</v>
      </c>
    </row>
    <row r="9491" spans="2:4" x14ac:dyDescent="0.25">
      <c r="B9491">
        <f t="shared" ca="1" si="446"/>
        <v>41304.590819884768</v>
      </c>
      <c r="C9491">
        <f t="shared" ca="1" si="444"/>
        <v>0</v>
      </c>
      <c r="D9491">
        <f t="shared" ca="1" si="445"/>
        <v>1304.5908198847683</v>
      </c>
    </row>
    <row r="9492" spans="2:4" x14ac:dyDescent="0.25">
      <c r="B9492">
        <f t="shared" ca="1" si="446"/>
        <v>41239.465201571293</v>
      </c>
      <c r="C9492">
        <f t="shared" ca="1" si="444"/>
        <v>0</v>
      </c>
      <c r="D9492">
        <f t="shared" ca="1" si="445"/>
        <v>1239.4652015712927</v>
      </c>
    </row>
    <row r="9493" spans="2:4" x14ac:dyDescent="0.25">
      <c r="B9493">
        <f t="shared" ca="1" si="446"/>
        <v>39521.559606323368</v>
      </c>
      <c r="C9493">
        <f t="shared" ca="1" si="444"/>
        <v>478.44039367663208</v>
      </c>
      <c r="D9493">
        <f t="shared" ca="1" si="445"/>
        <v>0</v>
      </c>
    </row>
    <row r="9494" spans="2:4" x14ac:dyDescent="0.25">
      <c r="B9494">
        <f t="shared" ca="1" si="446"/>
        <v>54954.398705969121</v>
      </c>
      <c r="C9494">
        <f t="shared" ca="1" si="444"/>
        <v>0</v>
      </c>
      <c r="D9494">
        <f t="shared" ca="1" si="445"/>
        <v>14954.398705969121</v>
      </c>
    </row>
    <row r="9495" spans="2:4" x14ac:dyDescent="0.25">
      <c r="B9495">
        <f t="shared" ca="1" si="446"/>
        <v>41156.448232883937</v>
      </c>
      <c r="C9495">
        <f t="shared" ca="1" si="444"/>
        <v>0</v>
      </c>
      <c r="D9495">
        <f t="shared" ca="1" si="445"/>
        <v>1156.4482328839367</v>
      </c>
    </row>
    <row r="9496" spans="2:4" x14ac:dyDescent="0.25">
      <c r="B9496">
        <f t="shared" ca="1" si="446"/>
        <v>36678.039644004333</v>
      </c>
      <c r="C9496">
        <f t="shared" ca="1" si="444"/>
        <v>3321.9603559956668</v>
      </c>
      <c r="D9496">
        <f t="shared" ca="1" si="445"/>
        <v>0</v>
      </c>
    </row>
    <row r="9497" spans="2:4" x14ac:dyDescent="0.25">
      <c r="B9497">
        <f t="shared" ca="1" si="446"/>
        <v>44920.586258297102</v>
      </c>
      <c r="C9497">
        <f t="shared" ca="1" si="444"/>
        <v>0</v>
      </c>
      <c r="D9497">
        <f t="shared" ca="1" si="445"/>
        <v>4920.5862582971022</v>
      </c>
    </row>
    <row r="9498" spans="2:4" x14ac:dyDescent="0.25">
      <c r="B9498">
        <f t="shared" ca="1" si="446"/>
        <v>46683.686171190806</v>
      </c>
      <c r="C9498">
        <f t="shared" ca="1" si="444"/>
        <v>0</v>
      </c>
      <c r="D9498">
        <f t="shared" ca="1" si="445"/>
        <v>6683.6861711908059</v>
      </c>
    </row>
    <row r="9499" spans="2:4" x14ac:dyDescent="0.25">
      <c r="B9499">
        <f t="shared" ca="1" si="446"/>
        <v>43271.19285110302</v>
      </c>
      <c r="C9499">
        <f t="shared" ca="1" si="444"/>
        <v>0</v>
      </c>
      <c r="D9499">
        <f t="shared" ca="1" si="445"/>
        <v>3271.1928511030201</v>
      </c>
    </row>
    <row r="9500" spans="2:4" x14ac:dyDescent="0.25">
      <c r="B9500">
        <f t="shared" ca="1" si="446"/>
        <v>49383.397973673782</v>
      </c>
      <c r="C9500">
        <f t="shared" ca="1" si="444"/>
        <v>0</v>
      </c>
      <c r="D9500">
        <f t="shared" ca="1" si="445"/>
        <v>9383.397973673782</v>
      </c>
    </row>
    <row r="9501" spans="2:4" x14ac:dyDescent="0.25">
      <c r="B9501">
        <f t="shared" ca="1" si="446"/>
        <v>49220.131400197643</v>
      </c>
      <c r="C9501">
        <f t="shared" ca="1" si="444"/>
        <v>0</v>
      </c>
      <c r="D9501">
        <f t="shared" ca="1" si="445"/>
        <v>9220.1314001976425</v>
      </c>
    </row>
    <row r="9502" spans="2:4" x14ac:dyDescent="0.25">
      <c r="B9502">
        <f t="shared" ca="1" si="446"/>
        <v>45731.214428941465</v>
      </c>
      <c r="C9502">
        <f t="shared" ca="1" si="444"/>
        <v>0</v>
      </c>
      <c r="D9502">
        <f t="shared" ca="1" si="445"/>
        <v>5731.2144289414646</v>
      </c>
    </row>
    <row r="9503" spans="2:4" x14ac:dyDescent="0.25">
      <c r="B9503">
        <f t="shared" ca="1" si="446"/>
        <v>56064.859027593579</v>
      </c>
      <c r="C9503">
        <f t="shared" ca="1" si="444"/>
        <v>0</v>
      </c>
      <c r="D9503">
        <f t="shared" ca="1" si="445"/>
        <v>16064.859027593579</v>
      </c>
    </row>
    <row r="9504" spans="2:4" x14ac:dyDescent="0.25">
      <c r="B9504">
        <f t="shared" ca="1" si="446"/>
        <v>40425.771626903894</v>
      </c>
      <c r="C9504">
        <f t="shared" ca="1" si="444"/>
        <v>0</v>
      </c>
      <c r="D9504">
        <f t="shared" ca="1" si="445"/>
        <v>425.77162690389378</v>
      </c>
    </row>
    <row r="9505" spans="2:4" x14ac:dyDescent="0.25">
      <c r="B9505">
        <f t="shared" ca="1" si="446"/>
        <v>43060.180162765588</v>
      </c>
      <c r="C9505">
        <f t="shared" ca="1" si="444"/>
        <v>0</v>
      </c>
      <c r="D9505">
        <f t="shared" ca="1" si="445"/>
        <v>3060.1801627655877</v>
      </c>
    </row>
    <row r="9506" spans="2:4" x14ac:dyDescent="0.25">
      <c r="B9506">
        <f t="shared" ca="1" si="446"/>
        <v>40693.756696557859</v>
      </c>
      <c r="C9506">
        <f t="shared" ca="1" si="444"/>
        <v>0</v>
      </c>
      <c r="D9506">
        <f t="shared" ca="1" si="445"/>
        <v>693.75669655785896</v>
      </c>
    </row>
    <row r="9507" spans="2:4" x14ac:dyDescent="0.25">
      <c r="B9507">
        <f t="shared" ca="1" si="446"/>
        <v>42011.128441275454</v>
      </c>
      <c r="C9507">
        <f t="shared" ca="1" si="444"/>
        <v>0</v>
      </c>
      <c r="D9507">
        <f t="shared" ca="1" si="445"/>
        <v>2011.128441275454</v>
      </c>
    </row>
    <row r="9508" spans="2:4" x14ac:dyDescent="0.25">
      <c r="B9508">
        <f t="shared" ca="1" si="446"/>
        <v>39115.903503897011</v>
      </c>
      <c r="C9508">
        <f t="shared" ca="1" si="444"/>
        <v>884.09649610298948</v>
      </c>
      <c r="D9508">
        <f t="shared" ca="1" si="445"/>
        <v>0</v>
      </c>
    </row>
    <row r="9509" spans="2:4" x14ac:dyDescent="0.25">
      <c r="B9509">
        <f t="shared" ca="1" si="446"/>
        <v>46007.572648528418</v>
      </c>
      <c r="C9509">
        <f t="shared" ca="1" si="444"/>
        <v>0</v>
      </c>
      <c r="D9509">
        <f t="shared" ca="1" si="445"/>
        <v>6007.5726485284176</v>
      </c>
    </row>
    <row r="9510" spans="2:4" x14ac:dyDescent="0.25">
      <c r="B9510">
        <f t="shared" ca="1" si="446"/>
        <v>42547.025572775667</v>
      </c>
      <c r="C9510">
        <f t="shared" ca="1" si="444"/>
        <v>0</v>
      </c>
      <c r="D9510">
        <f t="shared" ca="1" si="445"/>
        <v>2547.0255727756667</v>
      </c>
    </row>
    <row r="9511" spans="2:4" x14ac:dyDescent="0.25">
      <c r="B9511">
        <f t="shared" ca="1" si="446"/>
        <v>54971.6435256724</v>
      </c>
      <c r="C9511">
        <f t="shared" ca="1" si="444"/>
        <v>0</v>
      </c>
      <c r="D9511">
        <f t="shared" ca="1" si="445"/>
        <v>14971.6435256724</v>
      </c>
    </row>
    <row r="9512" spans="2:4" x14ac:dyDescent="0.25">
      <c r="B9512">
        <f t="shared" ca="1" si="446"/>
        <v>54666.74078299864</v>
      </c>
      <c r="C9512">
        <f t="shared" ca="1" si="444"/>
        <v>0</v>
      </c>
      <c r="D9512">
        <f t="shared" ca="1" si="445"/>
        <v>14666.74078299864</v>
      </c>
    </row>
    <row r="9513" spans="2:4" x14ac:dyDescent="0.25">
      <c r="B9513">
        <f t="shared" ca="1" si="446"/>
        <v>52027.369002125677</v>
      </c>
      <c r="C9513">
        <f t="shared" ca="1" si="444"/>
        <v>0</v>
      </c>
      <c r="D9513">
        <f t="shared" ca="1" si="445"/>
        <v>12027.369002125677</v>
      </c>
    </row>
    <row r="9514" spans="2:4" x14ac:dyDescent="0.25">
      <c r="B9514">
        <f t="shared" ca="1" si="446"/>
        <v>39209.101234834066</v>
      </c>
      <c r="C9514">
        <f t="shared" ca="1" si="444"/>
        <v>790.89876516593358</v>
      </c>
      <c r="D9514">
        <f t="shared" ca="1" si="445"/>
        <v>0</v>
      </c>
    </row>
    <row r="9515" spans="2:4" x14ac:dyDescent="0.25">
      <c r="B9515">
        <f t="shared" ca="1" si="446"/>
        <v>44255.652370248441</v>
      </c>
      <c r="C9515">
        <f t="shared" ca="1" si="444"/>
        <v>0</v>
      </c>
      <c r="D9515">
        <f t="shared" ca="1" si="445"/>
        <v>4255.652370248441</v>
      </c>
    </row>
    <row r="9516" spans="2:4" x14ac:dyDescent="0.25">
      <c r="B9516">
        <f t="shared" ca="1" si="446"/>
        <v>52207.908961124915</v>
      </c>
      <c r="C9516">
        <f t="shared" ca="1" si="444"/>
        <v>0</v>
      </c>
      <c r="D9516">
        <f t="shared" ca="1" si="445"/>
        <v>12207.908961124915</v>
      </c>
    </row>
    <row r="9517" spans="2:4" x14ac:dyDescent="0.25">
      <c r="B9517">
        <f t="shared" ca="1" si="446"/>
        <v>47696.581449816862</v>
      </c>
      <c r="C9517">
        <f t="shared" ca="1" si="444"/>
        <v>0</v>
      </c>
      <c r="D9517">
        <f t="shared" ca="1" si="445"/>
        <v>7696.581449816862</v>
      </c>
    </row>
    <row r="9518" spans="2:4" x14ac:dyDescent="0.25">
      <c r="B9518">
        <f t="shared" ca="1" si="446"/>
        <v>49405.010218614778</v>
      </c>
      <c r="C9518">
        <f t="shared" ca="1" si="444"/>
        <v>0</v>
      </c>
      <c r="D9518">
        <f t="shared" ca="1" si="445"/>
        <v>9405.0102186147778</v>
      </c>
    </row>
    <row r="9519" spans="2:4" x14ac:dyDescent="0.25">
      <c r="B9519">
        <f t="shared" ca="1" si="446"/>
        <v>39615.725748495555</v>
      </c>
      <c r="C9519">
        <f t="shared" ca="1" si="444"/>
        <v>384.27425150444469</v>
      </c>
      <c r="D9519">
        <f t="shared" ca="1" si="445"/>
        <v>0</v>
      </c>
    </row>
    <row r="9520" spans="2:4" x14ac:dyDescent="0.25">
      <c r="B9520">
        <f t="shared" ca="1" si="446"/>
        <v>45248.595811699612</v>
      </c>
      <c r="C9520">
        <f t="shared" ca="1" si="444"/>
        <v>0</v>
      </c>
      <c r="D9520">
        <f t="shared" ca="1" si="445"/>
        <v>5248.5958116996117</v>
      </c>
    </row>
    <row r="9521" spans="2:4" x14ac:dyDescent="0.25">
      <c r="B9521">
        <f t="shared" ca="1" si="446"/>
        <v>42058.019122577527</v>
      </c>
      <c r="C9521">
        <f t="shared" ca="1" si="444"/>
        <v>0</v>
      </c>
      <c r="D9521">
        <f t="shared" ca="1" si="445"/>
        <v>2058.019122577527</v>
      </c>
    </row>
    <row r="9522" spans="2:4" x14ac:dyDescent="0.25">
      <c r="B9522">
        <f t="shared" ca="1" si="446"/>
        <v>47375.89787074802</v>
      </c>
      <c r="C9522">
        <f t="shared" ca="1" si="444"/>
        <v>0</v>
      </c>
      <c r="D9522">
        <f t="shared" ca="1" si="445"/>
        <v>7375.8978707480201</v>
      </c>
    </row>
    <row r="9523" spans="2:4" x14ac:dyDescent="0.25">
      <c r="B9523">
        <f t="shared" ca="1" si="446"/>
        <v>48780.744821043532</v>
      </c>
      <c r="C9523">
        <f t="shared" ca="1" si="444"/>
        <v>0</v>
      </c>
      <c r="D9523">
        <f t="shared" ca="1" si="445"/>
        <v>8780.7448210435323</v>
      </c>
    </row>
    <row r="9524" spans="2:4" x14ac:dyDescent="0.25">
      <c r="B9524">
        <f t="shared" ca="1" si="446"/>
        <v>45084.592751935437</v>
      </c>
      <c r="C9524">
        <f t="shared" ca="1" si="444"/>
        <v>0</v>
      </c>
      <c r="D9524">
        <f t="shared" ca="1" si="445"/>
        <v>5084.5927519354373</v>
      </c>
    </row>
    <row r="9525" spans="2:4" x14ac:dyDescent="0.25">
      <c r="B9525">
        <f t="shared" ca="1" si="446"/>
        <v>49292.353705146161</v>
      </c>
      <c r="C9525">
        <f t="shared" ca="1" si="444"/>
        <v>0</v>
      </c>
      <c r="D9525">
        <f t="shared" ca="1" si="445"/>
        <v>9292.3537051461608</v>
      </c>
    </row>
    <row r="9526" spans="2:4" x14ac:dyDescent="0.25">
      <c r="B9526">
        <f t="shared" ca="1" si="446"/>
        <v>48302.757030413377</v>
      </c>
      <c r="C9526">
        <f t="shared" ca="1" si="444"/>
        <v>0</v>
      </c>
      <c r="D9526">
        <f t="shared" ca="1" si="445"/>
        <v>8302.7570304133769</v>
      </c>
    </row>
    <row r="9527" spans="2:4" x14ac:dyDescent="0.25">
      <c r="B9527">
        <f t="shared" ca="1" si="446"/>
        <v>40969.749408660799</v>
      </c>
      <c r="C9527">
        <f t="shared" ca="1" si="444"/>
        <v>0</v>
      </c>
      <c r="D9527">
        <f t="shared" ca="1" si="445"/>
        <v>969.74940866079851</v>
      </c>
    </row>
    <row r="9528" spans="2:4" x14ac:dyDescent="0.25">
      <c r="B9528">
        <f t="shared" ca="1" si="446"/>
        <v>47426.414469787211</v>
      </c>
      <c r="C9528">
        <f t="shared" ca="1" si="444"/>
        <v>0</v>
      </c>
      <c r="D9528">
        <f t="shared" ca="1" si="445"/>
        <v>7426.4144697872107</v>
      </c>
    </row>
    <row r="9529" spans="2:4" x14ac:dyDescent="0.25">
      <c r="B9529">
        <f t="shared" ca="1" si="446"/>
        <v>40528.972318094879</v>
      </c>
      <c r="C9529">
        <f t="shared" ca="1" si="444"/>
        <v>0</v>
      </c>
      <c r="D9529">
        <f t="shared" ca="1" si="445"/>
        <v>528.97231809487857</v>
      </c>
    </row>
    <row r="9530" spans="2:4" x14ac:dyDescent="0.25">
      <c r="B9530">
        <f t="shared" ca="1" si="446"/>
        <v>39387.957412844764</v>
      </c>
      <c r="C9530">
        <f t="shared" ca="1" si="444"/>
        <v>612.04258715523611</v>
      </c>
      <c r="D9530">
        <f t="shared" ca="1" si="445"/>
        <v>0</v>
      </c>
    </row>
    <row r="9531" spans="2:4" x14ac:dyDescent="0.25">
      <c r="B9531">
        <f t="shared" ca="1" si="446"/>
        <v>46562.041803876651</v>
      </c>
      <c r="C9531">
        <f t="shared" ca="1" si="444"/>
        <v>0</v>
      </c>
      <c r="D9531">
        <f t="shared" ca="1" si="445"/>
        <v>6562.0418038766511</v>
      </c>
    </row>
    <row r="9532" spans="2:4" x14ac:dyDescent="0.25">
      <c r="B9532">
        <f t="shared" ca="1" si="446"/>
        <v>37579.602381753968</v>
      </c>
      <c r="C9532">
        <f t="shared" ca="1" si="444"/>
        <v>2420.3976182460319</v>
      </c>
      <c r="D9532">
        <f t="shared" ca="1" si="445"/>
        <v>0</v>
      </c>
    </row>
    <row r="9533" spans="2:4" x14ac:dyDescent="0.25">
      <c r="B9533">
        <f t="shared" ca="1" si="446"/>
        <v>46983.515545146693</v>
      </c>
      <c r="C9533">
        <f t="shared" ca="1" si="444"/>
        <v>0</v>
      </c>
      <c r="D9533">
        <f t="shared" ca="1" si="445"/>
        <v>6983.5155451466926</v>
      </c>
    </row>
    <row r="9534" spans="2:4" x14ac:dyDescent="0.25">
      <c r="B9534">
        <f t="shared" ca="1" si="446"/>
        <v>39877.966286368952</v>
      </c>
      <c r="C9534">
        <f t="shared" ca="1" si="444"/>
        <v>122.03371363104816</v>
      </c>
      <c r="D9534">
        <f t="shared" ca="1" si="445"/>
        <v>0</v>
      </c>
    </row>
    <row r="9535" spans="2:4" x14ac:dyDescent="0.25">
      <c r="B9535">
        <f t="shared" ca="1" si="446"/>
        <v>49512.872081327114</v>
      </c>
      <c r="C9535">
        <f t="shared" ca="1" si="444"/>
        <v>0</v>
      </c>
      <c r="D9535">
        <f t="shared" ca="1" si="445"/>
        <v>9512.8720813271138</v>
      </c>
    </row>
    <row r="9536" spans="2:4" x14ac:dyDescent="0.25">
      <c r="B9536">
        <f t="shared" ca="1" si="446"/>
        <v>40404.937135599372</v>
      </c>
      <c r="C9536">
        <f t="shared" ca="1" si="444"/>
        <v>0</v>
      </c>
      <c r="D9536">
        <f t="shared" ca="1" si="445"/>
        <v>404.93713559937169</v>
      </c>
    </row>
    <row r="9537" spans="2:4" x14ac:dyDescent="0.25">
      <c r="B9537">
        <f t="shared" ca="1" si="446"/>
        <v>41241.496489305107</v>
      </c>
      <c r="C9537">
        <f t="shared" ca="1" si="444"/>
        <v>0</v>
      </c>
      <c r="D9537">
        <f t="shared" ca="1" si="445"/>
        <v>1241.4964893051074</v>
      </c>
    </row>
    <row r="9538" spans="2:4" x14ac:dyDescent="0.25">
      <c r="B9538">
        <f t="shared" ca="1" si="446"/>
        <v>39372.226610550068</v>
      </c>
      <c r="C9538">
        <f t="shared" ca="1" si="444"/>
        <v>627.77338944993244</v>
      </c>
      <c r="D9538">
        <f t="shared" ca="1" si="445"/>
        <v>0</v>
      </c>
    </row>
    <row r="9539" spans="2:4" x14ac:dyDescent="0.25">
      <c r="B9539">
        <f t="shared" ca="1" si="446"/>
        <v>42860.252855595776</v>
      </c>
      <c r="C9539">
        <f t="shared" ca="1" si="444"/>
        <v>0</v>
      </c>
      <c r="D9539">
        <f t="shared" ca="1" si="445"/>
        <v>2860.2528555957761</v>
      </c>
    </row>
    <row r="9540" spans="2:4" x14ac:dyDescent="0.25">
      <c r="B9540">
        <f t="shared" ca="1" si="446"/>
        <v>53170.134311536007</v>
      </c>
      <c r="C9540">
        <f t="shared" ca="1" si="444"/>
        <v>0</v>
      </c>
      <c r="D9540">
        <f t="shared" ca="1" si="445"/>
        <v>13170.134311536007</v>
      </c>
    </row>
    <row r="9541" spans="2:4" x14ac:dyDescent="0.25">
      <c r="B9541">
        <f t="shared" ca="1" si="446"/>
        <v>48651.68198742497</v>
      </c>
      <c r="C9541">
        <f t="shared" ca="1" si="444"/>
        <v>0</v>
      </c>
      <c r="D9541">
        <f t="shared" ca="1" si="445"/>
        <v>8651.6819874249704</v>
      </c>
    </row>
    <row r="9542" spans="2:4" x14ac:dyDescent="0.25">
      <c r="B9542">
        <f t="shared" ca="1" si="446"/>
        <v>49108.960708594284</v>
      </c>
      <c r="C9542">
        <f t="shared" ca="1" si="444"/>
        <v>0</v>
      </c>
      <c r="D9542">
        <f t="shared" ca="1" si="445"/>
        <v>9108.9607085942844</v>
      </c>
    </row>
    <row r="9543" spans="2:4" x14ac:dyDescent="0.25">
      <c r="B9543">
        <f t="shared" ca="1" si="446"/>
        <v>45296.601093774472</v>
      </c>
      <c r="C9543">
        <f t="shared" ca="1" si="444"/>
        <v>0</v>
      </c>
      <c r="D9543">
        <f t="shared" ca="1" si="445"/>
        <v>5296.6010937744722</v>
      </c>
    </row>
    <row r="9544" spans="2:4" x14ac:dyDescent="0.25">
      <c r="B9544">
        <f t="shared" ca="1" si="446"/>
        <v>45240.082287621102</v>
      </c>
      <c r="C9544">
        <f t="shared" ca="1" si="444"/>
        <v>0</v>
      </c>
      <c r="D9544">
        <f t="shared" ca="1" si="445"/>
        <v>5240.0822876211023</v>
      </c>
    </row>
    <row r="9545" spans="2:4" x14ac:dyDescent="0.25">
      <c r="B9545">
        <f t="shared" ca="1" si="446"/>
        <v>45086.814807042538</v>
      </c>
      <c r="C9545">
        <f t="shared" ca="1" si="444"/>
        <v>0</v>
      </c>
      <c r="D9545">
        <f t="shared" ca="1" si="445"/>
        <v>5086.8148070425377</v>
      </c>
    </row>
    <row r="9546" spans="2:4" x14ac:dyDescent="0.25">
      <c r="B9546">
        <f t="shared" ca="1" si="446"/>
        <v>37460.625147216262</v>
      </c>
      <c r="C9546">
        <f t="shared" ca="1" si="444"/>
        <v>2539.3748527837379</v>
      </c>
      <c r="D9546">
        <f t="shared" ca="1" si="445"/>
        <v>0</v>
      </c>
    </row>
    <row r="9547" spans="2:4" x14ac:dyDescent="0.25">
      <c r="B9547">
        <f t="shared" ca="1" si="446"/>
        <v>45595.734024196339</v>
      </c>
      <c r="C9547">
        <f t="shared" ca="1" si="444"/>
        <v>0</v>
      </c>
      <c r="D9547">
        <f t="shared" ca="1" si="445"/>
        <v>5595.7340241963393</v>
      </c>
    </row>
    <row r="9548" spans="2:4" x14ac:dyDescent="0.25">
      <c r="B9548">
        <f t="shared" ca="1" si="446"/>
        <v>47355.430695824005</v>
      </c>
      <c r="C9548">
        <f t="shared" ref="C9548:C9611" ca="1" si="447">IF(MAX($B$2-B9548)&lt;0,0,$B$2-B9548)</f>
        <v>0</v>
      </c>
      <c r="D9548">
        <f t="shared" ref="D9548:D9611" ca="1" si="448">IF(MAX(B9548-$B$2)&lt;0,0,B9548-$B$2)</f>
        <v>7355.4306958240049</v>
      </c>
    </row>
    <row r="9549" spans="2:4" x14ac:dyDescent="0.25">
      <c r="B9549">
        <f t="shared" ref="B9549:B9612" ca="1" si="449">$B$1*EXP((($B$4-($B$3^2)/2)*$B$5+$B$3*SQRT($B$5)*NORMSINV(RAND())))</f>
        <v>43427.926522348047</v>
      </c>
      <c r="C9549">
        <f t="shared" ca="1" si="447"/>
        <v>0</v>
      </c>
      <c r="D9549">
        <f t="shared" ca="1" si="448"/>
        <v>3427.926522348047</v>
      </c>
    </row>
    <row r="9550" spans="2:4" x14ac:dyDescent="0.25">
      <c r="B9550">
        <f t="shared" ca="1" si="449"/>
        <v>46890.161668321402</v>
      </c>
      <c r="C9550">
        <f t="shared" ca="1" si="447"/>
        <v>0</v>
      </c>
      <c r="D9550">
        <f t="shared" ca="1" si="448"/>
        <v>6890.1616683214015</v>
      </c>
    </row>
    <row r="9551" spans="2:4" x14ac:dyDescent="0.25">
      <c r="B9551">
        <f t="shared" ca="1" si="449"/>
        <v>48329.299409849315</v>
      </c>
      <c r="C9551">
        <f t="shared" ca="1" si="447"/>
        <v>0</v>
      </c>
      <c r="D9551">
        <f t="shared" ca="1" si="448"/>
        <v>8329.2994098493145</v>
      </c>
    </row>
    <row r="9552" spans="2:4" x14ac:dyDescent="0.25">
      <c r="B9552">
        <f t="shared" ca="1" si="449"/>
        <v>37516.282878540718</v>
      </c>
      <c r="C9552">
        <f t="shared" ca="1" si="447"/>
        <v>2483.7171214592818</v>
      </c>
      <c r="D9552">
        <f t="shared" ca="1" si="448"/>
        <v>0</v>
      </c>
    </row>
    <row r="9553" spans="2:4" x14ac:dyDescent="0.25">
      <c r="B9553">
        <f t="shared" ca="1" si="449"/>
        <v>42574.484611299325</v>
      </c>
      <c r="C9553">
        <f t="shared" ca="1" si="447"/>
        <v>0</v>
      </c>
      <c r="D9553">
        <f t="shared" ca="1" si="448"/>
        <v>2574.4846112993255</v>
      </c>
    </row>
    <row r="9554" spans="2:4" x14ac:dyDescent="0.25">
      <c r="B9554">
        <f t="shared" ca="1" si="449"/>
        <v>55543.371385898361</v>
      </c>
      <c r="C9554">
        <f t="shared" ca="1" si="447"/>
        <v>0</v>
      </c>
      <c r="D9554">
        <f t="shared" ca="1" si="448"/>
        <v>15543.371385898361</v>
      </c>
    </row>
    <row r="9555" spans="2:4" x14ac:dyDescent="0.25">
      <c r="B9555">
        <f t="shared" ca="1" si="449"/>
        <v>39548.224218482457</v>
      </c>
      <c r="C9555">
        <f t="shared" ca="1" si="447"/>
        <v>451.77578151754278</v>
      </c>
      <c r="D9555">
        <f t="shared" ca="1" si="448"/>
        <v>0</v>
      </c>
    </row>
    <row r="9556" spans="2:4" x14ac:dyDescent="0.25">
      <c r="B9556">
        <f t="shared" ca="1" si="449"/>
        <v>42981.19523634205</v>
      </c>
      <c r="C9556">
        <f t="shared" ca="1" si="447"/>
        <v>0</v>
      </c>
      <c r="D9556">
        <f t="shared" ca="1" si="448"/>
        <v>2981.1952363420496</v>
      </c>
    </row>
    <row r="9557" spans="2:4" x14ac:dyDescent="0.25">
      <c r="B9557">
        <f t="shared" ca="1" si="449"/>
        <v>47705.023579584209</v>
      </c>
      <c r="C9557">
        <f t="shared" ca="1" si="447"/>
        <v>0</v>
      </c>
      <c r="D9557">
        <f t="shared" ca="1" si="448"/>
        <v>7705.0235795842091</v>
      </c>
    </row>
    <row r="9558" spans="2:4" x14ac:dyDescent="0.25">
      <c r="B9558">
        <f t="shared" ca="1" si="449"/>
        <v>41598.640796267922</v>
      </c>
      <c r="C9558">
        <f t="shared" ca="1" si="447"/>
        <v>0</v>
      </c>
      <c r="D9558">
        <f t="shared" ca="1" si="448"/>
        <v>1598.6407962679223</v>
      </c>
    </row>
    <row r="9559" spans="2:4" x14ac:dyDescent="0.25">
      <c r="B9559">
        <f t="shared" ca="1" si="449"/>
        <v>45513.246921280181</v>
      </c>
      <c r="C9559">
        <f t="shared" ca="1" si="447"/>
        <v>0</v>
      </c>
      <c r="D9559">
        <f t="shared" ca="1" si="448"/>
        <v>5513.2469212801807</v>
      </c>
    </row>
    <row r="9560" spans="2:4" x14ac:dyDescent="0.25">
      <c r="B9560">
        <f t="shared" ca="1" si="449"/>
        <v>45525.842008997744</v>
      </c>
      <c r="C9560">
        <f t="shared" ca="1" si="447"/>
        <v>0</v>
      </c>
      <c r="D9560">
        <f t="shared" ca="1" si="448"/>
        <v>5525.8420089977444</v>
      </c>
    </row>
    <row r="9561" spans="2:4" x14ac:dyDescent="0.25">
      <c r="B9561">
        <f t="shared" ca="1" si="449"/>
        <v>45906.795024482402</v>
      </c>
      <c r="C9561">
        <f t="shared" ca="1" si="447"/>
        <v>0</v>
      </c>
      <c r="D9561">
        <f t="shared" ca="1" si="448"/>
        <v>5906.7950244824024</v>
      </c>
    </row>
    <row r="9562" spans="2:4" x14ac:dyDescent="0.25">
      <c r="B9562">
        <f t="shared" ca="1" si="449"/>
        <v>48477.506487203435</v>
      </c>
      <c r="C9562">
        <f t="shared" ca="1" si="447"/>
        <v>0</v>
      </c>
      <c r="D9562">
        <f t="shared" ca="1" si="448"/>
        <v>8477.5064872034345</v>
      </c>
    </row>
    <row r="9563" spans="2:4" x14ac:dyDescent="0.25">
      <c r="B9563">
        <f t="shared" ca="1" si="449"/>
        <v>43259.394389110545</v>
      </c>
      <c r="C9563">
        <f t="shared" ca="1" si="447"/>
        <v>0</v>
      </c>
      <c r="D9563">
        <f t="shared" ca="1" si="448"/>
        <v>3259.3943891105446</v>
      </c>
    </row>
    <row r="9564" spans="2:4" x14ac:dyDescent="0.25">
      <c r="B9564">
        <f t="shared" ca="1" si="449"/>
        <v>44566.216763134013</v>
      </c>
      <c r="C9564">
        <f t="shared" ca="1" si="447"/>
        <v>0</v>
      </c>
      <c r="D9564">
        <f t="shared" ca="1" si="448"/>
        <v>4566.2167631340126</v>
      </c>
    </row>
    <row r="9565" spans="2:4" x14ac:dyDescent="0.25">
      <c r="B9565">
        <f t="shared" ca="1" si="449"/>
        <v>48067.706618718505</v>
      </c>
      <c r="C9565">
        <f t="shared" ca="1" si="447"/>
        <v>0</v>
      </c>
      <c r="D9565">
        <f t="shared" ca="1" si="448"/>
        <v>8067.7066187185046</v>
      </c>
    </row>
    <row r="9566" spans="2:4" x14ac:dyDescent="0.25">
      <c r="B9566">
        <f t="shared" ca="1" si="449"/>
        <v>40053.327480586697</v>
      </c>
      <c r="C9566">
        <f t="shared" ca="1" si="447"/>
        <v>0</v>
      </c>
      <c r="D9566">
        <f t="shared" ca="1" si="448"/>
        <v>53.327480586696765</v>
      </c>
    </row>
    <row r="9567" spans="2:4" x14ac:dyDescent="0.25">
      <c r="B9567">
        <f t="shared" ca="1" si="449"/>
        <v>41658.336919643538</v>
      </c>
      <c r="C9567">
        <f t="shared" ca="1" si="447"/>
        <v>0</v>
      </c>
      <c r="D9567">
        <f t="shared" ca="1" si="448"/>
        <v>1658.3369196435378</v>
      </c>
    </row>
    <row r="9568" spans="2:4" x14ac:dyDescent="0.25">
      <c r="B9568">
        <f t="shared" ca="1" si="449"/>
        <v>40576.113751248617</v>
      </c>
      <c r="C9568">
        <f t="shared" ca="1" si="447"/>
        <v>0</v>
      </c>
      <c r="D9568">
        <f t="shared" ca="1" si="448"/>
        <v>576.11375124861661</v>
      </c>
    </row>
    <row r="9569" spans="2:4" x14ac:dyDescent="0.25">
      <c r="B9569">
        <f t="shared" ca="1" si="449"/>
        <v>49791.749388263634</v>
      </c>
      <c r="C9569">
        <f t="shared" ca="1" si="447"/>
        <v>0</v>
      </c>
      <c r="D9569">
        <f t="shared" ca="1" si="448"/>
        <v>9791.7493882636336</v>
      </c>
    </row>
    <row r="9570" spans="2:4" x14ac:dyDescent="0.25">
      <c r="B9570">
        <f t="shared" ca="1" si="449"/>
        <v>39127.136166157623</v>
      </c>
      <c r="C9570">
        <f t="shared" ca="1" si="447"/>
        <v>872.86383384237706</v>
      </c>
      <c r="D9570">
        <f t="shared" ca="1" si="448"/>
        <v>0</v>
      </c>
    </row>
    <row r="9571" spans="2:4" x14ac:dyDescent="0.25">
      <c r="B9571">
        <f t="shared" ca="1" si="449"/>
        <v>40793.493036189837</v>
      </c>
      <c r="C9571">
        <f t="shared" ca="1" si="447"/>
        <v>0</v>
      </c>
      <c r="D9571">
        <f t="shared" ca="1" si="448"/>
        <v>793.49303618983686</v>
      </c>
    </row>
    <row r="9572" spans="2:4" x14ac:dyDescent="0.25">
      <c r="B9572">
        <f t="shared" ca="1" si="449"/>
        <v>43873.381428011693</v>
      </c>
      <c r="C9572">
        <f t="shared" ca="1" si="447"/>
        <v>0</v>
      </c>
      <c r="D9572">
        <f t="shared" ca="1" si="448"/>
        <v>3873.3814280116931</v>
      </c>
    </row>
    <row r="9573" spans="2:4" x14ac:dyDescent="0.25">
      <c r="B9573">
        <f t="shared" ca="1" si="449"/>
        <v>45965.998003769877</v>
      </c>
      <c r="C9573">
        <f t="shared" ca="1" si="447"/>
        <v>0</v>
      </c>
      <c r="D9573">
        <f t="shared" ca="1" si="448"/>
        <v>5965.998003769877</v>
      </c>
    </row>
    <row r="9574" spans="2:4" x14ac:dyDescent="0.25">
      <c r="B9574">
        <f t="shared" ca="1" si="449"/>
        <v>47991.362741231133</v>
      </c>
      <c r="C9574">
        <f t="shared" ca="1" si="447"/>
        <v>0</v>
      </c>
      <c r="D9574">
        <f t="shared" ca="1" si="448"/>
        <v>7991.3627412311325</v>
      </c>
    </row>
    <row r="9575" spans="2:4" x14ac:dyDescent="0.25">
      <c r="B9575">
        <f t="shared" ca="1" si="449"/>
        <v>43265.663883219895</v>
      </c>
      <c r="C9575">
        <f t="shared" ca="1" si="447"/>
        <v>0</v>
      </c>
      <c r="D9575">
        <f t="shared" ca="1" si="448"/>
        <v>3265.6638832198951</v>
      </c>
    </row>
    <row r="9576" spans="2:4" x14ac:dyDescent="0.25">
      <c r="B9576">
        <f t="shared" ca="1" si="449"/>
        <v>49720.875561953748</v>
      </c>
      <c r="C9576">
        <f t="shared" ca="1" si="447"/>
        <v>0</v>
      </c>
      <c r="D9576">
        <f t="shared" ca="1" si="448"/>
        <v>9720.8755619537478</v>
      </c>
    </row>
    <row r="9577" spans="2:4" x14ac:dyDescent="0.25">
      <c r="B9577">
        <f t="shared" ca="1" si="449"/>
        <v>42153.721942905293</v>
      </c>
      <c r="C9577">
        <f t="shared" ca="1" si="447"/>
        <v>0</v>
      </c>
      <c r="D9577">
        <f t="shared" ca="1" si="448"/>
        <v>2153.721942905293</v>
      </c>
    </row>
    <row r="9578" spans="2:4" x14ac:dyDescent="0.25">
      <c r="B9578">
        <f t="shared" ca="1" si="449"/>
        <v>42140.042416685181</v>
      </c>
      <c r="C9578">
        <f t="shared" ca="1" si="447"/>
        <v>0</v>
      </c>
      <c r="D9578">
        <f t="shared" ca="1" si="448"/>
        <v>2140.0424166851808</v>
      </c>
    </row>
    <row r="9579" spans="2:4" x14ac:dyDescent="0.25">
      <c r="B9579">
        <f t="shared" ca="1" si="449"/>
        <v>39837.801726737998</v>
      </c>
      <c r="C9579">
        <f t="shared" ca="1" si="447"/>
        <v>162.19827326200175</v>
      </c>
      <c r="D9579">
        <f t="shared" ca="1" si="448"/>
        <v>0</v>
      </c>
    </row>
    <row r="9580" spans="2:4" x14ac:dyDescent="0.25">
      <c r="B9580">
        <f t="shared" ca="1" si="449"/>
        <v>43728.549260992579</v>
      </c>
      <c r="C9580">
        <f t="shared" ca="1" si="447"/>
        <v>0</v>
      </c>
      <c r="D9580">
        <f t="shared" ca="1" si="448"/>
        <v>3728.5492609925786</v>
      </c>
    </row>
    <row r="9581" spans="2:4" x14ac:dyDescent="0.25">
      <c r="B9581">
        <f t="shared" ca="1" si="449"/>
        <v>46709.976932368249</v>
      </c>
      <c r="C9581">
        <f t="shared" ca="1" si="447"/>
        <v>0</v>
      </c>
      <c r="D9581">
        <f t="shared" ca="1" si="448"/>
        <v>6709.9769323682485</v>
      </c>
    </row>
    <row r="9582" spans="2:4" x14ac:dyDescent="0.25">
      <c r="B9582">
        <f t="shared" ca="1" si="449"/>
        <v>43540.458385767219</v>
      </c>
      <c r="C9582">
        <f t="shared" ca="1" si="447"/>
        <v>0</v>
      </c>
      <c r="D9582">
        <f t="shared" ca="1" si="448"/>
        <v>3540.4583857672187</v>
      </c>
    </row>
    <row r="9583" spans="2:4" x14ac:dyDescent="0.25">
      <c r="B9583">
        <f t="shared" ca="1" si="449"/>
        <v>40827.879553025537</v>
      </c>
      <c r="C9583">
        <f t="shared" ca="1" si="447"/>
        <v>0</v>
      </c>
      <c r="D9583">
        <f t="shared" ca="1" si="448"/>
        <v>827.87955302553746</v>
      </c>
    </row>
    <row r="9584" spans="2:4" x14ac:dyDescent="0.25">
      <c r="B9584">
        <f t="shared" ca="1" si="449"/>
        <v>51786.85782249648</v>
      </c>
      <c r="C9584">
        <f t="shared" ca="1" si="447"/>
        <v>0</v>
      </c>
      <c r="D9584">
        <f t="shared" ca="1" si="448"/>
        <v>11786.85782249648</v>
      </c>
    </row>
    <row r="9585" spans="2:4" x14ac:dyDescent="0.25">
      <c r="B9585">
        <f t="shared" ca="1" si="449"/>
        <v>46909.836979362233</v>
      </c>
      <c r="C9585">
        <f t="shared" ca="1" si="447"/>
        <v>0</v>
      </c>
      <c r="D9585">
        <f t="shared" ca="1" si="448"/>
        <v>6909.8369793622333</v>
      </c>
    </row>
    <row r="9586" spans="2:4" x14ac:dyDescent="0.25">
      <c r="B9586">
        <f t="shared" ca="1" si="449"/>
        <v>44494.739836652523</v>
      </c>
      <c r="C9586">
        <f t="shared" ca="1" si="447"/>
        <v>0</v>
      </c>
      <c r="D9586">
        <f t="shared" ca="1" si="448"/>
        <v>4494.7398366525231</v>
      </c>
    </row>
    <row r="9587" spans="2:4" x14ac:dyDescent="0.25">
      <c r="B9587">
        <f t="shared" ca="1" si="449"/>
        <v>38813.778275270357</v>
      </c>
      <c r="C9587">
        <f t="shared" ca="1" si="447"/>
        <v>1186.221724729643</v>
      </c>
      <c r="D9587">
        <f t="shared" ca="1" si="448"/>
        <v>0</v>
      </c>
    </row>
    <row r="9588" spans="2:4" x14ac:dyDescent="0.25">
      <c r="B9588">
        <f t="shared" ca="1" si="449"/>
        <v>42324.558052109707</v>
      </c>
      <c r="C9588">
        <f t="shared" ca="1" si="447"/>
        <v>0</v>
      </c>
      <c r="D9588">
        <f t="shared" ca="1" si="448"/>
        <v>2324.5580521097072</v>
      </c>
    </row>
    <row r="9589" spans="2:4" x14ac:dyDescent="0.25">
      <c r="B9589">
        <f t="shared" ca="1" si="449"/>
        <v>43136.741131226976</v>
      </c>
      <c r="C9589">
        <f t="shared" ca="1" si="447"/>
        <v>0</v>
      </c>
      <c r="D9589">
        <f t="shared" ca="1" si="448"/>
        <v>3136.741131226976</v>
      </c>
    </row>
    <row r="9590" spans="2:4" x14ac:dyDescent="0.25">
      <c r="B9590">
        <f t="shared" ca="1" si="449"/>
        <v>42642.255266195891</v>
      </c>
      <c r="C9590">
        <f t="shared" ca="1" si="447"/>
        <v>0</v>
      </c>
      <c r="D9590">
        <f t="shared" ca="1" si="448"/>
        <v>2642.2552661958907</v>
      </c>
    </row>
    <row r="9591" spans="2:4" x14ac:dyDescent="0.25">
      <c r="B9591">
        <f t="shared" ca="1" si="449"/>
        <v>54715.605098435612</v>
      </c>
      <c r="C9591">
        <f t="shared" ca="1" si="447"/>
        <v>0</v>
      </c>
      <c r="D9591">
        <f t="shared" ca="1" si="448"/>
        <v>14715.605098435612</v>
      </c>
    </row>
    <row r="9592" spans="2:4" x14ac:dyDescent="0.25">
      <c r="B9592">
        <f t="shared" ca="1" si="449"/>
        <v>47058.234399434041</v>
      </c>
      <c r="C9592">
        <f t="shared" ca="1" si="447"/>
        <v>0</v>
      </c>
      <c r="D9592">
        <f t="shared" ca="1" si="448"/>
        <v>7058.2343994340408</v>
      </c>
    </row>
    <row r="9593" spans="2:4" x14ac:dyDescent="0.25">
      <c r="B9593">
        <f t="shared" ca="1" si="449"/>
        <v>49582.95483975322</v>
      </c>
      <c r="C9593">
        <f t="shared" ca="1" si="447"/>
        <v>0</v>
      </c>
      <c r="D9593">
        <f t="shared" ca="1" si="448"/>
        <v>9582.9548397532199</v>
      </c>
    </row>
    <row r="9594" spans="2:4" x14ac:dyDescent="0.25">
      <c r="B9594">
        <f t="shared" ca="1" si="449"/>
        <v>37624.1623083331</v>
      </c>
      <c r="C9594">
        <f t="shared" ca="1" si="447"/>
        <v>2375.8376916669004</v>
      </c>
      <c r="D9594">
        <f t="shared" ca="1" si="448"/>
        <v>0</v>
      </c>
    </row>
    <row r="9595" spans="2:4" x14ac:dyDescent="0.25">
      <c r="B9595">
        <f t="shared" ca="1" si="449"/>
        <v>45549.806230920418</v>
      </c>
      <c r="C9595">
        <f t="shared" ca="1" si="447"/>
        <v>0</v>
      </c>
      <c r="D9595">
        <f t="shared" ca="1" si="448"/>
        <v>5549.8062309204179</v>
      </c>
    </row>
    <row r="9596" spans="2:4" x14ac:dyDescent="0.25">
      <c r="B9596">
        <f t="shared" ca="1" si="449"/>
        <v>48675.806300553726</v>
      </c>
      <c r="C9596">
        <f t="shared" ca="1" si="447"/>
        <v>0</v>
      </c>
      <c r="D9596">
        <f t="shared" ca="1" si="448"/>
        <v>8675.806300553726</v>
      </c>
    </row>
    <row r="9597" spans="2:4" x14ac:dyDescent="0.25">
      <c r="B9597">
        <f t="shared" ca="1" si="449"/>
        <v>45122.908674250873</v>
      </c>
      <c r="C9597">
        <f t="shared" ca="1" si="447"/>
        <v>0</v>
      </c>
      <c r="D9597">
        <f t="shared" ca="1" si="448"/>
        <v>5122.9086742508734</v>
      </c>
    </row>
    <row r="9598" spans="2:4" x14ac:dyDescent="0.25">
      <c r="B9598">
        <f t="shared" ca="1" si="449"/>
        <v>45277.811729096145</v>
      </c>
      <c r="C9598">
        <f t="shared" ca="1" si="447"/>
        <v>0</v>
      </c>
      <c r="D9598">
        <f t="shared" ca="1" si="448"/>
        <v>5277.8117290961454</v>
      </c>
    </row>
    <row r="9599" spans="2:4" x14ac:dyDescent="0.25">
      <c r="B9599">
        <f t="shared" ca="1" si="449"/>
        <v>50612.519678680525</v>
      </c>
      <c r="C9599">
        <f t="shared" ca="1" si="447"/>
        <v>0</v>
      </c>
      <c r="D9599">
        <f t="shared" ca="1" si="448"/>
        <v>10612.519678680525</v>
      </c>
    </row>
    <row r="9600" spans="2:4" x14ac:dyDescent="0.25">
      <c r="B9600">
        <f t="shared" ca="1" si="449"/>
        <v>44280.424716654292</v>
      </c>
      <c r="C9600">
        <f t="shared" ca="1" si="447"/>
        <v>0</v>
      </c>
      <c r="D9600">
        <f t="shared" ca="1" si="448"/>
        <v>4280.4247166542918</v>
      </c>
    </row>
    <row r="9601" spans="2:4" x14ac:dyDescent="0.25">
      <c r="B9601">
        <f t="shared" ca="1" si="449"/>
        <v>56593.154368396565</v>
      </c>
      <c r="C9601">
        <f t="shared" ca="1" si="447"/>
        <v>0</v>
      </c>
      <c r="D9601">
        <f t="shared" ca="1" si="448"/>
        <v>16593.154368396565</v>
      </c>
    </row>
    <row r="9602" spans="2:4" x14ac:dyDescent="0.25">
      <c r="B9602">
        <f t="shared" ca="1" si="449"/>
        <v>45448.95355887997</v>
      </c>
      <c r="C9602">
        <f t="shared" ca="1" si="447"/>
        <v>0</v>
      </c>
      <c r="D9602">
        <f t="shared" ca="1" si="448"/>
        <v>5448.9535588799699</v>
      </c>
    </row>
    <row r="9603" spans="2:4" x14ac:dyDescent="0.25">
      <c r="B9603">
        <f t="shared" ca="1" si="449"/>
        <v>49710.446507978981</v>
      </c>
      <c r="C9603">
        <f t="shared" ca="1" si="447"/>
        <v>0</v>
      </c>
      <c r="D9603">
        <f t="shared" ca="1" si="448"/>
        <v>9710.4465079789807</v>
      </c>
    </row>
    <row r="9604" spans="2:4" x14ac:dyDescent="0.25">
      <c r="B9604">
        <f t="shared" ca="1" si="449"/>
        <v>41407.198044050027</v>
      </c>
      <c r="C9604">
        <f t="shared" ca="1" si="447"/>
        <v>0</v>
      </c>
      <c r="D9604">
        <f t="shared" ca="1" si="448"/>
        <v>1407.1980440500265</v>
      </c>
    </row>
    <row r="9605" spans="2:4" x14ac:dyDescent="0.25">
      <c r="B9605">
        <f t="shared" ca="1" si="449"/>
        <v>63433.454737341206</v>
      </c>
      <c r="C9605">
        <f t="shared" ca="1" si="447"/>
        <v>0</v>
      </c>
      <c r="D9605">
        <f t="shared" ca="1" si="448"/>
        <v>23433.454737341206</v>
      </c>
    </row>
    <row r="9606" spans="2:4" x14ac:dyDescent="0.25">
      <c r="B9606">
        <f t="shared" ca="1" si="449"/>
        <v>41741.448608996412</v>
      </c>
      <c r="C9606">
        <f t="shared" ca="1" si="447"/>
        <v>0</v>
      </c>
      <c r="D9606">
        <f t="shared" ca="1" si="448"/>
        <v>1741.4486089964121</v>
      </c>
    </row>
    <row r="9607" spans="2:4" x14ac:dyDescent="0.25">
      <c r="B9607">
        <f t="shared" ca="1" si="449"/>
        <v>40933.306970046608</v>
      </c>
      <c r="C9607">
        <f t="shared" ca="1" si="447"/>
        <v>0</v>
      </c>
      <c r="D9607">
        <f t="shared" ca="1" si="448"/>
        <v>933.3069700466076</v>
      </c>
    </row>
    <row r="9608" spans="2:4" x14ac:dyDescent="0.25">
      <c r="B9608">
        <f t="shared" ca="1" si="449"/>
        <v>46069.73286355137</v>
      </c>
      <c r="C9608">
        <f t="shared" ca="1" si="447"/>
        <v>0</v>
      </c>
      <c r="D9608">
        <f t="shared" ca="1" si="448"/>
        <v>6069.7328635513695</v>
      </c>
    </row>
    <row r="9609" spans="2:4" x14ac:dyDescent="0.25">
      <c r="B9609">
        <f t="shared" ca="1" si="449"/>
        <v>47851.94383286497</v>
      </c>
      <c r="C9609">
        <f t="shared" ca="1" si="447"/>
        <v>0</v>
      </c>
      <c r="D9609">
        <f t="shared" ca="1" si="448"/>
        <v>7851.9438328649703</v>
      </c>
    </row>
    <row r="9610" spans="2:4" x14ac:dyDescent="0.25">
      <c r="B9610">
        <f t="shared" ca="1" si="449"/>
        <v>46160.268638148991</v>
      </c>
      <c r="C9610">
        <f t="shared" ca="1" si="447"/>
        <v>0</v>
      </c>
      <c r="D9610">
        <f t="shared" ca="1" si="448"/>
        <v>6160.2686381489912</v>
      </c>
    </row>
    <row r="9611" spans="2:4" x14ac:dyDescent="0.25">
      <c r="B9611">
        <f t="shared" ca="1" si="449"/>
        <v>50294.113842202925</v>
      </c>
      <c r="C9611">
        <f t="shared" ca="1" si="447"/>
        <v>0</v>
      </c>
      <c r="D9611">
        <f t="shared" ca="1" si="448"/>
        <v>10294.113842202925</v>
      </c>
    </row>
    <row r="9612" spans="2:4" x14ac:dyDescent="0.25">
      <c r="B9612">
        <f t="shared" ca="1" si="449"/>
        <v>40497.720988217377</v>
      </c>
      <c r="C9612">
        <f t="shared" ref="C9612:C9675" ca="1" si="450">IF(MAX($B$2-B9612)&lt;0,0,$B$2-B9612)</f>
        <v>0</v>
      </c>
      <c r="D9612">
        <f t="shared" ref="D9612:D9675" ca="1" si="451">IF(MAX(B9612-$B$2)&lt;0,0,B9612-$B$2)</f>
        <v>497.72098821737745</v>
      </c>
    </row>
    <row r="9613" spans="2:4" x14ac:dyDescent="0.25">
      <c r="B9613">
        <f t="shared" ref="B9613:B9676" ca="1" si="452">$B$1*EXP((($B$4-($B$3^2)/2)*$B$5+$B$3*SQRT($B$5)*NORMSINV(RAND())))</f>
        <v>54266.118247728591</v>
      </c>
      <c r="C9613">
        <f t="shared" ca="1" si="450"/>
        <v>0</v>
      </c>
      <c r="D9613">
        <f t="shared" ca="1" si="451"/>
        <v>14266.118247728591</v>
      </c>
    </row>
    <row r="9614" spans="2:4" x14ac:dyDescent="0.25">
      <c r="B9614">
        <f t="shared" ca="1" si="452"/>
        <v>43326.615415083135</v>
      </c>
      <c r="C9614">
        <f t="shared" ca="1" si="450"/>
        <v>0</v>
      </c>
      <c r="D9614">
        <f t="shared" ca="1" si="451"/>
        <v>3326.6154150831353</v>
      </c>
    </row>
    <row r="9615" spans="2:4" x14ac:dyDescent="0.25">
      <c r="B9615">
        <f t="shared" ca="1" si="452"/>
        <v>42874.78197672122</v>
      </c>
      <c r="C9615">
        <f t="shared" ca="1" si="450"/>
        <v>0</v>
      </c>
      <c r="D9615">
        <f t="shared" ca="1" si="451"/>
        <v>2874.7819767212204</v>
      </c>
    </row>
    <row r="9616" spans="2:4" x14ac:dyDescent="0.25">
      <c r="B9616">
        <f t="shared" ca="1" si="452"/>
        <v>46018.543900259931</v>
      </c>
      <c r="C9616">
        <f t="shared" ca="1" si="450"/>
        <v>0</v>
      </c>
      <c r="D9616">
        <f t="shared" ca="1" si="451"/>
        <v>6018.5439002599305</v>
      </c>
    </row>
    <row r="9617" spans="2:4" x14ac:dyDescent="0.25">
      <c r="B9617">
        <f t="shared" ca="1" si="452"/>
        <v>41746.026385240417</v>
      </c>
      <c r="C9617">
        <f t="shared" ca="1" si="450"/>
        <v>0</v>
      </c>
      <c r="D9617">
        <f t="shared" ca="1" si="451"/>
        <v>1746.0263852404169</v>
      </c>
    </row>
    <row r="9618" spans="2:4" x14ac:dyDescent="0.25">
      <c r="B9618">
        <f t="shared" ca="1" si="452"/>
        <v>48245.600217352847</v>
      </c>
      <c r="C9618">
        <f t="shared" ca="1" si="450"/>
        <v>0</v>
      </c>
      <c r="D9618">
        <f t="shared" ca="1" si="451"/>
        <v>8245.6002173528468</v>
      </c>
    </row>
    <row r="9619" spans="2:4" x14ac:dyDescent="0.25">
      <c r="B9619">
        <f t="shared" ca="1" si="452"/>
        <v>45860.110383310421</v>
      </c>
      <c r="C9619">
        <f t="shared" ca="1" si="450"/>
        <v>0</v>
      </c>
      <c r="D9619">
        <f t="shared" ca="1" si="451"/>
        <v>5860.1103833104207</v>
      </c>
    </row>
    <row r="9620" spans="2:4" x14ac:dyDescent="0.25">
      <c r="B9620">
        <f t="shared" ca="1" si="452"/>
        <v>49422.564088756139</v>
      </c>
      <c r="C9620">
        <f t="shared" ca="1" si="450"/>
        <v>0</v>
      </c>
      <c r="D9620">
        <f t="shared" ca="1" si="451"/>
        <v>9422.5640887561385</v>
      </c>
    </row>
    <row r="9621" spans="2:4" x14ac:dyDescent="0.25">
      <c r="B9621">
        <f t="shared" ca="1" si="452"/>
        <v>40629.905604554144</v>
      </c>
      <c r="C9621">
        <f t="shared" ca="1" si="450"/>
        <v>0</v>
      </c>
      <c r="D9621">
        <f t="shared" ca="1" si="451"/>
        <v>629.90560455414379</v>
      </c>
    </row>
    <row r="9622" spans="2:4" x14ac:dyDescent="0.25">
      <c r="B9622">
        <f t="shared" ca="1" si="452"/>
        <v>40193.624746289352</v>
      </c>
      <c r="C9622">
        <f t="shared" ca="1" si="450"/>
        <v>0</v>
      </c>
      <c r="D9622">
        <f t="shared" ca="1" si="451"/>
        <v>193.62474628935161</v>
      </c>
    </row>
    <row r="9623" spans="2:4" x14ac:dyDescent="0.25">
      <c r="B9623">
        <f t="shared" ca="1" si="452"/>
        <v>42054.733161599477</v>
      </c>
      <c r="C9623">
        <f t="shared" ca="1" si="450"/>
        <v>0</v>
      </c>
      <c r="D9623">
        <f t="shared" ca="1" si="451"/>
        <v>2054.7331615994772</v>
      </c>
    </row>
    <row r="9624" spans="2:4" x14ac:dyDescent="0.25">
      <c r="B9624">
        <f t="shared" ca="1" si="452"/>
        <v>44387.25934169774</v>
      </c>
      <c r="C9624">
        <f t="shared" ca="1" si="450"/>
        <v>0</v>
      </c>
      <c r="D9624">
        <f t="shared" ca="1" si="451"/>
        <v>4387.2593416977397</v>
      </c>
    </row>
    <row r="9625" spans="2:4" x14ac:dyDescent="0.25">
      <c r="B9625">
        <f t="shared" ca="1" si="452"/>
        <v>47795.528867496898</v>
      </c>
      <c r="C9625">
        <f t="shared" ca="1" si="450"/>
        <v>0</v>
      </c>
      <c r="D9625">
        <f t="shared" ca="1" si="451"/>
        <v>7795.5288674968979</v>
      </c>
    </row>
    <row r="9626" spans="2:4" x14ac:dyDescent="0.25">
      <c r="B9626">
        <f t="shared" ca="1" si="452"/>
        <v>47649.588538574397</v>
      </c>
      <c r="C9626">
        <f t="shared" ca="1" si="450"/>
        <v>0</v>
      </c>
      <c r="D9626">
        <f t="shared" ca="1" si="451"/>
        <v>7649.5885385743968</v>
      </c>
    </row>
    <row r="9627" spans="2:4" x14ac:dyDescent="0.25">
      <c r="B9627">
        <f t="shared" ca="1" si="452"/>
        <v>48103.679358520334</v>
      </c>
      <c r="C9627">
        <f t="shared" ca="1" si="450"/>
        <v>0</v>
      </c>
      <c r="D9627">
        <f t="shared" ca="1" si="451"/>
        <v>8103.6793585203341</v>
      </c>
    </row>
    <row r="9628" spans="2:4" x14ac:dyDescent="0.25">
      <c r="B9628">
        <f t="shared" ca="1" si="452"/>
        <v>44322.558485118308</v>
      </c>
      <c r="C9628">
        <f t="shared" ca="1" si="450"/>
        <v>0</v>
      </c>
      <c r="D9628">
        <f t="shared" ca="1" si="451"/>
        <v>4322.5584851183085</v>
      </c>
    </row>
    <row r="9629" spans="2:4" x14ac:dyDescent="0.25">
      <c r="B9629">
        <f t="shared" ca="1" si="452"/>
        <v>53955.876374369254</v>
      </c>
      <c r="C9629">
        <f t="shared" ca="1" si="450"/>
        <v>0</v>
      </c>
      <c r="D9629">
        <f t="shared" ca="1" si="451"/>
        <v>13955.876374369254</v>
      </c>
    </row>
    <row r="9630" spans="2:4" x14ac:dyDescent="0.25">
      <c r="B9630">
        <f t="shared" ca="1" si="452"/>
        <v>39882.484857917087</v>
      </c>
      <c r="C9630">
        <f t="shared" ca="1" si="450"/>
        <v>117.51514208291337</v>
      </c>
      <c r="D9630">
        <f t="shared" ca="1" si="451"/>
        <v>0</v>
      </c>
    </row>
    <row r="9631" spans="2:4" x14ac:dyDescent="0.25">
      <c r="B9631">
        <f t="shared" ca="1" si="452"/>
        <v>45851.928043754175</v>
      </c>
      <c r="C9631">
        <f t="shared" ca="1" si="450"/>
        <v>0</v>
      </c>
      <c r="D9631">
        <f t="shared" ca="1" si="451"/>
        <v>5851.9280437541747</v>
      </c>
    </row>
    <row r="9632" spans="2:4" x14ac:dyDescent="0.25">
      <c r="B9632">
        <f t="shared" ca="1" si="452"/>
        <v>40922.169072489436</v>
      </c>
      <c r="C9632">
        <f t="shared" ca="1" si="450"/>
        <v>0</v>
      </c>
      <c r="D9632">
        <f t="shared" ca="1" si="451"/>
        <v>922.16907248943608</v>
      </c>
    </row>
    <row r="9633" spans="2:4" x14ac:dyDescent="0.25">
      <c r="B9633">
        <f t="shared" ca="1" si="452"/>
        <v>43595.900714864547</v>
      </c>
      <c r="C9633">
        <f t="shared" ca="1" si="450"/>
        <v>0</v>
      </c>
      <c r="D9633">
        <f t="shared" ca="1" si="451"/>
        <v>3595.9007148645469</v>
      </c>
    </row>
    <row r="9634" spans="2:4" x14ac:dyDescent="0.25">
      <c r="B9634">
        <f t="shared" ca="1" si="452"/>
        <v>47858.655481201669</v>
      </c>
      <c r="C9634">
        <f t="shared" ca="1" si="450"/>
        <v>0</v>
      </c>
      <c r="D9634">
        <f t="shared" ca="1" si="451"/>
        <v>7858.6554812016693</v>
      </c>
    </row>
    <row r="9635" spans="2:4" x14ac:dyDescent="0.25">
      <c r="B9635">
        <f t="shared" ca="1" si="452"/>
        <v>46462.952342174904</v>
      </c>
      <c r="C9635">
        <f t="shared" ca="1" si="450"/>
        <v>0</v>
      </c>
      <c r="D9635">
        <f t="shared" ca="1" si="451"/>
        <v>6462.9523421749036</v>
      </c>
    </row>
    <row r="9636" spans="2:4" x14ac:dyDescent="0.25">
      <c r="B9636">
        <f t="shared" ca="1" si="452"/>
        <v>45167.292273604224</v>
      </c>
      <c r="C9636">
        <f t="shared" ca="1" si="450"/>
        <v>0</v>
      </c>
      <c r="D9636">
        <f t="shared" ca="1" si="451"/>
        <v>5167.2922736042237</v>
      </c>
    </row>
    <row r="9637" spans="2:4" x14ac:dyDescent="0.25">
      <c r="B9637">
        <f t="shared" ca="1" si="452"/>
        <v>48827.847366903778</v>
      </c>
      <c r="C9637">
        <f t="shared" ca="1" si="450"/>
        <v>0</v>
      </c>
      <c r="D9637">
        <f t="shared" ca="1" si="451"/>
        <v>8827.8473669037776</v>
      </c>
    </row>
    <row r="9638" spans="2:4" x14ac:dyDescent="0.25">
      <c r="B9638">
        <f t="shared" ca="1" si="452"/>
        <v>48889.530237020961</v>
      </c>
      <c r="C9638">
        <f t="shared" ca="1" si="450"/>
        <v>0</v>
      </c>
      <c r="D9638">
        <f t="shared" ca="1" si="451"/>
        <v>8889.5302370209611</v>
      </c>
    </row>
    <row r="9639" spans="2:4" x14ac:dyDescent="0.25">
      <c r="B9639">
        <f t="shared" ca="1" si="452"/>
        <v>42699.690201976358</v>
      </c>
      <c r="C9639">
        <f t="shared" ca="1" si="450"/>
        <v>0</v>
      </c>
      <c r="D9639">
        <f t="shared" ca="1" si="451"/>
        <v>2699.6902019763584</v>
      </c>
    </row>
    <row r="9640" spans="2:4" x14ac:dyDescent="0.25">
      <c r="B9640">
        <f t="shared" ca="1" si="452"/>
        <v>43287.09597398535</v>
      </c>
      <c r="C9640">
        <f t="shared" ca="1" si="450"/>
        <v>0</v>
      </c>
      <c r="D9640">
        <f t="shared" ca="1" si="451"/>
        <v>3287.0959739853497</v>
      </c>
    </row>
    <row r="9641" spans="2:4" x14ac:dyDescent="0.25">
      <c r="B9641">
        <f t="shared" ca="1" si="452"/>
        <v>49419.307620607251</v>
      </c>
      <c r="C9641">
        <f t="shared" ca="1" si="450"/>
        <v>0</v>
      </c>
      <c r="D9641">
        <f t="shared" ca="1" si="451"/>
        <v>9419.307620607251</v>
      </c>
    </row>
    <row r="9642" spans="2:4" x14ac:dyDescent="0.25">
      <c r="B9642">
        <f t="shared" ca="1" si="452"/>
        <v>51095.35000064686</v>
      </c>
      <c r="C9642">
        <f t="shared" ca="1" si="450"/>
        <v>0</v>
      </c>
      <c r="D9642">
        <f t="shared" ca="1" si="451"/>
        <v>11095.35000064686</v>
      </c>
    </row>
    <row r="9643" spans="2:4" x14ac:dyDescent="0.25">
      <c r="B9643">
        <f t="shared" ca="1" si="452"/>
        <v>46958.84354031906</v>
      </c>
      <c r="C9643">
        <f t="shared" ca="1" si="450"/>
        <v>0</v>
      </c>
      <c r="D9643">
        <f t="shared" ca="1" si="451"/>
        <v>6958.8435403190597</v>
      </c>
    </row>
    <row r="9644" spans="2:4" x14ac:dyDescent="0.25">
      <c r="B9644">
        <f t="shared" ca="1" si="452"/>
        <v>42485.597165794774</v>
      </c>
      <c r="C9644">
        <f t="shared" ca="1" si="450"/>
        <v>0</v>
      </c>
      <c r="D9644">
        <f t="shared" ca="1" si="451"/>
        <v>2485.5971657947739</v>
      </c>
    </row>
    <row r="9645" spans="2:4" x14ac:dyDescent="0.25">
      <c r="B9645">
        <f t="shared" ca="1" si="452"/>
        <v>52340.755971732033</v>
      </c>
      <c r="C9645">
        <f t="shared" ca="1" si="450"/>
        <v>0</v>
      </c>
      <c r="D9645">
        <f t="shared" ca="1" si="451"/>
        <v>12340.755971732033</v>
      </c>
    </row>
    <row r="9646" spans="2:4" x14ac:dyDescent="0.25">
      <c r="B9646">
        <f t="shared" ca="1" si="452"/>
        <v>43865.74377951584</v>
      </c>
      <c r="C9646">
        <f t="shared" ca="1" si="450"/>
        <v>0</v>
      </c>
      <c r="D9646">
        <f t="shared" ca="1" si="451"/>
        <v>3865.7437795158403</v>
      </c>
    </row>
    <row r="9647" spans="2:4" x14ac:dyDescent="0.25">
      <c r="B9647">
        <f t="shared" ca="1" si="452"/>
        <v>45122.687231196724</v>
      </c>
      <c r="C9647">
        <f t="shared" ca="1" si="450"/>
        <v>0</v>
      </c>
      <c r="D9647">
        <f t="shared" ca="1" si="451"/>
        <v>5122.6872311967236</v>
      </c>
    </row>
    <row r="9648" spans="2:4" x14ac:dyDescent="0.25">
      <c r="B9648">
        <f t="shared" ca="1" si="452"/>
        <v>40678.304081740622</v>
      </c>
      <c r="C9648">
        <f t="shared" ca="1" si="450"/>
        <v>0</v>
      </c>
      <c r="D9648">
        <f t="shared" ca="1" si="451"/>
        <v>678.30408174062177</v>
      </c>
    </row>
    <row r="9649" spans="2:4" x14ac:dyDescent="0.25">
      <c r="B9649">
        <f t="shared" ca="1" si="452"/>
        <v>46566.507063064688</v>
      </c>
      <c r="C9649">
        <f t="shared" ca="1" si="450"/>
        <v>0</v>
      </c>
      <c r="D9649">
        <f t="shared" ca="1" si="451"/>
        <v>6566.5070630646878</v>
      </c>
    </row>
    <row r="9650" spans="2:4" x14ac:dyDescent="0.25">
      <c r="B9650">
        <f t="shared" ca="1" si="452"/>
        <v>46245.582667423143</v>
      </c>
      <c r="C9650">
        <f t="shared" ca="1" si="450"/>
        <v>0</v>
      </c>
      <c r="D9650">
        <f t="shared" ca="1" si="451"/>
        <v>6245.582667423143</v>
      </c>
    </row>
    <row r="9651" spans="2:4" x14ac:dyDescent="0.25">
      <c r="B9651">
        <f t="shared" ca="1" si="452"/>
        <v>54669.330094153949</v>
      </c>
      <c r="C9651">
        <f t="shared" ca="1" si="450"/>
        <v>0</v>
      </c>
      <c r="D9651">
        <f t="shared" ca="1" si="451"/>
        <v>14669.330094153949</v>
      </c>
    </row>
    <row r="9652" spans="2:4" x14ac:dyDescent="0.25">
      <c r="B9652">
        <f t="shared" ca="1" si="452"/>
        <v>44193.029816007358</v>
      </c>
      <c r="C9652">
        <f t="shared" ca="1" si="450"/>
        <v>0</v>
      </c>
      <c r="D9652">
        <f t="shared" ca="1" si="451"/>
        <v>4193.029816007358</v>
      </c>
    </row>
    <row r="9653" spans="2:4" x14ac:dyDescent="0.25">
      <c r="B9653">
        <f t="shared" ca="1" si="452"/>
        <v>43002.910926912424</v>
      </c>
      <c r="C9653">
        <f t="shared" ca="1" si="450"/>
        <v>0</v>
      </c>
      <c r="D9653">
        <f t="shared" ca="1" si="451"/>
        <v>3002.9109269124237</v>
      </c>
    </row>
    <row r="9654" spans="2:4" x14ac:dyDescent="0.25">
      <c r="B9654">
        <f t="shared" ca="1" si="452"/>
        <v>45473.446566854487</v>
      </c>
      <c r="C9654">
        <f t="shared" ca="1" si="450"/>
        <v>0</v>
      </c>
      <c r="D9654">
        <f t="shared" ca="1" si="451"/>
        <v>5473.4465668544872</v>
      </c>
    </row>
    <row r="9655" spans="2:4" x14ac:dyDescent="0.25">
      <c r="B9655">
        <f t="shared" ca="1" si="452"/>
        <v>39846.490476665109</v>
      </c>
      <c r="C9655">
        <f t="shared" ca="1" si="450"/>
        <v>153.50952333489113</v>
      </c>
      <c r="D9655">
        <f t="shared" ca="1" si="451"/>
        <v>0</v>
      </c>
    </row>
    <row r="9656" spans="2:4" x14ac:dyDescent="0.25">
      <c r="B9656">
        <f t="shared" ca="1" si="452"/>
        <v>41609.127114002251</v>
      </c>
      <c r="C9656">
        <f t="shared" ca="1" si="450"/>
        <v>0</v>
      </c>
      <c r="D9656">
        <f t="shared" ca="1" si="451"/>
        <v>1609.1271140022509</v>
      </c>
    </row>
    <row r="9657" spans="2:4" x14ac:dyDescent="0.25">
      <c r="B9657">
        <f t="shared" ca="1" si="452"/>
        <v>41250.846057942334</v>
      </c>
      <c r="C9657">
        <f t="shared" ca="1" si="450"/>
        <v>0</v>
      </c>
      <c r="D9657">
        <f t="shared" ca="1" si="451"/>
        <v>1250.8460579423336</v>
      </c>
    </row>
    <row r="9658" spans="2:4" x14ac:dyDescent="0.25">
      <c r="B9658">
        <f t="shared" ca="1" si="452"/>
        <v>44586.770039187802</v>
      </c>
      <c r="C9658">
        <f t="shared" ca="1" si="450"/>
        <v>0</v>
      </c>
      <c r="D9658">
        <f t="shared" ca="1" si="451"/>
        <v>4586.7700391878025</v>
      </c>
    </row>
    <row r="9659" spans="2:4" x14ac:dyDescent="0.25">
      <c r="B9659">
        <f t="shared" ca="1" si="452"/>
        <v>46135.887068604017</v>
      </c>
      <c r="C9659">
        <f t="shared" ca="1" si="450"/>
        <v>0</v>
      </c>
      <c r="D9659">
        <f t="shared" ca="1" si="451"/>
        <v>6135.8870686040173</v>
      </c>
    </row>
    <row r="9660" spans="2:4" x14ac:dyDescent="0.25">
      <c r="B9660">
        <f t="shared" ca="1" si="452"/>
        <v>37131.575166285111</v>
      </c>
      <c r="C9660">
        <f t="shared" ca="1" si="450"/>
        <v>2868.4248337148892</v>
      </c>
      <c r="D9660">
        <f t="shared" ca="1" si="451"/>
        <v>0</v>
      </c>
    </row>
    <row r="9661" spans="2:4" x14ac:dyDescent="0.25">
      <c r="B9661">
        <f t="shared" ca="1" si="452"/>
        <v>50024.814019124839</v>
      </c>
      <c r="C9661">
        <f t="shared" ca="1" si="450"/>
        <v>0</v>
      </c>
      <c r="D9661">
        <f t="shared" ca="1" si="451"/>
        <v>10024.814019124839</v>
      </c>
    </row>
    <row r="9662" spans="2:4" x14ac:dyDescent="0.25">
      <c r="B9662">
        <f t="shared" ca="1" si="452"/>
        <v>43749.032273711331</v>
      </c>
      <c r="C9662">
        <f t="shared" ca="1" si="450"/>
        <v>0</v>
      </c>
      <c r="D9662">
        <f t="shared" ca="1" si="451"/>
        <v>3749.0322737113311</v>
      </c>
    </row>
    <row r="9663" spans="2:4" x14ac:dyDescent="0.25">
      <c r="B9663">
        <f t="shared" ca="1" si="452"/>
        <v>43257.707069118391</v>
      </c>
      <c r="C9663">
        <f t="shared" ca="1" si="450"/>
        <v>0</v>
      </c>
      <c r="D9663">
        <f t="shared" ca="1" si="451"/>
        <v>3257.7070691183908</v>
      </c>
    </row>
    <row r="9664" spans="2:4" x14ac:dyDescent="0.25">
      <c r="B9664">
        <f t="shared" ca="1" si="452"/>
        <v>42169.40442391851</v>
      </c>
      <c r="C9664">
        <f t="shared" ca="1" si="450"/>
        <v>0</v>
      </c>
      <c r="D9664">
        <f t="shared" ca="1" si="451"/>
        <v>2169.4044239185096</v>
      </c>
    </row>
    <row r="9665" spans="2:4" x14ac:dyDescent="0.25">
      <c r="B9665">
        <f t="shared" ca="1" si="452"/>
        <v>57347.99030481001</v>
      </c>
      <c r="C9665">
        <f t="shared" ca="1" si="450"/>
        <v>0</v>
      </c>
      <c r="D9665">
        <f t="shared" ca="1" si="451"/>
        <v>17347.99030481001</v>
      </c>
    </row>
    <row r="9666" spans="2:4" x14ac:dyDescent="0.25">
      <c r="B9666">
        <f t="shared" ca="1" si="452"/>
        <v>37594.398458630996</v>
      </c>
      <c r="C9666">
        <f t="shared" ca="1" si="450"/>
        <v>2405.6015413690038</v>
      </c>
      <c r="D9666">
        <f t="shared" ca="1" si="451"/>
        <v>0</v>
      </c>
    </row>
    <row r="9667" spans="2:4" x14ac:dyDescent="0.25">
      <c r="B9667">
        <f t="shared" ca="1" si="452"/>
        <v>44791.058188711315</v>
      </c>
      <c r="C9667">
        <f t="shared" ca="1" si="450"/>
        <v>0</v>
      </c>
      <c r="D9667">
        <f t="shared" ca="1" si="451"/>
        <v>4791.0581887113149</v>
      </c>
    </row>
    <row r="9668" spans="2:4" x14ac:dyDescent="0.25">
      <c r="B9668">
        <f t="shared" ca="1" si="452"/>
        <v>51950.968348681898</v>
      </c>
      <c r="C9668">
        <f t="shared" ca="1" si="450"/>
        <v>0</v>
      </c>
      <c r="D9668">
        <f t="shared" ca="1" si="451"/>
        <v>11950.968348681898</v>
      </c>
    </row>
    <row r="9669" spans="2:4" x14ac:dyDescent="0.25">
      <c r="B9669">
        <f t="shared" ca="1" si="452"/>
        <v>55658.076320011496</v>
      </c>
      <c r="C9669">
        <f t="shared" ca="1" si="450"/>
        <v>0</v>
      </c>
      <c r="D9669">
        <f t="shared" ca="1" si="451"/>
        <v>15658.076320011496</v>
      </c>
    </row>
    <row r="9670" spans="2:4" x14ac:dyDescent="0.25">
      <c r="B9670">
        <f t="shared" ca="1" si="452"/>
        <v>42542.945401572062</v>
      </c>
      <c r="C9670">
        <f t="shared" ca="1" si="450"/>
        <v>0</v>
      </c>
      <c r="D9670">
        <f t="shared" ca="1" si="451"/>
        <v>2542.9454015720621</v>
      </c>
    </row>
    <row r="9671" spans="2:4" x14ac:dyDescent="0.25">
      <c r="B9671">
        <f t="shared" ca="1" si="452"/>
        <v>39779.438742934202</v>
      </c>
      <c r="C9671">
        <f t="shared" ca="1" si="450"/>
        <v>220.56125706579769</v>
      </c>
      <c r="D9671">
        <f t="shared" ca="1" si="451"/>
        <v>0</v>
      </c>
    </row>
    <row r="9672" spans="2:4" x14ac:dyDescent="0.25">
      <c r="B9672">
        <f t="shared" ca="1" si="452"/>
        <v>38594.335298263235</v>
      </c>
      <c r="C9672">
        <f t="shared" ca="1" si="450"/>
        <v>1405.664701736765</v>
      </c>
      <c r="D9672">
        <f t="shared" ca="1" si="451"/>
        <v>0</v>
      </c>
    </row>
    <row r="9673" spans="2:4" x14ac:dyDescent="0.25">
      <c r="B9673">
        <f t="shared" ca="1" si="452"/>
        <v>33572.436110045172</v>
      </c>
      <c r="C9673">
        <f t="shared" ca="1" si="450"/>
        <v>6427.5638899548285</v>
      </c>
      <c r="D9673">
        <f t="shared" ca="1" si="451"/>
        <v>0</v>
      </c>
    </row>
    <row r="9674" spans="2:4" x14ac:dyDescent="0.25">
      <c r="B9674">
        <f t="shared" ca="1" si="452"/>
        <v>40365.738353977365</v>
      </c>
      <c r="C9674">
        <f t="shared" ca="1" si="450"/>
        <v>0</v>
      </c>
      <c r="D9674">
        <f t="shared" ca="1" si="451"/>
        <v>365.73835397736548</v>
      </c>
    </row>
    <row r="9675" spans="2:4" x14ac:dyDescent="0.25">
      <c r="B9675">
        <f t="shared" ca="1" si="452"/>
        <v>43362.74795241734</v>
      </c>
      <c r="C9675">
        <f t="shared" ca="1" si="450"/>
        <v>0</v>
      </c>
      <c r="D9675">
        <f t="shared" ca="1" si="451"/>
        <v>3362.7479524173395</v>
      </c>
    </row>
    <row r="9676" spans="2:4" x14ac:dyDescent="0.25">
      <c r="B9676">
        <f t="shared" ca="1" si="452"/>
        <v>45725.841088783396</v>
      </c>
      <c r="C9676">
        <f t="shared" ref="C9676:C9739" ca="1" si="453">IF(MAX($B$2-B9676)&lt;0,0,$B$2-B9676)</f>
        <v>0</v>
      </c>
      <c r="D9676">
        <f t="shared" ref="D9676:D9739" ca="1" si="454">IF(MAX(B9676-$B$2)&lt;0,0,B9676-$B$2)</f>
        <v>5725.8410887833961</v>
      </c>
    </row>
    <row r="9677" spans="2:4" x14ac:dyDescent="0.25">
      <c r="B9677">
        <f t="shared" ref="B9677:B9740" ca="1" si="455">$B$1*EXP((($B$4-($B$3^2)/2)*$B$5+$B$3*SQRT($B$5)*NORMSINV(RAND())))</f>
        <v>44986.487172176363</v>
      </c>
      <c r="C9677">
        <f t="shared" ca="1" si="453"/>
        <v>0</v>
      </c>
      <c r="D9677">
        <f t="shared" ca="1" si="454"/>
        <v>4986.4871721763629</v>
      </c>
    </row>
    <row r="9678" spans="2:4" x14ac:dyDescent="0.25">
      <c r="B9678">
        <f t="shared" ca="1" si="455"/>
        <v>48539.588862115408</v>
      </c>
      <c r="C9678">
        <f t="shared" ca="1" si="453"/>
        <v>0</v>
      </c>
      <c r="D9678">
        <f t="shared" ca="1" si="454"/>
        <v>8539.5888621154081</v>
      </c>
    </row>
    <row r="9679" spans="2:4" x14ac:dyDescent="0.25">
      <c r="B9679">
        <f t="shared" ca="1" si="455"/>
        <v>53717.816124169985</v>
      </c>
      <c r="C9679">
        <f t="shared" ca="1" si="453"/>
        <v>0</v>
      </c>
      <c r="D9679">
        <f t="shared" ca="1" si="454"/>
        <v>13717.816124169985</v>
      </c>
    </row>
    <row r="9680" spans="2:4" x14ac:dyDescent="0.25">
      <c r="B9680">
        <f t="shared" ca="1" si="455"/>
        <v>39748.878852384929</v>
      </c>
      <c r="C9680">
        <f t="shared" ca="1" si="453"/>
        <v>251.1211476150711</v>
      </c>
      <c r="D9680">
        <f t="shared" ca="1" si="454"/>
        <v>0</v>
      </c>
    </row>
    <row r="9681" spans="2:4" x14ac:dyDescent="0.25">
      <c r="B9681">
        <f t="shared" ca="1" si="455"/>
        <v>44120.447149566964</v>
      </c>
      <c r="C9681">
        <f t="shared" ca="1" si="453"/>
        <v>0</v>
      </c>
      <c r="D9681">
        <f t="shared" ca="1" si="454"/>
        <v>4120.4471495669641</v>
      </c>
    </row>
    <row r="9682" spans="2:4" x14ac:dyDescent="0.25">
      <c r="B9682">
        <f t="shared" ca="1" si="455"/>
        <v>48849.252810060418</v>
      </c>
      <c r="C9682">
        <f t="shared" ca="1" si="453"/>
        <v>0</v>
      </c>
      <c r="D9682">
        <f t="shared" ca="1" si="454"/>
        <v>8849.2528100604177</v>
      </c>
    </row>
    <row r="9683" spans="2:4" x14ac:dyDescent="0.25">
      <c r="B9683">
        <f t="shared" ca="1" si="455"/>
        <v>39530.748725634578</v>
      </c>
      <c r="C9683">
        <f t="shared" ca="1" si="453"/>
        <v>469.25127436542243</v>
      </c>
      <c r="D9683">
        <f t="shared" ca="1" si="454"/>
        <v>0</v>
      </c>
    </row>
    <row r="9684" spans="2:4" x14ac:dyDescent="0.25">
      <c r="B9684">
        <f t="shared" ca="1" si="455"/>
        <v>45124.988447695207</v>
      </c>
      <c r="C9684">
        <f t="shared" ca="1" si="453"/>
        <v>0</v>
      </c>
      <c r="D9684">
        <f t="shared" ca="1" si="454"/>
        <v>5124.9884476952066</v>
      </c>
    </row>
    <row r="9685" spans="2:4" x14ac:dyDescent="0.25">
      <c r="B9685">
        <f t="shared" ca="1" si="455"/>
        <v>48527.072690173314</v>
      </c>
      <c r="C9685">
        <f t="shared" ca="1" si="453"/>
        <v>0</v>
      </c>
      <c r="D9685">
        <f t="shared" ca="1" si="454"/>
        <v>8527.0726901733142</v>
      </c>
    </row>
    <row r="9686" spans="2:4" x14ac:dyDescent="0.25">
      <c r="B9686">
        <f t="shared" ca="1" si="455"/>
        <v>54204.288746915023</v>
      </c>
      <c r="C9686">
        <f t="shared" ca="1" si="453"/>
        <v>0</v>
      </c>
      <c r="D9686">
        <f t="shared" ca="1" si="454"/>
        <v>14204.288746915023</v>
      </c>
    </row>
    <row r="9687" spans="2:4" x14ac:dyDescent="0.25">
      <c r="B9687">
        <f t="shared" ca="1" si="455"/>
        <v>52593.222770131295</v>
      </c>
      <c r="C9687">
        <f t="shared" ca="1" si="453"/>
        <v>0</v>
      </c>
      <c r="D9687">
        <f t="shared" ca="1" si="454"/>
        <v>12593.222770131295</v>
      </c>
    </row>
    <row r="9688" spans="2:4" x14ac:dyDescent="0.25">
      <c r="B9688">
        <f t="shared" ca="1" si="455"/>
        <v>46472.997625655094</v>
      </c>
      <c r="C9688">
        <f t="shared" ca="1" si="453"/>
        <v>0</v>
      </c>
      <c r="D9688">
        <f t="shared" ca="1" si="454"/>
        <v>6472.9976256550945</v>
      </c>
    </row>
    <row r="9689" spans="2:4" x14ac:dyDescent="0.25">
      <c r="B9689">
        <f t="shared" ca="1" si="455"/>
        <v>38599.796592519655</v>
      </c>
      <c r="C9689">
        <f t="shared" ca="1" si="453"/>
        <v>1400.203407480345</v>
      </c>
      <c r="D9689">
        <f t="shared" ca="1" si="454"/>
        <v>0</v>
      </c>
    </row>
    <row r="9690" spans="2:4" x14ac:dyDescent="0.25">
      <c r="B9690">
        <f t="shared" ca="1" si="455"/>
        <v>59462.716845103612</v>
      </c>
      <c r="C9690">
        <f t="shared" ca="1" si="453"/>
        <v>0</v>
      </c>
      <c r="D9690">
        <f t="shared" ca="1" si="454"/>
        <v>19462.716845103612</v>
      </c>
    </row>
    <row r="9691" spans="2:4" x14ac:dyDescent="0.25">
      <c r="B9691">
        <f t="shared" ca="1" si="455"/>
        <v>43117.819558392912</v>
      </c>
      <c r="C9691">
        <f t="shared" ca="1" si="453"/>
        <v>0</v>
      </c>
      <c r="D9691">
        <f t="shared" ca="1" si="454"/>
        <v>3117.8195583929119</v>
      </c>
    </row>
    <row r="9692" spans="2:4" x14ac:dyDescent="0.25">
      <c r="B9692">
        <f t="shared" ca="1" si="455"/>
        <v>41429.165522382791</v>
      </c>
      <c r="C9692">
        <f t="shared" ca="1" si="453"/>
        <v>0</v>
      </c>
      <c r="D9692">
        <f t="shared" ca="1" si="454"/>
        <v>1429.1655223827911</v>
      </c>
    </row>
    <row r="9693" spans="2:4" x14ac:dyDescent="0.25">
      <c r="B9693">
        <f t="shared" ca="1" si="455"/>
        <v>43451.356307470531</v>
      </c>
      <c r="C9693">
        <f t="shared" ca="1" si="453"/>
        <v>0</v>
      </c>
      <c r="D9693">
        <f t="shared" ca="1" si="454"/>
        <v>3451.3563074705307</v>
      </c>
    </row>
    <row r="9694" spans="2:4" x14ac:dyDescent="0.25">
      <c r="B9694">
        <f t="shared" ca="1" si="455"/>
        <v>44509.413888461102</v>
      </c>
      <c r="C9694">
        <f t="shared" ca="1" si="453"/>
        <v>0</v>
      </c>
      <c r="D9694">
        <f t="shared" ca="1" si="454"/>
        <v>4509.413888461102</v>
      </c>
    </row>
    <row r="9695" spans="2:4" x14ac:dyDescent="0.25">
      <c r="B9695">
        <f t="shared" ca="1" si="455"/>
        <v>40366.103851836095</v>
      </c>
      <c r="C9695">
        <f t="shared" ca="1" si="453"/>
        <v>0</v>
      </c>
      <c r="D9695">
        <f t="shared" ca="1" si="454"/>
        <v>366.10385183609469</v>
      </c>
    </row>
    <row r="9696" spans="2:4" x14ac:dyDescent="0.25">
      <c r="B9696">
        <f t="shared" ca="1" si="455"/>
        <v>41753.550322693976</v>
      </c>
      <c r="C9696">
        <f t="shared" ca="1" si="453"/>
        <v>0</v>
      </c>
      <c r="D9696">
        <f t="shared" ca="1" si="454"/>
        <v>1753.5503226939763</v>
      </c>
    </row>
    <row r="9697" spans="2:4" x14ac:dyDescent="0.25">
      <c r="B9697">
        <f t="shared" ca="1" si="455"/>
        <v>42106.124267949708</v>
      </c>
      <c r="C9697">
        <f t="shared" ca="1" si="453"/>
        <v>0</v>
      </c>
      <c r="D9697">
        <f t="shared" ca="1" si="454"/>
        <v>2106.1242679497082</v>
      </c>
    </row>
    <row r="9698" spans="2:4" x14ac:dyDescent="0.25">
      <c r="B9698">
        <f t="shared" ca="1" si="455"/>
        <v>37826.921718092068</v>
      </c>
      <c r="C9698">
        <f t="shared" ca="1" si="453"/>
        <v>2173.0782819079323</v>
      </c>
      <c r="D9698">
        <f t="shared" ca="1" si="454"/>
        <v>0</v>
      </c>
    </row>
    <row r="9699" spans="2:4" x14ac:dyDescent="0.25">
      <c r="B9699">
        <f t="shared" ca="1" si="455"/>
        <v>43395.846630070431</v>
      </c>
      <c r="C9699">
        <f t="shared" ca="1" si="453"/>
        <v>0</v>
      </c>
      <c r="D9699">
        <f t="shared" ca="1" si="454"/>
        <v>3395.8466300704313</v>
      </c>
    </row>
    <row r="9700" spans="2:4" x14ac:dyDescent="0.25">
      <c r="B9700">
        <f t="shared" ca="1" si="455"/>
        <v>50365.012101182678</v>
      </c>
      <c r="C9700">
        <f t="shared" ca="1" si="453"/>
        <v>0</v>
      </c>
      <c r="D9700">
        <f t="shared" ca="1" si="454"/>
        <v>10365.012101182678</v>
      </c>
    </row>
    <row r="9701" spans="2:4" x14ac:dyDescent="0.25">
      <c r="B9701">
        <f t="shared" ca="1" si="455"/>
        <v>46510.339874513658</v>
      </c>
      <c r="C9701">
        <f t="shared" ca="1" si="453"/>
        <v>0</v>
      </c>
      <c r="D9701">
        <f t="shared" ca="1" si="454"/>
        <v>6510.3398745136583</v>
      </c>
    </row>
    <row r="9702" spans="2:4" x14ac:dyDescent="0.25">
      <c r="B9702">
        <f t="shared" ca="1" si="455"/>
        <v>52383.389830697823</v>
      </c>
      <c r="C9702">
        <f t="shared" ca="1" si="453"/>
        <v>0</v>
      </c>
      <c r="D9702">
        <f t="shared" ca="1" si="454"/>
        <v>12383.389830697823</v>
      </c>
    </row>
    <row r="9703" spans="2:4" x14ac:dyDescent="0.25">
      <c r="B9703">
        <f t="shared" ca="1" si="455"/>
        <v>44961.190909489611</v>
      </c>
      <c r="C9703">
        <f t="shared" ca="1" si="453"/>
        <v>0</v>
      </c>
      <c r="D9703">
        <f t="shared" ca="1" si="454"/>
        <v>4961.1909094896109</v>
      </c>
    </row>
    <row r="9704" spans="2:4" x14ac:dyDescent="0.25">
      <c r="B9704">
        <f t="shared" ca="1" si="455"/>
        <v>39843.663108270383</v>
      </c>
      <c r="C9704">
        <f t="shared" ca="1" si="453"/>
        <v>156.33689172961749</v>
      </c>
      <c r="D9704">
        <f t="shared" ca="1" si="454"/>
        <v>0</v>
      </c>
    </row>
    <row r="9705" spans="2:4" x14ac:dyDescent="0.25">
      <c r="B9705">
        <f t="shared" ca="1" si="455"/>
        <v>44128.840590470725</v>
      </c>
      <c r="C9705">
        <f t="shared" ca="1" si="453"/>
        <v>0</v>
      </c>
      <c r="D9705">
        <f t="shared" ca="1" si="454"/>
        <v>4128.8405904707251</v>
      </c>
    </row>
    <row r="9706" spans="2:4" x14ac:dyDescent="0.25">
      <c r="B9706">
        <f t="shared" ca="1" si="455"/>
        <v>45306.806802794992</v>
      </c>
      <c r="C9706">
        <f t="shared" ca="1" si="453"/>
        <v>0</v>
      </c>
      <c r="D9706">
        <f t="shared" ca="1" si="454"/>
        <v>5306.8068027949921</v>
      </c>
    </row>
    <row r="9707" spans="2:4" x14ac:dyDescent="0.25">
      <c r="B9707">
        <f t="shared" ca="1" si="455"/>
        <v>39282.286360228165</v>
      </c>
      <c r="C9707">
        <f t="shared" ca="1" si="453"/>
        <v>717.71363977183501</v>
      </c>
      <c r="D9707">
        <f t="shared" ca="1" si="454"/>
        <v>0</v>
      </c>
    </row>
    <row r="9708" spans="2:4" x14ac:dyDescent="0.25">
      <c r="B9708">
        <f t="shared" ca="1" si="455"/>
        <v>47224.349532439308</v>
      </c>
      <c r="C9708">
        <f t="shared" ca="1" si="453"/>
        <v>0</v>
      </c>
      <c r="D9708">
        <f t="shared" ca="1" si="454"/>
        <v>7224.3495324393079</v>
      </c>
    </row>
    <row r="9709" spans="2:4" x14ac:dyDescent="0.25">
      <c r="B9709">
        <f t="shared" ca="1" si="455"/>
        <v>45657.437307243927</v>
      </c>
      <c r="C9709">
        <f t="shared" ca="1" si="453"/>
        <v>0</v>
      </c>
      <c r="D9709">
        <f t="shared" ca="1" si="454"/>
        <v>5657.4373072439266</v>
      </c>
    </row>
    <row r="9710" spans="2:4" x14ac:dyDescent="0.25">
      <c r="B9710">
        <f t="shared" ca="1" si="455"/>
        <v>45391.542275355103</v>
      </c>
      <c r="C9710">
        <f t="shared" ca="1" si="453"/>
        <v>0</v>
      </c>
      <c r="D9710">
        <f t="shared" ca="1" si="454"/>
        <v>5391.5422753551029</v>
      </c>
    </row>
    <row r="9711" spans="2:4" x14ac:dyDescent="0.25">
      <c r="B9711">
        <f t="shared" ca="1" si="455"/>
        <v>40875.035909360384</v>
      </c>
      <c r="C9711">
        <f t="shared" ca="1" si="453"/>
        <v>0</v>
      </c>
      <c r="D9711">
        <f t="shared" ca="1" si="454"/>
        <v>875.03590936038381</v>
      </c>
    </row>
    <row r="9712" spans="2:4" x14ac:dyDescent="0.25">
      <c r="B9712">
        <f t="shared" ca="1" si="455"/>
        <v>51336.538892557721</v>
      </c>
      <c r="C9712">
        <f t="shared" ca="1" si="453"/>
        <v>0</v>
      </c>
      <c r="D9712">
        <f t="shared" ca="1" si="454"/>
        <v>11336.538892557721</v>
      </c>
    </row>
    <row r="9713" spans="2:4" x14ac:dyDescent="0.25">
      <c r="B9713">
        <f t="shared" ca="1" si="455"/>
        <v>52942.683183766392</v>
      </c>
      <c r="C9713">
        <f t="shared" ca="1" si="453"/>
        <v>0</v>
      </c>
      <c r="D9713">
        <f t="shared" ca="1" si="454"/>
        <v>12942.683183766392</v>
      </c>
    </row>
    <row r="9714" spans="2:4" x14ac:dyDescent="0.25">
      <c r="B9714">
        <f t="shared" ca="1" si="455"/>
        <v>47107.39267600036</v>
      </c>
      <c r="C9714">
        <f t="shared" ca="1" si="453"/>
        <v>0</v>
      </c>
      <c r="D9714">
        <f t="shared" ca="1" si="454"/>
        <v>7107.3926760003596</v>
      </c>
    </row>
    <row r="9715" spans="2:4" x14ac:dyDescent="0.25">
      <c r="B9715">
        <f t="shared" ca="1" si="455"/>
        <v>44956.494939832599</v>
      </c>
      <c r="C9715">
        <f t="shared" ca="1" si="453"/>
        <v>0</v>
      </c>
      <c r="D9715">
        <f t="shared" ca="1" si="454"/>
        <v>4956.4949398325989</v>
      </c>
    </row>
    <row r="9716" spans="2:4" x14ac:dyDescent="0.25">
      <c r="B9716">
        <f t="shared" ca="1" si="455"/>
        <v>51987.824612976845</v>
      </c>
      <c r="C9716">
        <f t="shared" ca="1" si="453"/>
        <v>0</v>
      </c>
      <c r="D9716">
        <f t="shared" ca="1" si="454"/>
        <v>11987.824612976845</v>
      </c>
    </row>
    <row r="9717" spans="2:4" x14ac:dyDescent="0.25">
      <c r="B9717">
        <f t="shared" ca="1" si="455"/>
        <v>44960.787984449016</v>
      </c>
      <c r="C9717">
        <f t="shared" ca="1" si="453"/>
        <v>0</v>
      </c>
      <c r="D9717">
        <f t="shared" ca="1" si="454"/>
        <v>4960.7879844490162</v>
      </c>
    </row>
    <row r="9718" spans="2:4" x14ac:dyDescent="0.25">
      <c r="B9718">
        <f t="shared" ca="1" si="455"/>
        <v>42103.386881520375</v>
      </c>
      <c r="C9718">
        <f t="shared" ca="1" si="453"/>
        <v>0</v>
      </c>
      <c r="D9718">
        <f t="shared" ca="1" si="454"/>
        <v>2103.386881520375</v>
      </c>
    </row>
    <row r="9719" spans="2:4" x14ac:dyDescent="0.25">
      <c r="B9719">
        <f t="shared" ca="1" si="455"/>
        <v>53561.68534300835</v>
      </c>
      <c r="C9719">
        <f t="shared" ca="1" si="453"/>
        <v>0</v>
      </c>
      <c r="D9719">
        <f t="shared" ca="1" si="454"/>
        <v>13561.68534300835</v>
      </c>
    </row>
    <row r="9720" spans="2:4" x14ac:dyDescent="0.25">
      <c r="B9720">
        <f t="shared" ca="1" si="455"/>
        <v>44176.874137944287</v>
      </c>
      <c r="C9720">
        <f t="shared" ca="1" si="453"/>
        <v>0</v>
      </c>
      <c r="D9720">
        <f t="shared" ca="1" si="454"/>
        <v>4176.8741379442872</v>
      </c>
    </row>
    <row r="9721" spans="2:4" x14ac:dyDescent="0.25">
      <c r="B9721">
        <f t="shared" ca="1" si="455"/>
        <v>39332.428272009973</v>
      </c>
      <c r="C9721">
        <f t="shared" ca="1" si="453"/>
        <v>667.57172799002728</v>
      </c>
      <c r="D9721">
        <f t="shared" ca="1" si="454"/>
        <v>0</v>
      </c>
    </row>
    <row r="9722" spans="2:4" x14ac:dyDescent="0.25">
      <c r="B9722">
        <f t="shared" ca="1" si="455"/>
        <v>40802.202145671246</v>
      </c>
      <c r="C9722">
        <f t="shared" ca="1" si="453"/>
        <v>0</v>
      </c>
      <c r="D9722">
        <f t="shared" ca="1" si="454"/>
        <v>802.2021456712464</v>
      </c>
    </row>
    <row r="9723" spans="2:4" x14ac:dyDescent="0.25">
      <c r="B9723">
        <f t="shared" ca="1" si="455"/>
        <v>40860.272816750097</v>
      </c>
      <c r="C9723">
        <f t="shared" ca="1" si="453"/>
        <v>0</v>
      </c>
      <c r="D9723">
        <f t="shared" ca="1" si="454"/>
        <v>860.27281675009726</v>
      </c>
    </row>
    <row r="9724" spans="2:4" x14ac:dyDescent="0.25">
      <c r="B9724">
        <f t="shared" ca="1" si="455"/>
        <v>48690.802723407578</v>
      </c>
      <c r="C9724">
        <f t="shared" ca="1" si="453"/>
        <v>0</v>
      </c>
      <c r="D9724">
        <f t="shared" ca="1" si="454"/>
        <v>8690.802723407578</v>
      </c>
    </row>
    <row r="9725" spans="2:4" x14ac:dyDescent="0.25">
      <c r="B9725">
        <f t="shared" ca="1" si="455"/>
        <v>46737.482816934804</v>
      </c>
      <c r="C9725">
        <f t="shared" ca="1" si="453"/>
        <v>0</v>
      </c>
      <c r="D9725">
        <f t="shared" ca="1" si="454"/>
        <v>6737.4828169348039</v>
      </c>
    </row>
    <row r="9726" spans="2:4" x14ac:dyDescent="0.25">
      <c r="B9726">
        <f t="shared" ca="1" si="455"/>
        <v>48354.535407128053</v>
      </c>
      <c r="C9726">
        <f t="shared" ca="1" si="453"/>
        <v>0</v>
      </c>
      <c r="D9726">
        <f t="shared" ca="1" si="454"/>
        <v>8354.5354071280526</v>
      </c>
    </row>
    <row r="9727" spans="2:4" x14ac:dyDescent="0.25">
      <c r="B9727">
        <f t="shared" ca="1" si="455"/>
        <v>38414.48674896115</v>
      </c>
      <c r="C9727">
        <f t="shared" ca="1" si="453"/>
        <v>1585.5132510388503</v>
      </c>
      <c r="D9727">
        <f t="shared" ca="1" si="454"/>
        <v>0</v>
      </c>
    </row>
    <row r="9728" spans="2:4" x14ac:dyDescent="0.25">
      <c r="B9728">
        <f t="shared" ca="1" si="455"/>
        <v>47243.002905044224</v>
      </c>
      <c r="C9728">
        <f t="shared" ca="1" si="453"/>
        <v>0</v>
      </c>
      <c r="D9728">
        <f t="shared" ca="1" si="454"/>
        <v>7243.0029050442245</v>
      </c>
    </row>
    <row r="9729" spans="2:4" x14ac:dyDescent="0.25">
      <c r="B9729">
        <f t="shared" ca="1" si="455"/>
        <v>53141.214629118658</v>
      </c>
      <c r="C9729">
        <f t="shared" ca="1" si="453"/>
        <v>0</v>
      </c>
      <c r="D9729">
        <f t="shared" ca="1" si="454"/>
        <v>13141.214629118658</v>
      </c>
    </row>
    <row r="9730" spans="2:4" x14ac:dyDescent="0.25">
      <c r="B9730">
        <f t="shared" ca="1" si="455"/>
        <v>52925.178799748799</v>
      </c>
      <c r="C9730">
        <f t="shared" ca="1" si="453"/>
        <v>0</v>
      </c>
      <c r="D9730">
        <f t="shared" ca="1" si="454"/>
        <v>12925.178799748799</v>
      </c>
    </row>
    <row r="9731" spans="2:4" x14ac:dyDescent="0.25">
      <c r="B9731">
        <f t="shared" ca="1" si="455"/>
        <v>36574.536646166795</v>
      </c>
      <c r="C9731">
        <f t="shared" ca="1" si="453"/>
        <v>3425.4633538332055</v>
      </c>
      <c r="D9731">
        <f t="shared" ca="1" si="454"/>
        <v>0</v>
      </c>
    </row>
    <row r="9732" spans="2:4" x14ac:dyDescent="0.25">
      <c r="B9732">
        <f t="shared" ca="1" si="455"/>
        <v>44368.510690709671</v>
      </c>
      <c r="C9732">
        <f t="shared" ca="1" si="453"/>
        <v>0</v>
      </c>
      <c r="D9732">
        <f t="shared" ca="1" si="454"/>
        <v>4368.5106907096706</v>
      </c>
    </row>
    <row r="9733" spans="2:4" x14ac:dyDescent="0.25">
      <c r="B9733">
        <f t="shared" ca="1" si="455"/>
        <v>41679.315108408417</v>
      </c>
      <c r="C9733">
        <f t="shared" ca="1" si="453"/>
        <v>0</v>
      </c>
      <c r="D9733">
        <f t="shared" ca="1" si="454"/>
        <v>1679.3151084084166</v>
      </c>
    </row>
    <row r="9734" spans="2:4" x14ac:dyDescent="0.25">
      <c r="B9734">
        <f t="shared" ca="1" si="455"/>
        <v>43745.529986999398</v>
      </c>
      <c r="C9734">
        <f t="shared" ca="1" si="453"/>
        <v>0</v>
      </c>
      <c r="D9734">
        <f t="shared" ca="1" si="454"/>
        <v>3745.5299869993978</v>
      </c>
    </row>
    <row r="9735" spans="2:4" x14ac:dyDescent="0.25">
      <c r="B9735">
        <f t="shared" ca="1" si="455"/>
        <v>50006.289298171301</v>
      </c>
      <c r="C9735">
        <f t="shared" ca="1" si="453"/>
        <v>0</v>
      </c>
      <c r="D9735">
        <f t="shared" ca="1" si="454"/>
        <v>10006.289298171301</v>
      </c>
    </row>
    <row r="9736" spans="2:4" x14ac:dyDescent="0.25">
      <c r="B9736">
        <f t="shared" ca="1" si="455"/>
        <v>44164.636500332759</v>
      </c>
      <c r="C9736">
        <f t="shared" ca="1" si="453"/>
        <v>0</v>
      </c>
      <c r="D9736">
        <f t="shared" ca="1" si="454"/>
        <v>4164.6365003327592</v>
      </c>
    </row>
    <row r="9737" spans="2:4" x14ac:dyDescent="0.25">
      <c r="B9737">
        <f t="shared" ca="1" si="455"/>
        <v>45087.273038556843</v>
      </c>
      <c r="C9737">
        <f t="shared" ca="1" si="453"/>
        <v>0</v>
      </c>
      <c r="D9737">
        <f t="shared" ca="1" si="454"/>
        <v>5087.2730385568429</v>
      </c>
    </row>
    <row r="9738" spans="2:4" x14ac:dyDescent="0.25">
      <c r="B9738">
        <f t="shared" ca="1" si="455"/>
        <v>48351.17293289963</v>
      </c>
      <c r="C9738">
        <f t="shared" ca="1" si="453"/>
        <v>0</v>
      </c>
      <c r="D9738">
        <f t="shared" ca="1" si="454"/>
        <v>8351.1729328996298</v>
      </c>
    </row>
    <row r="9739" spans="2:4" x14ac:dyDescent="0.25">
      <c r="B9739">
        <f t="shared" ca="1" si="455"/>
        <v>36783.583918209151</v>
      </c>
      <c r="C9739">
        <f t="shared" ca="1" si="453"/>
        <v>3216.4160817908487</v>
      </c>
      <c r="D9739">
        <f t="shared" ca="1" si="454"/>
        <v>0</v>
      </c>
    </row>
    <row r="9740" spans="2:4" x14ac:dyDescent="0.25">
      <c r="B9740">
        <f t="shared" ca="1" si="455"/>
        <v>40006.874697340943</v>
      </c>
      <c r="C9740">
        <f t="shared" ref="C9740:C9803" ca="1" si="456">IF(MAX($B$2-B9740)&lt;0,0,$B$2-B9740)</f>
        <v>0</v>
      </c>
      <c r="D9740">
        <f t="shared" ref="D9740:D9803" ca="1" si="457">IF(MAX(B9740-$B$2)&lt;0,0,B9740-$B$2)</f>
        <v>6.8746973409433849</v>
      </c>
    </row>
    <row r="9741" spans="2:4" x14ac:dyDescent="0.25">
      <c r="B9741">
        <f t="shared" ref="B9741:B9804" ca="1" si="458">$B$1*EXP((($B$4-($B$3^2)/2)*$B$5+$B$3*SQRT($B$5)*NORMSINV(RAND())))</f>
        <v>46007.401448594421</v>
      </c>
      <c r="C9741">
        <f t="shared" ca="1" si="456"/>
        <v>0</v>
      </c>
      <c r="D9741">
        <f t="shared" ca="1" si="457"/>
        <v>6007.4014485944208</v>
      </c>
    </row>
    <row r="9742" spans="2:4" x14ac:dyDescent="0.25">
      <c r="B9742">
        <f t="shared" ca="1" si="458"/>
        <v>53058.770411413556</v>
      </c>
      <c r="C9742">
        <f t="shared" ca="1" si="456"/>
        <v>0</v>
      </c>
      <c r="D9742">
        <f t="shared" ca="1" si="457"/>
        <v>13058.770411413556</v>
      </c>
    </row>
    <row r="9743" spans="2:4" x14ac:dyDescent="0.25">
      <c r="B9743">
        <f t="shared" ca="1" si="458"/>
        <v>45416.391793968476</v>
      </c>
      <c r="C9743">
        <f t="shared" ca="1" si="456"/>
        <v>0</v>
      </c>
      <c r="D9743">
        <f t="shared" ca="1" si="457"/>
        <v>5416.3917939684761</v>
      </c>
    </row>
    <row r="9744" spans="2:4" x14ac:dyDescent="0.25">
      <c r="B9744">
        <f t="shared" ca="1" si="458"/>
        <v>39758.846202844987</v>
      </c>
      <c r="C9744">
        <f t="shared" ca="1" si="456"/>
        <v>241.15379715501331</v>
      </c>
      <c r="D9744">
        <f t="shared" ca="1" si="457"/>
        <v>0</v>
      </c>
    </row>
    <row r="9745" spans="2:4" x14ac:dyDescent="0.25">
      <c r="B9745">
        <f t="shared" ca="1" si="458"/>
        <v>44626.630551799608</v>
      </c>
      <c r="C9745">
        <f t="shared" ca="1" si="456"/>
        <v>0</v>
      </c>
      <c r="D9745">
        <f t="shared" ca="1" si="457"/>
        <v>4626.6305517996079</v>
      </c>
    </row>
    <row r="9746" spans="2:4" x14ac:dyDescent="0.25">
      <c r="B9746">
        <f t="shared" ca="1" si="458"/>
        <v>44319.92685045988</v>
      </c>
      <c r="C9746">
        <f t="shared" ca="1" si="456"/>
        <v>0</v>
      </c>
      <c r="D9746">
        <f t="shared" ca="1" si="457"/>
        <v>4319.9268504598804</v>
      </c>
    </row>
    <row r="9747" spans="2:4" x14ac:dyDescent="0.25">
      <c r="B9747">
        <f t="shared" ca="1" si="458"/>
        <v>56121.136731482417</v>
      </c>
      <c r="C9747">
        <f t="shared" ca="1" si="456"/>
        <v>0</v>
      </c>
      <c r="D9747">
        <f t="shared" ca="1" si="457"/>
        <v>16121.136731482417</v>
      </c>
    </row>
    <row r="9748" spans="2:4" x14ac:dyDescent="0.25">
      <c r="B9748">
        <f t="shared" ca="1" si="458"/>
        <v>44708.10022120201</v>
      </c>
      <c r="C9748">
        <f t="shared" ca="1" si="456"/>
        <v>0</v>
      </c>
      <c r="D9748">
        <f t="shared" ca="1" si="457"/>
        <v>4708.1002212020103</v>
      </c>
    </row>
    <row r="9749" spans="2:4" x14ac:dyDescent="0.25">
      <c r="B9749">
        <f t="shared" ca="1" si="458"/>
        <v>44941.42067697952</v>
      </c>
      <c r="C9749">
        <f t="shared" ca="1" si="456"/>
        <v>0</v>
      </c>
      <c r="D9749">
        <f t="shared" ca="1" si="457"/>
        <v>4941.4206769795201</v>
      </c>
    </row>
    <row r="9750" spans="2:4" x14ac:dyDescent="0.25">
      <c r="B9750">
        <f t="shared" ca="1" si="458"/>
        <v>42579.072613551914</v>
      </c>
      <c r="C9750">
        <f t="shared" ca="1" si="456"/>
        <v>0</v>
      </c>
      <c r="D9750">
        <f t="shared" ca="1" si="457"/>
        <v>2579.0726135519144</v>
      </c>
    </row>
    <row r="9751" spans="2:4" x14ac:dyDescent="0.25">
      <c r="B9751">
        <f t="shared" ca="1" si="458"/>
        <v>41797.095588969401</v>
      </c>
      <c r="C9751">
        <f t="shared" ca="1" si="456"/>
        <v>0</v>
      </c>
      <c r="D9751">
        <f t="shared" ca="1" si="457"/>
        <v>1797.0955889694014</v>
      </c>
    </row>
    <row r="9752" spans="2:4" x14ac:dyDescent="0.25">
      <c r="B9752">
        <f t="shared" ca="1" si="458"/>
        <v>49884.86659576316</v>
      </c>
      <c r="C9752">
        <f t="shared" ca="1" si="456"/>
        <v>0</v>
      </c>
      <c r="D9752">
        <f t="shared" ca="1" si="457"/>
        <v>9884.8665957631601</v>
      </c>
    </row>
    <row r="9753" spans="2:4" x14ac:dyDescent="0.25">
      <c r="B9753">
        <f t="shared" ca="1" si="458"/>
        <v>59108.895349186678</v>
      </c>
      <c r="C9753">
        <f t="shared" ca="1" si="456"/>
        <v>0</v>
      </c>
      <c r="D9753">
        <f t="shared" ca="1" si="457"/>
        <v>19108.895349186678</v>
      </c>
    </row>
    <row r="9754" spans="2:4" x14ac:dyDescent="0.25">
      <c r="B9754">
        <f t="shared" ca="1" si="458"/>
        <v>44634.092181831271</v>
      </c>
      <c r="C9754">
        <f t="shared" ca="1" si="456"/>
        <v>0</v>
      </c>
      <c r="D9754">
        <f t="shared" ca="1" si="457"/>
        <v>4634.0921818312709</v>
      </c>
    </row>
    <row r="9755" spans="2:4" x14ac:dyDescent="0.25">
      <c r="B9755">
        <f t="shared" ca="1" si="458"/>
        <v>46027.491617518244</v>
      </c>
      <c r="C9755">
        <f t="shared" ca="1" si="456"/>
        <v>0</v>
      </c>
      <c r="D9755">
        <f t="shared" ca="1" si="457"/>
        <v>6027.4916175182443</v>
      </c>
    </row>
    <row r="9756" spans="2:4" x14ac:dyDescent="0.25">
      <c r="B9756">
        <f t="shared" ca="1" si="458"/>
        <v>47576.117971942971</v>
      </c>
      <c r="C9756">
        <f t="shared" ca="1" si="456"/>
        <v>0</v>
      </c>
      <c r="D9756">
        <f t="shared" ca="1" si="457"/>
        <v>7576.1179719429711</v>
      </c>
    </row>
    <row r="9757" spans="2:4" x14ac:dyDescent="0.25">
      <c r="B9757">
        <f t="shared" ca="1" si="458"/>
        <v>38330.197007719689</v>
      </c>
      <c r="C9757">
        <f t="shared" ca="1" si="456"/>
        <v>1669.8029922803107</v>
      </c>
      <c r="D9757">
        <f t="shared" ca="1" si="457"/>
        <v>0</v>
      </c>
    </row>
    <row r="9758" spans="2:4" x14ac:dyDescent="0.25">
      <c r="B9758">
        <f t="shared" ca="1" si="458"/>
        <v>50003.192882628682</v>
      </c>
      <c r="C9758">
        <f t="shared" ca="1" si="456"/>
        <v>0</v>
      </c>
      <c r="D9758">
        <f t="shared" ca="1" si="457"/>
        <v>10003.192882628682</v>
      </c>
    </row>
    <row r="9759" spans="2:4" x14ac:dyDescent="0.25">
      <c r="B9759">
        <f t="shared" ca="1" si="458"/>
        <v>42213.446311944994</v>
      </c>
      <c r="C9759">
        <f t="shared" ca="1" si="456"/>
        <v>0</v>
      </c>
      <c r="D9759">
        <f t="shared" ca="1" si="457"/>
        <v>2213.4463119449938</v>
      </c>
    </row>
    <row r="9760" spans="2:4" x14ac:dyDescent="0.25">
      <c r="B9760">
        <f t="shared" ca="1" si="458"/>
        <v>45007.335893681346</v>
      </c>
      <c r="C9760">
        <f t="shared" ca="1" si="456"/>
        <v>0</v>
      </c>
      <c r="D9760">
        <f t="shared" ca="1" si="457"/>
        <v>5007.3358936813456</v>
      </c>
    </row>
    <row r="9761" spans="2:4" x14ac:dyDescent="0.25">
      <c r="B9761">
        <f t="shared" ca="1" si="458"/>
        <v>35327.07155012279</v>
      </c>
      <c r="C9761">
        <f t="shared" ca="1" si="456"/>
        <v>4672.9284498772104</v>
      </c>
      <c r="D9761">
        <f t="shared" ca="1" si="457"/>
        <v>0</v>
      </c>
    </row>
    <row r="9762" spans="2:4" x14ac:dyDescent="0.25">
      <c r="B9762">
        <f t="shared" ca="1" si="458"/>
        <v>48947.476538556577</v>
      </c>
      <c r="C9762">
        <f t="shared" ca="1" si="456"/>
        <v>0</v>
      </c>
      <c r="D9762">
        <f t="shared" ca="1" si="457"/>
        <v>8947.476538556577</v>
      </c>
    </row>
    <row r="9763" spans="2:4" x14ac:dyDescent="0.25">
      <c r="B9763">
        <f t="shared" ca="1" si="458"/>
        <v>45024.754310396122</v>
      </c>
      <c r="C9763">
        <f t="shared" ca="1" si="456"/>
        <v>0</v>
      </c>
      <c r="D9763">
        <f t="shared" ca="1" si="457"/>
        <v>5024.7543103961216</v>
      </c>
    </row>
    <row r="9764" spans="2:4" x14ac:dyDescent="0.25">
      <c r="B9764">
        <f t="shared" ca="1" si="458"/>
        <v>41223.14496764198</v>
      </c>
      <c r="C9764">
        <f t="shared" ca="1" si="456"/>
        <v>0</v>
      </c>
      <c r="D9764">
        <f t="shared" ca="1" si="457"/>
        <v>1223.1449676419797</v>
      </c>
    </row>
    <row r="9765" spans="2:4" x14ac:dyDescent="0.25">
      <c r="B9765">
        <f t="shared" ca="1" si="458"/>
        <v>44190.668345131591</v>
      </c>
      <c r="C9765">
        <f t="shared" ca="1" si="456"/>
        <v>0</v>
      </c>
      <c r="D9765">
        <f t="shared" ca="1" si="457"/>
        <v>4190.6683451315912</v>
      </c>
    </row>
    <row r="9766" spans="2:4" x14ac:dyDescent="0.25">
      <c r="B9766">
        <f t="shared" ca="1" si="458"/>
        <v>51007.699604880021</v>
      </c>
      <c r="C9766">
        <f t="shared" ca="1" si="456"/>
        <v>0</v>
      </c>
      <c r="D9766">
        <f t="shared" ca="1" si="457"/>
        <v>11007.699604880021</v>
      </c>
    </row>
    <row r="9767" spans="2:4" x14ac:dyDescent="0.25">
      <c r="B9767">
        <f t="shared" ca="1" si="458"/>
        <v>40096.514031519197</v>
      </c>
      <c r="C9767">
        <f t="shared" ca="1" si="456"/>
        <v>0</v>
      </c>
      <c r="D9767">
        <f t="shared" ca="1" si="457"/>
        <v>96.514031519196578</v>
      </c>
    </row>
    <row r="9768" spans="2:4" x14ac:dyDescent="0.25">
      <c r="B9768">
        <f t="shared" ca="1" si="458"/>
        <v>43618.294229960797</v>
      </c>
      <c r="C9768">
        <f t="shared" ca="1" si="456"/>
        <v>0</v>
      </c>
      <c r="D9768">
        <f t="shared" ca="1" si="457"/>
        <v>3618.2942299607967</v>
      </c>
    </row>
    <row r="9769" spans="2:4" x14ac:dyDescent="0.25">
      <c r="B9769">
        <f t="shared" ca="1" si="458"/>
        <v>48143.054769264541</v>
      </c>
      <c r="C9769">
        <f t="shared" ca="1" si="456"/>
        <v>0</v>
      </c>
      <c r="D9769">
        <f t="shared" ca="1" si="457"/>
        <v>8143.0547692645414</v>
      </c>
    </row>
    <row r="9770" spans="2:4" x14ac:dyDescent="0.25">
      <c r="B9770">
        <f t="shared" ca="1" si="458"/>
        <v>44125.492184748618</v>
      </c>
      <c r="C9770">
        <f t="shared" ca="1" si="456"/>
        <v>0</v>
      </c>
      <c r="D9770">
        <f t="shared" ca="1" si="457"/>
        <v>4125.4921847486185</v>
      </c>
    </row>
    <row r="9771" spans="2:4" x14ac:dyDescent="0.25">
      <c r="B9771">
        <f t="shared" ca="1" si="458"/>
        <v>42025.456602567443</v>
      </c>
      <c r="C9771">
        <f t="shared" ca="1" si="456"/>
        <v>0</v>
      </c>
      <c r="D9771">
        <f t="shared" ca="1" si="457"/>
        <v>2025.456602567443</v>
      </c>
    </row>
    <row r="9772" spans="2:4" x14ac:dyDescent="0.25">
      <c r="B9772">
        <f t="shared" ca="1" si="458"/>
        <v>55243.524133536739</v>
      </c>
      <c r="C9772">
        <f t="shared" ca="1" si="456"/>
        <v>0</v>
      </c>
      <c r="D9772">
        <f t="shared" ca="1" si="457"/>
        <v>15243.524133536739</v>
      </c>
    </row>
    <row r="9773" spans="2:4" x14ac:dyDescent="0.25">
      <c r="B9773">
        <f t="shared" ca="1" si="458"/>
        <v>42700.692879027083</v>
      </c>
      <c r="C9773">
        <f t="shared" ca="1" si="456"/>
        <v>0</v>
      </c>
      <c r="D9773">
        <f t="shared" ca="1" si="457"/>
        <v>2700.6928790270831</v>
      </c>
    </row>
    <row r="9774" spans="2:4" x14ac:dyDescent="0.25">
      <c r="B9774">
        <f t="shared" ca="1" si="458"/>
        <v>39268.305958434823</v>
      </c>
      <c r="C9774">
        <f t="shared" ca="1" si="456"/>
        <v>731.69404156517703</v>
      </c>
      <c r="D9774">
        <f t="shared" ca="1" si="457"/>
        <v>0</v>
      </c>
    </row>
    <row r="9775" spans="2:4" x14ac:dyDescent="0.25">
      <c r="B9775">
        <f t="shared" ca="1" si="458"/>
        <v>48540.150928429328</v>
      </c>
      <c r="C9775">
        <f t="shared" ca="1" si="456"/>
        <v>0</v>
      </c>
      <c r="D9775">
        <f t="shared" ca="1" si="457"/>
        <v>8540.1509284293279</v>
      </c>
    </row>
    <row r="9776" spans="2:4" x14ac:dyDescent="0.25">
      <c r="B9776">
        <f t="shared" ca="1" si="458"/>
        <v>46032.312693735475</v>
      </c>
      <c r="C9776">
        <f t="shared" ca="1" si="456"/>
        <v>0</v>
      </c>
      <c r="D9776">
        <f t="shared" ca="1" si="457"/>
        <v>6032.3126937354755</v>
      </c>
    </row>
    <row r="9777" spans="2:4" x14ac:dyDescent="0.25">
      <c r="B9777">
        <f t="shared" ca="1" si="458"/>
        <v>48829.770221223283</v>
      </c>
      <c r="C9777">
        <f t="shared" ca="1" si="456"/>
        <v>0</v>
      </c>
      <c r="D9777">
        <f t="shared" ca="1" si="457"/>
        <v>8829.7702212232834</v>
      </c>
    </row>
    <row r="9778" spans="2:4" x14ac:dyDescent="0.25">
      <c r="B9778">
        <f t="shared" ca="1" si="458"/>
        <v>45340.077100031987</v>
      </c>
      <c r="C9778">
        <f t="shared" ca="1" si="456"/>
        <v>0</v>
      </c>
      <c r="D9778">
        <f t="shared" ca="1" si="457"/>
        <v>5340.0771000319874</v>
      </c>
    </row>
    <row r="9779" spans="2:4" x14ac:dyDescent="0.25">
      <c r="B9779">
        <f t="shared" ca="1" si="458"/>
        <v>57758.437669766492</v>
      </c>
      <c r="C9779">
        <f t="shared" ca="1" si="456"/>
        <v>0</v>
      </c>
      <c r="D9779">
        <f t="shared" ca="1" si="457"/>
        <v>17758.437669766492</v>
      </c>
    </row>
    <row r="9780" spans="2:4" x14ac:dyDescent="0.25">
      <c r="B9780">
        <f t="shared" ca="1" si="458"/>
        <v>52320.25975713355</v>
      </c>
      <c r="C9780">
        <f t="shared" ca="1" si="456"/>
        <v>0</v>
      </c>
      <c r="D9780">
        <f t="shared" ca="1" si="457"/>
        <v>12320.25975713355</v>
      </c>
    </row>
    <row r="9781" spans="2:4" x14ac:dyDescent="0.25">
      <c r="B9781">
        <f t="shared" ca="1" si="458"/>
        <v>40815.625007678798</v>
      </c>
      <c r="C9781">
        <f t="shared" ca="1" si="456"/>
        <v>0</v>
      </c>
      <c r="D9781">
        <f t="shared" ca="1" si="457"/>
        <v>815.62500767879828</v>
      </c>
    </row>
    <row r="9782" spans="2:4" x14ac:dyDescent="0.25">
      <c r="B9782">
        <f t="shared" ca="1" si="458"/>
        <v>41941.192409655487</v>
      </c>
      <c r="C9782">
        <f t="shared" ca="1" si="456"/>
        <v>0</v>
      </c>
      <c r="D9782">
        <f t="shared" ca="1" si="457"/>
        <v>1941.1924096554867</v>
      </c>
    </row>
    <row r="9783" spans="2:4" x14ac:dyDescent="0.25">
      <c r="B9783">
        <f t="shared" ca="1" si="458"/>
        <v>49975.122894850414</v>
      </c>
      <c r="C9783">
        <f t="shared" ca="1" si="456"/>
        <v>0</v>
      </c>
      <c r="D9783">
        <f t="shared" ca="1" si="457"/>
        <v>9975.122894850414</v>
      </c>
    </row>
    <row r="9784" spans="2:4" x14ac:dyDescent="0.25">
      <c r="B9784">
        <f t="shared" ca="1" si="458"/>
        <v>38168.581315221782</v>
      </c>
      <c r="C9784">
        <f t="shared" ca="1" si="456"/>
        <v>1831.4186847782184</v>
      </c>
      <c r="D9784">
        <f t="shared" ca="1" si="457"/>
        <v>0</v>
      </c>
    </row>
    <row r="9785" spans="2:4" x14ac:dyDescent="0.25">
      <c r="B9785">
        <f t="shared" ca="1" si="458"/>
        <v>37332.974009538077</v>
      </c>
      <c r="C9785">
        <f t="shared" ca="1" si="456"/>
        <v>2667.0259904619234</v>
      </c>
      <c r="D9785">
        <f t="shared" ca="1" si="457"/>
        <v>0</v>
      </c>
    </row>
    <row r="9786" spans="2:4" x14ac:dyDescent="0.25">
      <c r="B9786">
        <f t="shared" ca="1" si="458"/>
        <v>43921.960601498788</v>
      </c>
      <c r="C9786">
        <f t="shared" ca="1" si="456"/>
        <v>0</v>
      </c>
      <c r="D9786">
        <f t="shared" ca="1" si="457"/>
        <v>3921.9606014987876</v>
      </c>
    </row>
    <row r="9787" spans="2:4" x14ac:dyDescent="0.25">
      <c r="B9787">
        <f t="shared" ca="1" si="458"/>
        <v>48915.898754802896</v>
      </c>
      <c r="C9787">
        <f t="shared" ca="1" si="456"/>
        <v>0</v>
      </c>
      <c r="D9787">
        <f t="shared" ca="1" si="457"/>
        <v>8915.8987548028963</v>
      </c>
    </row>
    <row r="9788" spans="2:4" x14ac:dyDescent="0.25">
      <c r="B9788">
        <f t="shared" ca="1" si="458"/>
        <v>46138.288150413537</v>
      </c>
      <c r="C9788">
        <f t="shared" ca="1" si="456"/>
        <v>0</v>
      </c>
      <c r="D9788">
        <f t="shared" ca="1" si="457"/>
        <v>6138.2881504135366</v>
      </c>
    </row>
    <row r="9789" spans="2:4" x14ac:dyDescent="0.25">
      <c r="B9789">
        <f t="shared" ca="1" si="458"/>
        <v>41672.717541500228</v>
      </c>
      <c r="C9789">
        <f t="shared" ca="1" si="456"/>
        <v>0</v>
      </c>
      <c r="D9789">
        <f t="shared" ca="1" si="457"/>
        <v>1672.7175415002275</v>
      </c>
    </row>
    <row r="9790" spans="2:4" x14ac:dyDescent="0.25">
      <c r="B9790">
        <f t="shared" ca="1" si="458"/>
        <v>47013.196240928861</v>
      </c>
      <c r="C9790">
        <f t="shared" ca="1" si="456"/>
        <v>0</v>
      </c>
      <c r="D9790">
        <f t="shared" ca="1" si="457"/>
        <v>7013.1962409288608</v>
      </c>
    </row>
    <row r="9791" spans="2:4" x14ac:dyDescent="0.25">
      <c r="B9791">
        <f t="shared" ca="1" si="458"/>
        <v>42685.687469250763</v>
      </c>
      <c r="C9791">
        <f t="shared" ca="1" si="456"/>
        <v>0</v>
      </c>
      <c r="D9791">
        <f t="shared" ca="1" si="457"/>
        <v>2685.6874692507627</v>
      </c>
    </row>
    <row r="9792" spans="2:4" x14ac:dyDescent="0.25">
      <c r="B9792">
        <f t="shared" ca="1" si="458"/>
        <v>39339.39403778367</v>
      </c>
      <c r="C9792">
        <f t="shared" ca="1" si="456"/>
        <v>660.60596221633023</v>
      </c>
      <c r="D9792">
        <f t="shared" ca="1" si="457"/>
        <v>0</v>
      </c>
    </row>
    <row r="9793" spans="2:4" x14ac:dyDescent="0.25">
      <c r="B9793">
        <f t="shared" ca="1" si="458"/>
        <v>41867.030138235852</v>
      </c>
      <c r="C9793">
        <f t="shared" ca="1" si="456"/>
        <v>0</v>
      </c>
      <c r="D9793">
        <f t="shared" ca="1" si="457"/>
        <v>1867.0301382358521</v>
      </c>
    </row>
    <row r="9794" spans="2:4" x14ac:dyDescent="0.25">
      <c r="B9794">
        <f t="shared" ca="1" si="458"/>
        <v>43781.113850678928</v>
      </c>
      <c r="C9794">
        <f t="shared" ca="1" si="456"/>
        <v>0</v>
      </c>
      <c r="D9794">
        <f t="shared" ca="1" si="457"/>
        <v>3781.1138506789284</v>
      </c>
    </row>
    <row r="9795" spans="2:4" x14ac:dyDescent="0.25">
      <c r="B9795">
        <f t="shared" ca="1" si="458"/>
        <v>48696.27206117579</v>
      </c>
      <c r="C9795">
        <f t="shared" ca="1" si="456"/>
        <v>0</v>
      </c>
      <c r="D9795">
        <f t="shared" ca="1" si="457"/>
        <v>8696.2720611757904</v>
      </c>
    </row>
    <row r="9796" spans="2:4" x14ac:dyDescent="0.25">
      <c r="B9796">
        <f t="shared" ca="1" si="458"/>
        <v>55578.914240392762</v>
      </c>
      <c r="C9796">
        <f t="shared" ca="1" si="456"/>
        <v>0</v>
      </c>
      <c r="D9796">
        <f t="shared" ca="1" si="457"/>
        <v>15578.914240392762</v>
      </c>
    </row>
    <row r="9797" spans="2:4" x14ac:dyDescent="0.25">
      <c r="B9797">
        <f t="shared" ca="1" si="458"/>
        <v>43195.763610947201</v>
      </c>
      <c r="C9797">
        <f t="shared" ca="1" si="456"/>
        <v>0</v>
      </c>
      <c r="D9797">
        <f t="shared" ca="1" si="457"/>
        <v>3195.7636109472005</v>
      </c>
    </row>
    <row r="9798" spans="2:4" x14ac:dyDescent="0.25">
      <c r="B9798">
        <f t="shared" ca="1" si="458"/>
        <v>49819.208128722901</v>
      </c>
      <c r="C9798">
        <f t="shared" ca="1" si="456"/>
        <v>0</v>
      </c>
      <c r="D9798">
        <f t="shared" ca="1" si="457"/>
        <v>9819.2081287229012</v>
      </c>
    </row>
    <row r="9799" spans="2:4" x14ac:dyDescent="0.25">
      <c r="B9799">
        <f t="shared" ca="1" si="458"/>
        <v>47047.992862039297</v>
      </c>
      <c r="C9799">
        <f t="shared" ca="1" si="456"/>
        <v>0</v>
      </c>
      <c r="D9799">
        <f t="shared" ca="1" si="457"/>
        <v>7047.9928620392966</v>
      </c>
    </row>
    <row r="9800" spans="2:4" x14ac:dyDescent="0.25">
      <c r="B9800">
        <f t="shared" ca="1" si="458"/>
        <v>39467.801747286787</v>
      </c>
      <c r="C9800">
        <f t="shared" ca="1" si="456"/>
        <v>532.19825271321315</v>
      </c>
      <c r="D9800">
        <f t="shared" ca="1" si="457"/>
        <v>0</v>
      </c>
    </row>
    <row r="9801" spans="2:4" x14ac:dyDescent="0.25">
      <c r="B9801">
        <f t="shared" ca="1" si="458"/>
        <v>40868.802037601054</v>
      </c>
      <c r="C9801">
        <f t="shared" ca="1" si="456"/>
        <v>0</v>
      </c>
      <c r="D9801">
        <f t="shared" ca="1" si="457"/>
        <v>868.8020376010536</v>
      </c>
    </row>
    <row r="9802" spans="2:4" x14ac:dyDescent="0.25">
      <c r="B9802">
        <f t="shared" ca="1" si="458"/>
        <v>40941.429281754841</v>
      </c>
      <c r="C9802">
        <f t="shared" ca="1" si="456"/>
        <v>0</v>
      </c>
      <c r="D9802">
        <f t="shared" ca="1" si="457"/>
        <v>941.42928175484121</v>
      </c>
    </row>
    <row r="9803" spans="2:4" x14ac:dyDescent="0.25">
      <c r="B9803">
        <f t="shared" ca="1" si="458"/>
        <v>45038.396154330927</v>
      </c>
      <c r="C9803">
        <f t="shared" ca="1" si="456"/>
        <v>0</v>
      </c>
      <c r="D9803">
        <f t="shared" ca="1" si="457"/>
        <v>5038.3961543309269</v>
      </c>
    </row>
    <row r="9804" spans="2:4" x14ac:dyDescent="0.25">
      <c r="B9804">
        <f t="shared" ca="1" si="458"/>
        <v>37872.07627775224</v>
      </c>
      <c r="C9804">
        <f t="shared" ref="C9804:C9867" ca="1" si="459">IF(MAX($B$2-B9804)&lt;0,0,$B$2-B9804)</f>
        <v>2127.9237222477605</v>
      </c>
      <c r="D9804">
        <f t="shared" ref="D9804:D9867" ca="1" si="460">IF(MAX(B9804-$B$2)&lt;0,0,B9804-$B$2)</f>
        <v>0</v>
      </c>
    </row>
    <row r="9805" spans="2:4" x14ac:dyDescent="0.25">
      <c r="B9805">
        <f t="shared" ref="B9805:B9868" ca="1" si="461">$B$1*EXP((($B$4-($B$3^2)/2)*$B$5+$B$3*SQRT($B$5)*NORMSINV(RAND())))</f>
        <v>44807.66317120866</v>
      </c>
      <c r="C9805">
        <f t="shared" ca="1" si="459"/>
        <v>0</v>
      </c>
      <c r="D9805">
        <f t="shared" ca="1" si="460"/>
        <v>4807.6631712086601</v>
      </c>
    </row>
    <row r="9806" spans="2:4" x14ac:dyDescent="0.25">
      <c r="B9806">
        <f t="shared" ca="1" si="461"/>
        <v>44154.593988898683</v>
      </c>
      <c r="C9806">
        <f t="shared" ca="1" si="459"/>
        <v>0</v>
      </c>
      <c r="D9806">
        <f t="shared" ca="1" si="460"/>
        <v>4154.5939888986832</v>
      </c>
    </row>
    <row r="9807" spans="2:4" x14ac:dyDescent="0.25">
      <c r="B9807">
        <f t="shared" ca="1" si="461"/>
        <v>45072.696724945279</v>
      </c>
      <c r="C9807">
        <f t="shared" ca="1" si="459"/>
        <v>0</v>
      </c>
      <c r="D9807">
        <f t="shared" ca="1" si="460"/>
        <v>5072.6967249452791</v>
      </c>
    </row>
    <row r="9808" spans="2:4" x14ac:dyDescent="0.25">
      <c r="B9808">
        <f t="shared" ca="1" si="461"/>
        <v>41580.487614106416</v>
      </c>
      <c r="C9808">
        <f t="shared" ca="1" si="459"/>
        <v>0</v>
      </c>
      <c r="D9808">
        <f t="shared" ca="1" si="460"/>
        <v>1580.487614106416</v>
      </c>
    </row>
    <row r="9809" spans="2:4" x14ac:dyDescent="0.25">
      <c r="B9809">
        <f t="shared" ca="1" si="461"/>
        <v>43684.286757710004</v>
      </c>
      <c r="C9809">
        <f t="shared" ca="1" si="459"/>
        <v>0</v>
      </c>
      <c r="D9809">
        <f t="shared" ca="1" si="460"/>
        <v>3684.2867577100042</v>
      </c>
    </row>
    <row r="9810" spans="2:4" x14ac:dyDescent="0.25">
      <c r="B9810">
        <f t="shared" ca="1" si="461"/>
        <v>36107.457106372705</v>
      </c>
      <c r="C9810">
        <f t="shared" ca="1" si="459"/>
        <v>3892.5428936272947</v>
      </c>
      <c r="D9810">
        <f t="shared" ca="1" si="460"/>
        <v>0</v>
      </c>
    </row>
    <row r="9811" spans="2:4" x14ac:dyDescent="0.25">
      <c r="B9811">
        <f t="shared" ca="1" si="461"/>
        <v>40577.80077613709</v>
      </c>
      <c r="C9811">
        <f t="shared" ca="1" si="459"/>
        <v>0</v>
      </c>
      <c r="D9811">
        <f t="shared" ca="1" si="460"/>
        <v>577.80077613709</v>
      </c>
    </row>
    <row r="9812" spans="2:4" x14ac:dyDescent="0.25">
      <c r="B9812">
        <f t="shared" ca="1" si="461"/>
        <v>43592.340914340784</v>
      </c>
      <c r="C9812">
        <f t="shared" ca="1" si="459"/>
        <v>0</v>
      </c>
      <c r="D9812">
        <f t="shared" ca="1" si="460"/>
        <v>3592.3409143407844</v>
      </c>
    </row>
    <row r="9813" spans="2:4" x14ac:dyDescent="0.25">
      <c r="B9813">
        <f t="shared" ca="1" si="461"/>
        <v>51451.845650523886</v>
      </c>
      <c r="C9813">
        <f t="shared" ca="1" si="459"/>
        <v>0</v>
      </c>
      <c r="D9813">
        <f t="shared" ca="1" si="460"/>
        <v>11451.845650523886</v>
      </c>
    </row>
    <row r="9814" spans="2:4" x14ac:dyDescent="0.25">
      <c r="B9814">
        <f t="shared" ca="1" si="461"/>
        <v>48705.496243473812</v>
      </c>
      <c r="C9814">
        <f t="shared" ca="1" si="459"/>
        <v>0</v>
      </c>
      <c r="D9814">
        <f t="shared" ca="1" si="460"/>
        <v>8705.4962434738118</v>
      </c>
    </row>
    <row r="9815" spans="2:4" x14ac:dyDescent="0.25">
      <c r="B9815">
        <f t="shared" ca="1" si="461"/>
        <v>44472.544789310763</v>
      </c>
      <c r="C9815">
        <f t="shared" ca="1" si="459"/>
        <v>0</v>
      </c>
      <c r="D9815">
        <f t="shared" ca="1" si="460"/>
        <v>4472.544789310763</v>
      </c>
    </row>
    <row r="9816" spans="2:4" x14ac:dyDescent="0.25">
      <c r="B9816">
        <f t="shared" ca="1" si="461"/>
        <v>42052.656801426703</v>
      </c>
      <c r="C9816">
        <f t="shared" ca="1" si="459"/>
        <v>0</v>
      </c>
      <c r="D9816">
        <f t="shared" ca="1" si="460"/>
        <v>2052.6568014267032</v>
      </c>
    </row>
    <row r="9817" spans="2:4" x14ac:dyDescent="0.25">
      <c r="B9817">
        <f t="shared" ca="1" si="461"/>
        <v>46348.451358294667</v>
      </c>
      <c r="C9817">
        <f t="shared" ca="1" si="459"/>
        <v>0</v>
      </c>
      <c r="D9817">
        <f t="shared" ca="1" si="460"/>
        <v>6348.4513582946674</v>
      </c>
    </row>
    <row r="9818" spans="2:4" x14ac:dyDescent="0.25">
      <c r="B9818">
        <f t="shared" ca="1" si="461"/>
        <v>51268.687982363641</v>
      </c>
      <c r="C9818">
        <f t="shared" ca="1" si="459"/>
        <v>0</v>
      </c>
      <c r="D9818">
        <f t="shared" ca="1" si="460"/>
        <v>11268.687982363641</v>
      </c>
    </row>
    <row r="9819" spans="2:4" x14ac:dyDescent="0.25">
      <c r="B9819">
        <f t="shared" ca="1" si="461"/>
        <v>47920.480039077083</v>
      </c>
      <c r="C9819">
        <f t="shared" ca="1" si="459"/>
        <v>0</v>
      </c>
      <c r="D9819">
        <f t="shared" ca="1" si="460"/>
        <v>7920.4800390770833</v>
      </c>
    </row>
    <row r="9820" spans="2:4" x14ac:dyDescent="0.25">
      <c r="B9820">
        <f t="shared" ca="1" si="461"/>
        <v>48850.625912895332</v>
      </c>
      <c r="C9820">
        <f t="shared" ca="1" si="459"/>
        <v>0</v>
      </c>
      <c r="D9820">
        <f t="shared" ca="1" si="460"/>
        <v>8850.6259128953316</v>
      </c>
    </row>
    <row r="9821" spans="2:4" x14ac:dyDescent="0.25">
      <c r="B9821">
        <f t="shared" ca="1" si="461"/>
        <v>50681.677914630309</v>
      </c>
      <c r="C9821">
        <f t="shared" ca="1" si="459"/>
        <v>0</v>
      </c>
      <c r="D9821">
        <f t="shared" ca="1" si="460"/>
        <v>10681.677914630309</v>
      </c>
    </row>
    <row r="9822" spans="2:4" x14ac:dyDescent="0.25">
      <c r="B9822">
        <f t="shared" ca="1" si="461"/>
        <v>54340.892158593786</v>
      </c>
      <c r="C9822">
        <f t="shared" ca="1" si="459"/>
        <v>0</v>
      </c>
      <c r="D9822">
        <f t="shared" ca="1" si="460"/>
        <v>14340.892158593786</v>
      </c>
    </row>
    <row r="9823" spans="2:4" x14ac:dyDescent="0.25">
      <c r="B9823">
        <f t="shared" ca="1" si="461"/>
        <v>51423.324725758626</v>
      </c>
      <c r="C9823">
        <f t="shared" ca="1" si="459"/>
        <v>0</v>
      </c>
      <c r="D9823">
        <f t="shared" ca="1" si="460"/>
        <v>11423.324725758626</v>
      </c>
    </row>
    <row r="9824" spans="2:4" x14ac:dyDescent="0.25">
      <c r="B9824">
        <f t="shared" ca="1" si="461"/>
        <v>43503.404334259147</v>
      </c>
      <c r="C9824">
        <f t="shared" ca="1" si="459"/>
        <v>0</v>
      </c>
      <c r="D9824">
        <f t="shared" ca="1" si="460"/>
        <v>3503.4043342591467</v>
      </c>
    </row>
    <row r="9825" spans="2:4" x14ac:dyDescent="0.25">
      <c r="B9825">
        <f t="shared" ca="1" si="461"/>
        <v>46553.248940903715</v>
      </c>
      <c r="C9825">
        <f t="shared" ca="1" si="459"/>
        <v>0</v>
      </c>
      <c r="D9825">
        <f t="shared" ca="1" si="460"/>
        <v>6553.2489409037153</v>
      </c>
    </row>
    <row r="9826" spans="2:4" x14ac:dyDescent="0.25">
      <c r="B9826">
        <f t="shared" ca="1" si="461"/>
        <v>59673.478669090997</v>
      </c>
      <c r="C9826">
        <f t="shared" ca="1" si="459"/>
        <v>0</v>
      </c>
      <c r="D9826">
        <f t="shared" ca="1" si="460"/>
        <v>19673.478669090997</v>
      </c>
    </row>
    <row r="9827" spans="2:4" x14ac:dyDescent="0.25">
      <c r="B9827">
        <f t="shared" ca="1" si="461"/>
        <v>50562.235835387575</v>
      </c>
      <c r="C9827">
        <f t="shared" ca="1" si="459"/>
        <v>0</v>
      </c>
      <c r="D9827">
        <f t="shared" ca="1" si="460"/>
        <v>10562.235835387575</v>
      </c>
    </row>
    <row r="9828" spans="2:4" x14ac:dyDescent="0.25">
      <c r="B9828">
        <f t="shared" ca="1" si="461"/>
        <v>41085.819809594861</v>
      </c>
      <c r="C9828">
        <f t="shared" ca="1" si="459"/>
        <v>0</v>
      </c>
      <c r="D9828">
        <f t="shared" ca="1" si="460"/>
        <v>1085.819809594861</v>
      </c>
    </row>
    <row r="9829" spans="2:4" x14ac:dyDescent="0.25">
      <c r="B9829">
        <f t="shared" ca="1" si="461"/>
        <v>39832.240790272823</v>
      </c>
      <c r="C9829">
        <f t="shared" ca="1" si="459"/>
        <v>167.75920972717722</v>
      </c>
      <c r="D9829">
        <f t="shared" ca="1" si="460"/>
        <v>0</v>
      </c>
    </row>
    <row r="9830" spans="2:4" x14ac:dyDescent="0.25">
      <c r="B9830">
        <f t="shared" ca="1" si="461"/>
        <v>50837.872367778989</v>
      </c>
      <c r="C9830">
        <f t="shared" ca="1" si="459"/>
        <v>0</v>
      </c>
      <c r="D9830">
        <f t="shared" ca="1" si="460"/>
        <v>10837.872367778989</v>
      </c>
    </row>
    <row r="9831" spans="2:4" x14ac:dyDescent="0.25">
      <c r="B9831">
        <f t="shared" ca="1" si="461"/>
        <v>40776.903316171622</v>
      </c>
      <c r="C9831">
        <f t="shared" ca="1" si="459"/>
        <v>0</v>
      </c>
      <c r="D9831">
        <f t="shared" ca="1" si="460"/>
        <v>776.90331617162155</v>
      </c>
    </row>
    <row r="9832" spans="2:4" x14ac:dyDescent="0.25">
      <c r="B9832">
        <f t="shared" ca="1" si="461"/>
        <v>44842.076037596249</v>
      </c>
      <c r="C9832">
        <f t="shared" ca="1" si="459"/>
        <v>0</v>
      </c>
      <c r="D9832">
        <f t="shared" ca="1" si="460"/>
        <v>4842.0760375962491</v>
      </c>
    </row>
    <row r="9833" spans="2:4" x14ac:dyDescent="0.25">
      <c r="B9833">
        <f t="shared" ca="1" si="461"/>
        <v>41144.240402115895</v>
      </c>
      <c r="C9833">
        <f t="shared" ca="1" si="459"/>
        <v>0</v>
      </c>
      <c r="D9833">
        <f t="shared" ca="1" si="460"/>
        <v>1144.2404021158945</v>
      </c>
    </row>
    <row r="9834" spans="2:4" x14ac:dyDescent="0.25">
      <c r="B9834">
        <f t="shared" ca="1" si="461"/>
        <v>47714.388083886406</v>
      </c>
      <c r="C9834">
        <f t="shared" ca="1" si="459"/>
        <v>0</v>
      </c>
      <c r="D9834">
        <f t="shared" ca="1" si="460"/>
        <v>7714.3880838864061</v>
      </c>
    </row>
    <row r="9835" spans="2:4" x14ac:dyDescent="0.25">
      <c r="B9835">
        <f t="shared" ca="1" si="461"/>
        <v>43380.378559170713</v>
      </c>
      <c r="C9835">
        <f t="shared" ca="1" si="459"/>
        <v>0</v>
      </c>
      <c r="D9835">
        <f t="shared" ca="1" si="460"/>
        <v>3380.3785591707128</v>
      </c>
    </row>
    <row r="9836" spans="2:4" x14ac:dyDescent="0.25">
      <c r="B9836">
        <f t="shared" ca="1" si="461"/>
        <v>49043.988393673608</v>
      </c>
      <c r="C9836">
        <f t="shared" ca="1" si="459"/>
        <v>0</v>
      </c>
      <c r="D9836">
        <f t="shared" ca="1" si="460"/>
        <v>9043.9883936736078</v>
      </c>
    </row>
    <row r="9837" spans="2:4" x14ac:dyDescent="0.25">
      <c r="B9837">
        <f t="shared" ca="1" si="461"/>
        <v>41272.965390763871</v>
      </c>
      <c r="C9837">
        <f t="shared" ca="1" si="459"/>
        <v>0</v>
      </c>
      <c r="D9837">
        <f t="shared" ca="1" si="460"/>
        <v>1272.9653907638713</v>
      </c>
    </row>
    <row r="9838" spans="2:4" x14ac:dyDescent="0.25">
      <c r="B9838">
        <f t="shared" ca="1" si="461"/>
        <v>40835.679401410962</v>
      </c>
      <c r="C9838">
        <f t="shared" ca="1" si="459"/>
        <v>0</v>
      </c>
      <c r="D9838">
        <f t="shared" ca="1" si="460"/>
        <v>835.67940141096187</v>
      </c>
    </row>
    <row r="9839" spans="2:4" x14ac:dyDescent="0.25">
      <c r="B9839">
        <f t="shared" ca="1" si="461"/>
        <v>57820.14685582828</v>
      </c>
      <c r="C9839">
        <f t="shared" ca="1" si="459"/>
        <v>0</v>
      </c>
      <c r="D9839">
        <f t="shared" ca="1" si="460"/>
        <v>17820.14685582828</v>
      </c>
    </row>
    <row r="9840" spans="2:4" x14ac:dyDescent="0.25">
      <c r="B9840">
        <f t="shared" ca="1" si="461"/>
        <v>46249.29917299113</v>
      </c>
      <c r="C9840">
        <f t="shared" ca="1" si="459"/>
        <v>0</v>
      </c>
      <c r="D9840">
        <f t="shared" ca="1" si="460"/>
        <v>6249.29917299113</v>
      </c>
    </row>
    <row r="9841" spans="2:4" x14ac:dyDescent="0.25">
      <c r="B9841">
        <f t="shared" ca="1" si="461"/>
        <v>45518.525985061468</v>
      </c>
      <c r="C9841">
        <f t="shared" ca="1" si="459"/>
        <v>0</v>
      </c>
      <c r="D9841">
        <f t="shared" ca="1" si="460"/>
        <v>5518.5259850614675</v>
      </c>
    </row>
    <row r="9842" spans="2:4" x14ac:dyDescent="0.25">
      <c r="B9842">
        <f t="shared" ca="1" si="461"/>
        <v>39520.166262678518</v>
      </c>
      <c r="C9842">
        <f t="shared" ca="1" si="459"/>
        <v>479.83373732148175</v>
      </c>
      <c r="D9842">
        <f t="shared" ca="1" si="460"/>
        <v>0</v>
      </c>
    </row>
    <row r="9843" spans="2:4" x14ac:dyDescent="0.25">
      <c r="B9843">
        <f t="shared" ca="1" si="461"/>
        <v>44960.783238111151</v>
      </c>
      <c r="C9843">
        <f t="shared" ca="1" si="459"/>
        <v>0</v>
      </c>
      <c r="D9843">
        <f t="shared" ca="1" si="460"/>
        <v>4960.7832381111511</v>
      </c>
    </row>
    <row r="9844" spans="2:4" x14ac:dyDescent="0.25">
      <c r="B9844">
        <f t="shared" ca="1" si="461"/>
        <v>42885.449744933379</v>
      </c>
      <c r="C9844">
        <f t="shared" ca="1" si="459"/>
        <v>0</v>
      </c>
      <c r="D9844">
        <f t="shared" ca="1" si="460"/>
        <v>2885.4497449333794</v>
      </c>
    </row>
    <row r="9845" spans="2:4" x14ac:dyDescent="0.25">
      <c r="B9845">
        <f t="shared" ca="1" si="461"/>
        <v>49484.136941230427</v>
      </c>
      <c r="C9845">
        <f t="shared" ca="1" si="459"/>
        <v>0</v>
      </c>
      <c r="D9845">
        <f t="shared" ca="1" si="460"/>
        <v>9484.1369412304266</v>
      </c>
    </row>
    <row r="9846" spans="2:4" x14ac:dyDescent="0.25">
      <c r="B9846">
        <f t="shared" ca="1" si="461"/>
        <v>46626.129078466627</v>
      </c>
      <c r="C9846">
        <f t="shared" ca="1" si="459"/>
        <v>0</v>
      </c>
      <c r="D9846">
        <f t="shared" ca="1" si="460"/>
        <v>6626.1290784666271</v>
      </c>
    </row>
    <row r="9847" spans="2:4" x14ac:dyDescent="0.25">
      <c r="B9847">
        <f t="shared" ca="1" si="461"/>
        <v>44931.325900767777</v>
      </c>
      <c r="C9847">
        <f t="shared" ca="1" si="459"/>
        <v>0</v>
      </c>
      <c r="D9847">
        <f t="shared" ca="1" si="460"/>
        <v>4931.3259007677771</v>
      </c>
    </row>
    <row r="9848" spans="2:4" x14ac:dyDescent="0.25">
      <c r="B9848">
        <f t="shared" ca="1" si="461"/>
        <v>35757.785146451621</v>
      </c>
      <c r="C9848">
        <f t="shared" ca="1" si="459"/>
        <v>4242.2148535483793</v>
      </c>
      <c r="D9848">
        <f t="shared" ca="1" si="460"/>
        <v>0</v>
      </c>
    </row>
    <row r="9849" spans="2:4" x14ac:dyDescent="0.25">
      <c r="B9849">
        <f t="shared" ca="1" si="461"/>
        <v>45446.339270617835</v>
      </c>
      <c r="C9849">
        <f t="shared" ca="1" si="459"/>
        <v>0</v>
      </c>
      <c r="D9849">
        <f t="shared" ca="1" si="460"/>
        <v>5446.3392706178347</v>
      </c>
    </row>
    <row r="9850" spans="2:4" x14ac:dyDescent="0.25">
      <c r="B9850">
        <f t="shared" ca="1" si="461"/>
        <v>47947.886715747554</v>
      </c>
      <c r="C9850">
        <f t="shared" ca="1" si="459"/>
        <v>0</v>
      </c>
      <c r="D9850">
        <f t="shared" ca="1" si="460"/>
        <v>7947.8867157475543</v>
      </c>
    </row>
    <row r="9851" spans="2:4" x14ac:dyDescent="0.25">
      <c r="B9851">
        <f t="shared" ca="1" si="461"/>
        <v>45681.178230730191</v>
      </c>
      <c r="C9851">
        <f t="shared" ca="1" si="459"/>
        <v>0</v>
      </c>
      <c r="D9851">
        <f t="shared" ca="1" si="460"/>
        <v>5681.178230730191</v>
      </c>
    </row>
    <row r="9852" spans="2:4" x14ac:dyDescent="0.25">
      <c r="B9852">
        <f t="shared" ca="1" si="461"/>
        <v>42437.26621563243</v>
      </c>
      <c r="C9852">
        <f t="shared" ca="1" si="459"/>
        <v>0</v>
      </c>
      <c r="D9852">
        <f t="shared" ca="1" si="460"/>
        <v>2437.2662156324295</v>
      </c>
    </row>
    <row r="9853" spans="2:4" x14ac:dyDescent="0.25">
      <c r="B9853">
        <f t="shared" ca="1" si="461"/>
        <v>49096.534490994556</v>
      </c>
      <c r="C9853">
        <f t="shared" ca="1" si="459"/>
        <v>0</v>
      </c>
      <c r="D9853">
        <f t="shared" ca="1" si="460"/>
        <v>9096.5344909945561</v>
      </c>
    </row>
    <row r="9854" spans="2:4" x14ac:dyDescent="0.25">
      <c r="B9854">
        <f t="shared" ca="1" si="461"/>
        <v>36562.520442737077</v>
      </c>
      <c r="C9854">
        <f t="shared" ca="1" si="459"/>
        <v>3437.4795572629228</v>
      </c>
      <c r="D9854">
        <f t="shared" ca="1" si="460"/>
        <v>0</v>
      </c>
    </row>
    <row r="9855" spans="2:4" x14ac:dyDescent="0.25">
      <c r="B9855">
        <f t="shared" ca="1" si="461"/>
        <v>35590.579894934381</v>
      </c>
      <c r="C9855">
        <f t="shared" ca="1" si="459"/>
        <v>4409.4201050656193</v>
      </c>
      <c r="D9855">
        <f t="shared" ca="1" si="460"/>
        <v>0</v>
      </c>
    </row>
    <row r="9856" spans="2:4" x14ac:dyDescent="0.25">
      <c r="B9856">
        <f t="shared" ca="1" si="461"/>
        <v>40921.3144278334</v>
      </c>
      <c r="C9856">
        <f t="shared" ca="1" si="459"/>
        <v>0</v>
      </c>
      <c r="D9856">
        <f t="shared" ca="1" si="460"/>
        <v>921.31442783340026</v>
      </c>
    </row>
    <row r="9857" spans="2:4" x14ac:dyDescent="0.25">
      <c r="B9857">
        <f t="shared" ca="1" si="461"/>
        <v>42796.503092400526</v>
      </c>
      <c r="C9857">
        <f t="shared" ca="1" si="459"/>
        <v>0</v>
      </c>
      <c r="D9857">
        <f t="shared" ca="1" si="460"/>
        <v>2796.5030924005259</v>
      </c>
    </row>
    <row r="9858" spans="2:4" x14ac:dyDescent="0.25">
      <c r="B9858">
        <f t="shared" ca="1" si="461"/>
        <v>50173.463816730808</v>
      </c>
      <c r="C9858">
        <f t="shared" ca="1" si="459"/>
        <v>0</v>
      </c>
      <c r="D9858">
        <f t="shared" ca="1" si="460"/>
        <v>10173.463816730808</v>
      </c>
    </row>
    <row r="9859" spans="2:4" x14ac:dyDescent="0.25">
      <c r="B9859">
        <f t="shared" ca="1" si="461"/>
        <v>42483.947389482615</v>
      </c>
      <c r="C9859">
        <f t="shared" ca="1" si="459"/>
        <v>0</v>
      </c>
      <c r="D9859">
        <f t="shared" ca="1" si="460"/>
        <v>2483.9473894826151</v>
      </c>
    </row>
    <row r="9860" spans="2:4" x14ac:dyDescent="0.25">
      <c r="B9860">
        <f t="shared" ca="1" si="461"/>
        <v>41577.015916542776</v>
      </c>
      <c r="C9860">
        <f t="shared" ca="1" si="459"/>
        <v>0</v>
      </c>
      <c r="D9860">
        <f t="shared" ca="1" si="460"/>
        <v>1577.0159165427758</v>
      </c>
    </row>
    <row r="9861" spans="2:4" x14ac:dyDescent="0.25">
      <c r="B9861">
        <f t="shared" ca="1" si="461"/>
        <v>50579.44775241067</v>
      </c>
      <c r="C9861">
        <f t="shared" ca="1" si="459"/>
        <v>0</v>
      </c>
      <c r="D9861">
        <f t="shared" ca="1" si="460"/>
        <v>10579.44775241067</v>
      </c>
    </row>
    <row r="9862" spans="2:4" x14ac:dyDescent="0.25">
      <c r="B9862">
        <f t="shared" ca="1" si="461"/>
        <v>43588.83306008306</v>
      </c>
      <c r="C9862">
        <f t="shared" ca="1" si="459"/>
        <v>0</v>
      </c>
      <c r="D9862">
        <f t="shared" ca="1" si="460"/>
        <v>3588.8330600830595</v>
      </c>
    </row>
    <row r="9863" spans="2:4" x14ac:dyDescent="0.25">
      <c r="B9863">
        <f t="shared" ca="1" si="461"/>
        <v>40892.972704887157</v>
      </c>
      <c r="C9863">
        <f t="shared" ca="1" si="459"/>
        <v>0</v>
      </c>
      <c r="D9863">
        <f t="shared" ca="1" si="460"/>
        <v>892.97270488715731</v>
      </c>
    </row>
    <row r="9864" spans="2:4" x14ac:dyDescent="0.25">
      <c r="B9864">
        <f t="shared" ca="1" si="461"/>
        <v>46832.650763609876</v>
      </c>
      <c r="C9864">
        <f t="shared" ca="1" si="459"/>
        <v>0</v>
      </c>
      <c r="D9864">
        <f t="shared" ca="1" si="460"/>
        <v>6832.6507636098759</v>
      </c>
    </row>
    <row r="9865" spans="2:4" x14ac:dyDescent="0.25">
      <c r="B9865">
        <f t="shared" ca="1" si="461"/>
        <v>46225.20308767118</v>
      </c>
      <c r="C9865">
        <f t="shared" ca="1" si="459"/>
        <v>0</v>
      </c>
      <c r="D9865">
        <f t="shared" ca="1" si="460"/>
        <v>6225.2030876711797</v>
      </c>
    </row>
    <row r="9866" spans="2:4" x14ac:dyDescent="0.25">
      <c r="B9866">
        <f t="shared" ca="1" si="461"/>
        <v>47749.507161576956</v>
      </c>
      <c r="C9866">
        <f t="shared" ca="1" si="459"/>
        <v>0</v>
      </c>
      <c r="D9866">
        <f t="shared" ca="1" si="460"/>
        <v>7749.5071615769557</v>
      </c>
    </row>
    <row r="9867" spans="2:4" x14ac:dyDescent="0.25">
      <c r="B9867">
        <f t="shared" ca="1" si="461"/>
        <v>44015.418888612068</v>
      </c>
      <c r="C9867">
        <f t="shared" ca="1" si="459"/>
        <v>0</v>
      </c>
      <c r="D9867">
        <f t="shared" ca="1" si="460"/>
        <v>4015.4188886120683</v>
      </c>
    </row>
    <row r="9868" spans="2:4" x14ac:dyDescent="0.25">
      <c r="B9868">
        <f t="shared" ca="1" si="461"/>
        <v>49009.398209968065</v>
      </c>
      <c r="C9868">
        <f t="shared" ref="C9868:C9931" ca="1" si="462">IF(MAX($B$2-B9868)&lt;0,0,$B$2-B9868)</f>
        <v>0</v>
      </c>
      <c r="D9868">
        <f t="shared" ref="D9868:D9931" ca="1" si="463">IF(MAX(B9868-$B$2)&lt;0,0,B9868-$B$2)</f>
        <v>9009.3982099680652</v>
      </c>
    </row>
    <row r="9869" spans="2:4" x14ac:dyDescent="0.25">
      <c r="B9869">
        <f t="shared" ref="B9869:B9932" ca="1" si="464">$B$1*EXP((($B$4-($B$3^2)/2)*$B$5+$B$3*SQRT($B$5)*NORMSINV(RAND())))</f>
        <v>39068.273580178648</v>
      </c>
      <c r="C9869">
        <f t="shared" ca="1" si="462"/>
        <v>931.72641982135247</v>
      </c>
      <c r="D9869">
        <f t="shared" ca="1" si="463"/>
        <v>0</v>
      </c>
    </row>
    <row r="9870" spans="2:4" x14ac:dyDescent="0.25">
      <c r="B9870">
        <f t="shared" ca="1" si="464"/>
        <v>48148.266961864305</v>
      </c>
      <c r="C9870">
        <f t="shared" ca="1" si="462"/>
        <v>0</v>
      </c>
      <c r="D9870">
        <f t="shared" ca="1" si="463"/>
        <v>8148.2669618643049</v>
      </c>
    </row>
    <row r="9871" spans="2:4" x14ac:dyDescent="0.25">
      <c r="B9871">
        <f t="shared" ca="1" si="464"/>
        <v>47381.995626590549</v>
      </c>
      <c r="C9871">
        <f t="shared" ca="1" si="462"/>
        <v>0</v>
      </c>
      <c r="D9871">
        <f t="shared" ca="1" si="463"/>
        <v>7381.9956265905494</v>
      </c>
    </row>
    <row r="9872" spans="2:4" x14ac:dyDescent="0.25">
      <c r="B9872">
        <f t="shared" ca="1" si="464"/>
        <v>50158.944265813945</v>
      </c>
      <c r="C9872">
        <f t="shared" ca="1" si="462"/>
        <v>0</v>
      </c>
      <c r="D9872">
        <f t="shared" ca="1" si="463"/>
        <v>10158.944265813945</v>
      </c>
    </row>
    <row r="9873" spans="2:4" x14ac:dyDescent="0.25">
      <c r="B9873">
        <f t="shared" ca="1" si="464"/>
        <v>45846.94958959736</v>
      </c>
      <c r="C9873">
        <f t="shared" ca="1" si="462"/>
        <v>0</v>
      </c>
      <c r="D9873">
        <f t="shared" ca="1" si="463"/>
        <v>5846.9495895973596</v>
      </c>
    </row>
    <row r="9874" spans="2:4" x14ac:dyDescent="0.25">
      <c r="B9874">
        <f t="shared" ca="1" si="464"/>
        <v>45568.552081117399</v>
      </c>
      <c r="C9874">
        <f t="shared" ca="1" si="462"/>
        <v>0</v>
      </c>
      <c r="D9874">
        <f t="shared" ca="1" si="463"/>
        <v>5568.5520811173992</v>
      </c>
    </row>
    <row r="9875" spans="2:4" x14ac:dyDescent="0.25">
      <c r="B9875">
        <f t="shared" ca="1" si="464"/>
        <v>46316.011427719379</v>
      </c>
      <c r="C9875">
        <f t="shared" ca="1" si="462"/>
        <v>0</v>
      </c>
      <c r="D9875">
        <f t="shared" ca="1" si="463"/>
        <v>6316.0114277193788</v>
      </c>
    </row>
    <row r="9876" spans="2:4" x14ac:dyDescent="0.25">
      <c r="B9876">
        <f t="shared" ca="1" si="464"/>
        <v>51815.867089055217</v>
      </c>
      <c r="C9876">
        <f t="shared" ca="1" si="462"/>
        <v>0</v>
      </c>
      <c r="D9876">
        <f t="shared" ca="1" si="463"/>
        <v>11815.867089055217</v>
      </c>
    </row>
    <row r="9877" spans="2:4" x14ac:dyDescent="0.25">
      <c r="B9877">
        <f t="shared" ca="1" si="464"/>
        <v>45000.644846949544</v>
      </c>
      <c r="C9877">
        <f t="shared" ca="1" si="462"/>
        <v>0</v>
      </c>
      <c r="D9877">
        <f t="shared" ca="1" si="463"/>
        <v>5000.6448469495444</v>
      </c>
    </row>
    <row r="9878" spans="2:4" x14ac:dyDescent="0.25">
      <c r="B9878">
        <f t="shared" ca="1" si="464"/>
        <v>39497.703671951371</v>
      </c>
      <c r="C9878">
        <f t="shared" ca="1" si="462"/>
        <v>502.29632804862922</v>
      </c>
      <c r="D9878">
        <f t="shared" ca="1" si="463"/>
        <v>0</v>
      </c>
    </row>
    <row r="9879" spans="2:4" x14ac:dyDescent="0.25">
      <c r="B9879">
        <f t="shared" ca="1" si="464"/>
        <v>41994.902195853188</v>
      </c>
      <c r="C9879">
        <f t="shared" ca="1" si="462"/>
        <v>0</v>
      </c>
      <c r="D9879">
        <f t="shared" ca="1" si="463"/>
        <v>1994.9021958531885</v>
      </c>
    </row>
    <row r="9880" spans="2:4" x14ac:dyDescent="0.25">
      <c r="B9880">
        <f t="shared" ca="1" si="464"/>
        <v>36901.228926048003</v>
      </c>
      <c r="C9880">
        <f t="shared" ca="1" si="462"/>
        <v>3098.7710739519971</v>
      </c>
      <c r="D9880">
        <f t="shared" ca="1" si="463"/>
        <v>0</v>
      </c>
    </row>
    <row r="9881" spans="2:4" x14ac:dyDescent="0.25">
      <c r="B9881">
        <f t="shared" ca="1" si="464"/>
        <v>47794.447217098059</v>
      </c>
      <c r="C9881">
        <f t="shared" ca="1" si="462"/>
        <v>0</v>
      </c>
      <c r="D9881">
        <f t="shared" ca="1" si="463"/>
        <v>7794.4472170980589</v>
      </c>
    </row>
    <row r="9882" spans="2:4" x14ac:dyDescent="0.25">
      <c r="B9882">
        <f t="shared" ca="1" si="464"/>
        <v>43199.511953060297</v>
      </c>
      <c r="C9882">
        <f t="shared" ca="1" si="462"/>
        <v>0</v>
      </c>
      <c r="D9882">
        <f t="shared" ca="1" si="463"/>
        <v>3199.5119530602969</v>
      </c>
    </row>
    <row r="9883" spans="2:4" x14ac:dyDescent="0.25">
      <c r="B9883">
        <f t="shared" ca="1" si="464"/>
        <v>36455.651712462495</v>
      </c>
      <c r="C9883">
        <f t="shared" ca="1" si="462"/>
        <v>3544.3482875375048</v>
      </c>
      <c r="D9883">
        <f t="shared" ca="1" si="463"/>
        <v>0</v>
      </c>
    </row>
    <row r="9884" spans="2:4" x14ac:dyDescent="0.25">
      <c r="B9884">
        <f t="shared" ca="1" si="464"/>
        <v>46626.444458141668</v>
      </c>
      <c r="C9884">
        <f t="shared" ca="1" si="462"/>
        <v>0</v>
      </c>
      <c r="D9884">
        <f t="shared" ca="1" si="463"/>
        <v>6626.4444581416683</v>
      </c>
    </row>
    <row r="9885" spans="2:4" x14ac:dyDescent="0.25">
      <c r="B9885">
        <f t="shared" ca="1" si="464"/>
        <v>52052.864189899548</v>
      </c>
      <c r="C9885">
        <f t="shared" ca="1" si="462"/>
        <v>0</v>
      </c>
      <c r="D9885">
        <f t="shared" ca="1" si="463"/>
        <v>12052.864189899548</v>
      </c>
    </row>
    <row r="9886" spans="2:4" x14ac:dyDescent="0.25">
      <c r="B9886">
        <f t="shared" ca="1" si="464"/>
        <v>39601.76701022857</v>
      </c>
      <c r="C9886">
        <f t="shared" ca="1" si="462"/>
        <v>398.23298977142986</v>
      </c>
      <c r="D9886">
        <f t="shared" ca="1" si="463"/>
        <v>0</v>
      </c>
    </row>
    <row r="9887" spans="2:4" x14ac:dyDescent="0.25">
      <c r="B9887">
        <f t="shared" ca="1" si="464"/>
        <v>52142.112765934515</v>
      </c>
      <c r="C9887">
        <f t="shared" ca="1" si="462"/>
        <v>0</v>
      </c>
      <c r="D9887">
        <f t="shared" ca="1" si="463"/>
        <v>12142.112765934515</v>
      </c>
    </row>
    <row r="9888" spans="2:4" x14ac:dyDescent="0.25">
      <c r="B9888">
        <f t="shared" ca="1" si="464"/>
        <v>37516.780920513913</v>
      </c>
      <c r="C9888">
        <f t="shared" ca="1" si="462"/>
        <v>2483.2190794860871</v>
      </c>
      <c r="D9888">
        <f t="shared" ca="1" si="463"/>
        <v>0</v>
      </c>
    </row>
    <row r="9889" spans="2:4" x14ac:dyDescent="0.25">
      <c r="B9889">
        <f t="shared" ca="1" si="464"/>
        <v>42821.611056820409</v>
      </c>
      <c r="C9889">
        <f t="shared" ca="1" si="462"/>
        <v>0</v>
      </c>
      <c r="D9889">
        <f t="shared" ca="1" si="463"/>
        <v>2821.6110568204094</v>
      </c>
    </row>
    <row r="9890" spans="2:4" x14ac:dyDescent="0.25">
      <c r="B9890">
        <f t="shared" ca="1" si="464"/>
        <v>51252.796645727707</v>
      </c>
      <c r="C9890">
        <f t="shared" ca="1" si="462"/>
        <v>0</v>
      </c>
      <c r="D9890">
        <f t="shared" ca="1" si="463"/>
        <v>11252.796645727707</v>
      </c>
    </row>
    <row r="9891" spans="2:4" x14ac:dyDescent="0.25">
      <c r="B9891">
        <f t="shared" ca="1" si="464"/>
        <v>41145.863581500103</v>
      </c>
      <c r="C9891">
        <f t="shared" ca="1" si="462"/>
        <v>0</v>
      </c>
      <c r="D9891">
        <f t="shared" ca="1" si="463"/>
        <v>1145.8635815001035</v>
      </c>
    </row>
    <row r="9892" spans="2:4" x14ac:dyDescent="0.25">
      <c r="B9892">
        <f t="shared" ca="1" si="464"/>
        <v>40313.58139155859</v>
      </c>
      <c r="C9892">
        <f t="shared" ca="1" si="462"/>
        <v>0</v>
      </c>
      <c r="D9892">
        <f t="shared" ca="1" si="463"/>
        <v>313.58139155858953</v>
      </c>
    </row>
    <row r="9893" spans="2:4" x14ac:dyDescent="0.25">
      <c r="B9893">
        <f t="shared" ca="1" si="464"/>
        <v>50669.372414043741</v>
      </c>
      <c r="C9893">
        <f t="shared" ca="1" si="462"/>
        <v>0</v>
      </c>
      <c r="D9893">
        <f t="shared" ca="1" si="463"/>
        <v>10669.372414043741</v>
      </c>
    </row>
    <row r="9894" spans="2:4" x14ac:dyDescent="0.25">
      <c r="B9894">
        <f t="shared" ca="1" si="464"/>
        <v>45895.95448794189</v>
      </c>
      <c r="C9894">
        <f t="shared" ca="1" si="462"/>
        <v>0</v>
      </c>
      <c r="D9894">
        <f t="shared" ca="1" si="463"/>
        <v>5895.95448794189</v>
      </c>
    </row>
    <row r="9895" spans="2:4" x14ac:dyDescent="0.25">
      <c r="B9895">
        <f t="shared" ca="1" si="464"/>
        <v>46766.092873325753</v>
      </c>
      <c r="C9895">
        <f t="shared" ca="1" si="462"/>
        <v>0</v>
      </c>
      <c r="D9895">
        <f t="shared" ca="1" si="463"/>
        <v>6766.0928733257533</v>
      </c>
    </row>
    <row r="9896" spans="2:4" x14ac:dyDescent="0.25">
      <c r="B9896">
        <f t="shared" ca="1" si="464"/>
        <v>39563.409544326314</v>
      </c>
      <c r="C9896">
        <f t="shared" ca="1" si="462"/>
        <v>436.59045567368594</v>
      </c>
      <c r="D9896">
        <f t="shared" ca="1" si="463"/>
        <v>0</v>
      </c>
    </row>
    <row r="9897" spans="2:4" x14ac:dyDescent="0.25">
      <c r="B9897">
        <f t="shared" ca="1" si="464"/>
        <v>43712.698042857737</v>
      </c>
      <c r="C9897">
        <f t="shared" ca="1" si="462"/>
        <v>0</v>
      </c>
      <c r="D9897">
        <f t="shared" ca="1" si="463"/>
        <v>3712.6980428577372</v>
      </c>
    </row>
    <row r="9898" spans="2:4" x14ac:dyDescent="0.25">
      <c r="B9898">
        <f t="shared" ca="1" si="464"/>
        <v>37654.617124820208</v>
      </c>
      <c r="C9898">
        <f t="shared" ca="1" si="462"/>
        <v>2345.3828751797919</v>
      </c>
      <c r="D9898">
        <f t="shared" ca="1" si="463"/>
        <v>0</v>
      </c>
    </row>
    <row r="9899" spans="2:4" x14ac:dyDescent="0.25">
      <c r="B9899">
        <f t="shared" ca="1" si="464"/>
        <v>44727.511782350834</v>
      </c>
      <c r="C9899">
        <f t="shared" ca="1" si="462"/>
        <v>0</v>
      </c>
      <c r="D9899">
        <f t="shared" ca="1" si="463"/>
        <v>4727.5117823508335</v>
      </c>
    </row>
    <row r="9900" spans="2:4" x14ac:dyDescent="0.25">
      <c r="B9900">
        <f t="shared" ca="1" si="464"/>
        <v>49015.308272186892</v>
      </c>
      <c r="C9900">
        <f t="shared" ca="1" si="462"/>
        <v>0</v>
      </c>
      <c r="D9900">
        <f t="shared" ca="1" si="463"/>
        <v>9015.3082721868923</v>
      </c>
    </row>
    <row r="9901" spans="2:4" x14ac:dyDescent="0.25">
      <c r="B9901">
        <f t="shared" ca="1" si="464"/>
        <v>43722.723326649044</v>
      </c>
      <c r="C9901">
        <f t="shared" ca="1" si="462"/>
        <v>0</v>
      </c>
      <c r="D9901">
        <f t="shared" ca="1" si="463"/>
        <v>3722.7233266490439</v>
      </c>
    </row>
    <row r="9902" spans="2:4" x14ac:dyDescent="0.25">
      <c r="B9902">
        <f t="shared" ca="1" si="464"/>
        <v>45286.767261725807</v>
      </c>
      <c r="C9902">
        <f t="shared" ca="1" si="462"/>
        <v>0</v>
      </c>
      <c r="D9902">
        <f t="shared" ca="1" si="463"/>
        <v>5286.7672617258067</v>
      </c>
    </row>
    <row r="9903" spans="2:4" x14ac:dyDescent="0.25">
      <c r="B9903">
        <f t="shared" ca="1" si="464"/>
        <v>42423.1748898531</v>
      </c>
      <c r="C9903">
        <f t="shared" ca="1" si="462"/>
        <v>0</v>
      </c>
      <c r="D9903">
        <f t="shared" ca="1" si="463"/>
        <v>2423.1748898531005</v>
      </c>
    </row>
    <row r="9904" spans="2:4" x14ac:dyDescent="0.25">
      <c r="B9904">
        <f t="shared" ca="1" si="464"/>
        <v>46675.548091938712</v>
      </c>
      <c r="C9904">
        <f t="shared" ca="1" si="462"/>
        <v>0</v>
      </c>
      <c r="D9904">
        <f t="shared" ca="1" si="463"/>
        <v>6675.5480919387119</v>
      </c>
    </row>
    <row r="9905" spans="2:4" x14ac:dyDescent="0.25">
      <c r="B9905">
        <f t="shared" ca="1" si="464"/>
        <v>46072.55690568412</v>
      </c>
      <c r="C9905">
        <f t="shared" ca="1" si="462"/>
        <v>0</v>
      </c>
      <c r="D9905">
        <f t="shared" ca="1" si="463"/>
        <v>6072.5569056841196</v>
      </c>
    </row>
    <row r="9906" spans="2:4" x14ac:dyDescent="0.25">
      <c r="B9906">
        <f t="shared" ca="1" si="464"/>
        <v>39517.205557314985</v>
      </c>
      <c r="C9906">
        <f t="shared" ca="1" si="462"/>
        <v>482.79444268501538</v>
      </c>
      <c r="D9906">
        <f t="shared" ca="1" si="463"/>
        <v>0</v>
      </c>
    </row>
    <row r="9907" spans="2:4" x14ac:dyDescent="0.25">
      <c r="B9907">
        <f t="shared" ca="1" si="464"/>
        <v>46629.140767481091</v>
      </c>
      <c r="C9907">
        <f t="shared" ca="1" si="462"/>
        <v>0</v>
      </c>
      <c r="D9907">
        <f t="shared" ca="1" si="463"/>
        <v>6629.1407674810907</v>
      </c>
    </row>
    <row r="9908" spans="2:4" x14ac:dyDescent="0.25">
      <c r="B9908">
        <f t="shared" ca="1" si="464"/>
        <v>40336.569200701299</v>
      </c>
      <c r="C9908">
        <f t="shared" ca="1" si="462"/>
        <v>0</v>
      </c>
      <c r="D9908">
        <f t="shared" ca="1" si="463"/>
        <v>336.56920070129854</v>
      </c>
    </row>
    <row r="9909" spans="2:4" x14ac:dyDescent="0.25">
      <c r="B9909">
        <f t="shared" ca="1" si="464"/>
        <v>50266.061314811086</v>
      </c>
      <c r="C9909">
        <f t="shared" ca="1" si="462"/>
        <v>0</v>
      </c>
      <c r="D9909">
        <f t="shared" ca="1" si="463"/>
        <v>10266.061314811086</v>
      </c>
    </row>
    <row r="9910" spans="2:4" x14ac:dyDescent="0.25">
      <c r="B9910">
        <f t="shared" ca="1" si="464"/>
        <v>46106.271034161204</v>
      </c>
      <c r="C9910">
        <f t="shared" ca="1" si="462"/>
        <v>0</v>
      </c>
      <c r="D9910">
        <f t="shared" ca="1" si="463"/>
        <v>6106.2710341612037</v>
      </c>
    </row>
    <row r="9911" spans="2:4" x14ac:dyDescent="0.25">
      <c r="B9911">
        <f t="shared" ca="1" si="464"/>
        <v>51774.486469605574</v>
      </c>
      <c r="C9911">
        <f t="shared" ca="1" si="462"/>
        <v>0</v>
      </c>
      <c r="D9911">
        <f t="shared" ca="1" si="463"/>
        <v>11774.486469605574</v>
      </c>
    </row>
    <row r="9912" spans="2:4" x14ac:dyDescent="0.25">
      <c r="B9912">
        <f t="shared" ca="1" si="464"/>
        <v>40814.8171468742</v>
      </c>
      <c r="C9912">
        <f t="shared" ca="1" si="462"/>
        <v>0</v>
      </c>
      <c r="D9912">
        <f t="shared" ca="1" si="463"/>
        <v>814.81714687420026</v>
      </c>
    </row>
    <row r="9913" spans="2:4" x14ac:dyDescent="0.25">
      <c r="B9913">
        <f t="shared" ca="1" si="464"/>
        <v>38495.252380757862</v>
      </c>
      <c r="C9913">
        <f t="shared" ca="1" si="462"/>
        <v>1504.7476192421382</v>
      </c>
      <c r="D9913">
        <f t="shared" ca="1" si="463"/>
        <v>0</v>
      </c>
    </row>
    <row r="9914" spans="2:4" x14ac:dyDescent="0.25">
      <c r="B9914">
        <f t="shared" ca="1" si="464"/>
        <v>53084.984487850961</v>
      </c>
      <c r="C9914">
        <f t="shared" ca="1" si="462"/>
        <v>0</v>
      </c>
      <c r="D9914">
        <f t="shared" ca="1" si="463"/>
        <v>13084.984487850961</v>
      </c>
    </row>
    <row r="9915" spans="2:4" x14ac:dyDescent="0.25">
      <c r="B9915">
        <f t="shared" ca="1" si="464"/>
        <v>50170.232196272918</v>
      </c>
      <c r="C9915">
        <f t="shared" ca="1" si="462"/>
        <v>0</v>
      </c>
      <c r="D9915">
        <f t="shared" ca="1" si="463"/>
        <v>10170.232196272918</v>
      </c>
    </row>
    <row r="9916" spans="2:4" x14ac:dyDescent="0.25">
      <c r="B9916">
        <f t="shared" ca="1" si="464"/>
        <v>44267.264641800582</v>
      </c>
      <c r="C9916">
        <f t="shared" ca="1" si="462"/>
        <v>0</v>
      </c>
      <c r="D9916">
        <f t="shared" ca="1" si="463"/>
        <v>4267.2646418005825</v>
      </c>
    </row>
    <row r="9917" spans="2:4" x14ac:dyDescent="0.25">
      <c r="B9917">
        <f t="shared" ca="1" si="464"/>
        <v>45349.775616031635</v>
      </c>
      <c r="C9917">
        <f t="shared" ca="1" si="462"/>
        <v>0</v>
      </c>
      <c r="D9917">
        <f t="shared" ca="1" si="463"/>
        <v>5349.7756160316349</v>
      </c>
    </row>
    <row r="9918" spans="2:4" x14ac:dyDescent="0.25">
      <c r="B9918">
        <f t="shared" ca="1" si="464"/>
        <v>46526.845714270152</v>
      </c>
      <c r="C9918">
        <f t="shared" ca="1" si="462"/>
        <v>0</v>
      </c>
      <c r="D9918">
        <f t="shared" ca="1" si="463"/>
        <v>6526.8457142701518</v>
      </c>
    </row>
    <row r="9919" spans="2:4" x14ac:dyDescent="0.25">
      <c r="B9919">
        <f t="shared" ca="1" si="464"/>
        <v>48194.993514243324</v>
      </c>
      <c r="C9919">
        <f t="shared" ca="1" si="462"/>
        <v>0</v>
      </c>
      <c r="D9919">
        <f t="shared" ca="1" si="463"/>
        <v>8194.9935142433242</v>
      </c>
    </row>
    <row r="9920" spans="2:4" x14ac:dyDescent="0.25">
      <c r="B9920">
        <f t="shared" ca="1" si="464"/>
        <v>49100.133045251598</v>
      </c>
      <c r="C9920">
        <f t="shared" ca="1" si="462"/>
        <v>0</v>
      </c>
      <c r="D9920">
        <f t="shared" ca="1" si="463"/>
        <v>9100.1330452515977</v>
      </c>
    </row>
    <row r="9921" spans="2:4" x14ac:dyDescent="0.25">
      <c r="B9921">
        <f t="shared" ca="1" si="464"/>
        <v>49957.95120576513</v>
      </c>
      <c r="C9921">
        <f t="shared" ca="1" si="462"/>
        <v>0</v>
      </c>
      <c r="D9921">
        <f t="shared" ca="1" si="463"/>
        <v>9957.95120576513</v>
      </c>
    </row>
    <row r="9922" spans="2:4" x14ac:dyDescent="0.25">
      <c r="B9922">
        <f t="shared" ca="1" si="464"/>
        <v>37219.84040465756</v>
      </c>
      <c r="C9922">
        <f t="shared" ca="1" si="462"/>
        <v>2780.1595953424403</v>
      </c>
      <c r="D9922">
        <f t="shared" ca="1" si="463"/>
        <v>0</v>
      </c>
    </row>
    <row r="9923" spans="2:4" x14ac:dyDescent="0.25">
      <c r="B9923">
        <f t="shared" ca="1" si="464"/>
        <v>49427.834676577011</v>
      </c>
      <c r="C9923">
        <f t="shared" ca="1" si="462"/>
        <v>0</v>
      </c>
      <c r="D9923">
        <f t="shared" ca="1" si="463"/>
        <v>9427.8346765770111</v>
      </c>
    </row>
    <row r="9924" spans="2:4" x14ac:dyDescent="0.25">
      <c r="B9924">
        <f t="shared" ca="1" si="464"/>
        <v>49610.30049891743</v>
      </c>
      <c r="C9924">
        <f t="shared" ca="1" si="462"/>
        <v>0</v>
      </c>
      <c r="D9924">
        <f t="shared" ca="1" si="463"/>
        <v>9610.3004989174296</v>
      </c>
    </row>
    <row r="9925" spans="2:4" x14ac:dyDescent="0.25">
      <c r="B9925">
        <f t="shared" ca="1" si="464"/>
        <v>43382.433584730701</v>
      </c>
      <c r="C9925">
        <f t="shared" ca="1" si="462"/>
        <v>0</v>
      </c>
      <c r="D9925">
        <f t="shared" ca="1" si="463"/>
        <v>3382.4335847307011</v>
      </c>
    </row>
    <row r="9926" spans="2:4" x14ac:dyDescent="0.25">
      <c r="B9926">
        <f t="shared" ca="1" si="464"/>
        <v>47646.472808700673</v>
      </c>
      <c r="C9926">
        <f t="shared" ca="1" si="462"/>
        <v>0</v>
      </c>
      <c r="D9926">
        <f t="shared" ca="1" si="463"/>
        <v>7646.4728087006733</v>
      </c>
    </row>
    <row r="9927" spans="2:4" x14ac:dyDescent="0.25">
      <c r="B9927">
        <f t="shared" ca="1" si="464"/>
        <v>47530.845990643531</v>
      </c>
      <c r="C9927">
        <f t="shared" ca="1" si="462"/>
        <v>0</v>
      </c>
      <c r="D9927">
        <f t="shared" ca="1" si="463"/>
        <v>7530.845990643531</v>
      </c>
    </row>
    <row r="9928" spans="2:4" x14ac:dyDescent="0.25">
      <c r="B9928">
        <f t="shared" ca="1" si="464"/>
        <v>42260.35216890381</v>
      </c>
      <c r="C9928">
        <f t="shared" ca="1" si="462"/>
        <v>0</v>
      </c>
      <c r="D9928">
        <f t="shared" ca="1" si="463"/>
        <v>2260.3521689038098</v>
      </c>
    </row>
    <row r="9929" spans="2:4" x14ac:dyDescent="0.25">
      <c r="B9929">
        <f t="shared" ca="1" si="464"/>
        <v>42407.793405696728</v>
      </c>
      <c r="C9929">
        <f t="shared" ca="1" si="462"/>
        <v>0</v>
      </c>
      <c r="D9929">
        <f t="shared" ca="1" si="463"/>
        <v>2407.7934056967279</v>
      </c>
    </row>
    <row r="9930" spans="2:4" x14ac:dyDescent="0.25">
      <c r="B9930">
        <f t="shared" ca="1" si="464"/>
        <v>41568.692664505143</v>
      </c>
      <c r="C9930">
        <f t="shared" ca="1" si="462"/>
        <v>0</v>
      </c>
      <c r="D9930">
        <f t="shared" ca="1" si="463"/>
        <v>1568.6926645051426</v>
      </c>
    </row>
    <row r="9931" spans="2:4" x14ac:dyDescent="0.25">
      <c r="B9931">
        <f t="shared" ca="1" si="464"/>
        <v>48289.249208316163</v>
      </c>
      <c r="C9931">
        <f t="shared" ca="1" si="462"/>
        <v>0</v>
      </c>
      <c r="D9931">
        <f t="shared" ca="1" si="463"/>
        <v>8289.2492083161633</v>
      </c>
    </row>
    <row r="9932" spans="2:4" x14ac:dyDescent="0.25">
      <c r="B9932">
        <f t="shared" ca="1" si="464"/>
        <v>44403.92991274441</v>
      </c>
      <c r="C9932">
        <f t="shared" ref="C9932:C9995" ca="1" si="465">IF(MAX($B$2-B9932)&lt;0,0,$B$2-B9932)</f>
        <v>0</v>
      </c>
      <c r="D9932">
        <f t="shared" ref="D9932:D9995" ca="1" si="466">IF(MAX(B9932-$B$2)&lt;0,0,B9932-$B$2)</f>
        <v>4403.9299127444101</v>
      </c>
    </row>
    <row r="9933" spans="2:4" x14ac:dyDescent="0.25">
      <c r="B9933">
        <f t="shared" ref="B9933:B9996" ca="1" si="467">$B$1*EXP((($B$4-($B$3^2)/2)*$B$5+$B$3*SQRT($B$5)*NORMSINV(RAND())))</f>
        <v>40695.914082170537</v>
      </c>
      <c r="C9933">
        <f t="shared" ca="1" si="465"/>
        <v>0</v>
      </c>
      <c r="D9933">
        <f t="shared" ca="1" si="466"/>
        <v>695.91408217053686</v>
      </c>
    </row>
    <row r="9934" spans="2:4" x14ac:dyDescent="0.25">
      <c r="B9934">
        <f t="shared" ca="1" si="467"/>
        <v>54758.672893328847</v>
      </c>
      <c r="C9934">
        <f t="shared" ca="1" si="465"/>
        <v>0</v>
      </c>
      <c r="D9934">
        <f t="shared" ca="1" si="466"/>
        <v>14758.672893328847</v>
      </c>
    </row>
    <row r="9935" spans="2:4" x14ac:dyDescent="0.25">
      <c r="B9935">
        <f t="shared" ca="1" si="467"/>
        <v>40829.989659286555</v>
      </c>
      <c r="C9935">
        <f t="shared" ca="1" si="465"/>
        <v>0</v>
      </c>
      <c r="D9935">
        <f t="shared" ca="1" si="466"/>
        <v>829.98965928655525</v>
      </c>
    </row>
    <row r="9936" spans="2:4" x14ac:dyDescent="0.25">
      <c r="B9936">
        <f t="shared" ca="1" si="467"/>
        <v>49369.739641230524</v>
      </c>
      <c r="C9936">
        <f t="shared" ca="1" si="465"/>
        <v>0</v>
      </c>
      <c r="D9936">
        <f t="shared" ca="1" si="466"/>
        <v>9369.7396412305243</v>
      </c>
    </row>
    <row r="9937" spans="2:4" x14ac:dyDescent="0.25">
      <c r="B9937">
        <f t="shared" ca="1" si="467"/>
        <v>46356.041342711913</v>
      </c>
      <c r="C9937">
        <f t="shared" ca="1" si="465"/>
        <v>0</v>
      </c>
      <c r="D9937">
        <f t="shared" ca="1" si="466"/>
        <v>6356.0413427119129</v>
      </c>
    </row>
    <row r="9938" spans="2:4" x14ac:dyDescent="0.25">
      <c r="B9938">
        <f t="shared" ca="1" si="467"/>
        <v>40114.359349590995</v>
      </c>
      <c r="C9938">
        <f t="shared" ca="1" si="465"/>
        <v>0</v>
      </c>
      <c r="D9938">
        <f t="shared" ca="1" si="466"/>
        <v>114.35934959099541</v>
      </c>
    </row>
    <row r="9939" spans="2:4" x14ac:dyDescent="0.25">
      <c r="B9939">
        <f t="shared" ca="1" si="467"/>
        <v>39787.057958241312</v>
      </c>
      <c r="C9939">
        <f t="shared" ca="1" si="465"/>
        <v>212.94204175868799</v>
      </c>
      <c r="D9939">
        <f t="shared" ca="1" si="466"/>
        <v>0</v>
      </c>
    </row>
    <row r="9940" spans="2:4" x14ac:dyDescent="0.25">
      <c r="B9940">
        <f t="shared" ca="1" si="467"/>
        <v>47117.754780826152</v>
      </c>
      <c r="C9940">
        <f t="shared" ca="1" si="465"/>
        <v>0</v>
      </c>
      <c r="D9940">
        <f t="shared" ca="1" si="466"/>
        <v>7117.7547808261515</v>
      </c>
    </row>
    <row r="9941" spans="2:4" x14ac:dyDescent="0.25">
      <c r="B9941">
        <f t="shared" ca="1" si="467"/>
        <v>36443.11845941194</v>
      </c>
      <c r="C9941">
        <f t="shared" ca="1" si="465"/>
        <v>3556.8815405880596</v>
      </c>
      <c r="D9941">
        <f t="shared" ca="1" si="466"/>
        <v>0</v>
      </c>
    </row>
    <row r="9942" spans="2:4" x14ac:dyDescent="0.25">
      <c r="B9942">
        <f t="shared" ca="1" si="467"/>
        <v>45573.88323764527</v>
      </c>
      <c r="C9942">
        <f t="shared" ca="1" si="465"/>
        <v>0</v>
      </c>
      <c r="D9942">
        <f t="shared" ca="1" si="466"/>
        <v>5573.8832376452701</v>
      </c>
    </row>
    <row r="9943" spans="2:4" x14ac:dyDescent="0.25">
      <c r="B9943">
        <f t="shared" ca="1" si="467"/>
        <v>47401.413347686881</v>
      </c>
      <c r="C9943">
        <f t="shared" ca="1" si="465"/>
        <v>0</v>
      </c>
      <c r="D9943">
        <f t="shared" ca="1" si="466"/>
        <v>7401.413347686881</v>
      </c>
    </row>
    <row r="9944" spans="2:4" x14ac:dyDescent="0.25">
      <c r="B9944">
        <f t="shared" ca="1" si="467"/>
        <v>43123.781474194308</v>
      </c>
      <c r="C9944">
        <f t="shared" ca="1" si="465"/>
        <v>0</v>
      </c>
      <c r="D9944">
        <f t="shared" ca="1" si="466"/>
        <v>3123.7814741943075</v>
      </c>
    </row>
    <row r="9945" spans="2:4" x14ac:dyDescent="0.25">
      <c r="B9945">
        <f t="shared" ca="1" si="467"/>
        <v>40054.476668935094</v>
      </c>
      <c r="C9945">
        <f t="shared" ca="1" si="465"/>
        <v>0</v>
      </c>
      <c r="D9945">
        <f t="shared" ca="1" si="466"/>
        <v>54.476668935094494</v>
      </c>
    </row>
    <row r="9946" spans="2:4" x14ac:dyDescent="0.25">
      <c r="B9946">
        <f t="shared" ca="1" si="467"/>
        <v>53276.794171354522</v>
      </c>
      <c r="C9946">
        <f t="shared" ca="1" si="465"/>
        <v>0</v>
      </c>
      <c r="D9946">
        <f t="shared" ca="1" si="466"/>
        <v>13276.794171354522</v>
      </c>
    </row>
    <row r="9947" spans="2:4" x14ac:dyDescent="0.25">
      <c r="B9947">
        <f t="shared" ca="1" si="467"/>
        <v>46938.204644586709</v>
      </c>
      <c r="C9947">
        <f t="shared" ca="1" si="465"/>
        <v>0</v>
      </c>
      <c r="D9947">
        <f t="shared" ca="1" si="466"/>
        <v>6938.204644586709</v>
      </c>
    </row>
    <row r="9948" spans="2:4" x14ac:dyDescent="0.25">
      <c r="B9948">
        <f t="shared" ca="1" si="467"/>
        <v>44174.538286696123</v>
      </c>
      <c r="C9948">
        <f t="shared" ca="1" si="465"/>
        <v>0</v>
      </c>
      <c r="D9948">
        <f t="shared" ca="1" si="466"/>
        <v>4174.5382866961227</v>
      </c>
    </row>
    <row r="9949" spans="2:4" x14ac:dyDescent="0.25">
      <c r="B9949">
        <f t="shared" ca="1" si="467"/>
        <v>42430.076201123848</v>
      </c>
      <c r="C9949">
        <f t="shared" ca="1" si="465"/>
        <v>0</v>
      </c>
      <c r="D9949">
        <f t="shared" ca="1" si="466"/>
        <v>2430.0762011238476</v>
      </c>
    </row>
    <row r="9950" spans="2:4" x14ac:dyDescent="0.25">
      <c r="B9950">
        <f t="shared" ca="1" si="467"/>
        <v>44570.987007304233</v>
      </c>
      <c r="C9950">
        <f t="shared" ca="1" si="465"/>
        <v>0</v>
      </c>
      <c r="D9950">
        <f t="shared" ca="1" si="466"/>
        <v>4570.987007304233</v>
      </c>
    </row>
    <row r="9951" spans="2:4" x14ac:dyDescent="0.25">
      <c r="B9951">
        <f t="shared" ca="1" si="467"/>
        <v>39963.563961731277</v>
      </c>
      <c r="C9951">
        <f t="shared" ca="1" si="465"/>
        <v>36.436038268722768</v>
      </c>
      <c r="D9951">
        <f t="shared" ca="1" si="466"/>
        <v>0</v>
      </c>
    </row>
    <row r="9952" spans="2:4" x14ac:dyDescent="0.25">
      <c r="B9952">
        <f t="shared" ca="1" si="467"/>
        <v>42717.847689475806</v>
      </c>
      <c r="C9952">
        <f t="shared" ca="1" si="465"/>
        <v>0</v>
      </c>
      <c r="D9952">
        <f t="shared" ca="1" si="466"/>
        <v>2717.847689475806</v>
      </c>
    </row>
    <row r="9953" spans="2:4" x14ac:dyDescent="0.25">
      <c r="B9953">
        <f t="shared" ca="1" si="467"/>
        <v>43629.985396080774</v>
      </c>
      <c r="C9953">
        <f t="shared" ca="1" si="465"/>
        <v>0</v>
      </c>
      <c r="D9953">
        <f t="shared" ca="1" si="466"/>
        <v>3629.9853960807741</v>
      </c>
    </row>
    <row r="9954" spans="2:4" x14ac:dyDescent="0.25">
      <c r="B9954">
        <f t="shared" ca="1" si="467"/>
        <v>43631.556020435804</v>
      </c>
      <c r="C9954">
        <f t="shared" ca="1" si="465"/>
        <v>0</v>
      </c>
      <c r="D9954">
        <f t="shared" ca="1" si="466"/>
        <v>3631.5560204358044</v>
      </c>
    </row>
    <row r="9955" spans="2:4" x14ac:dyDescent="0.25">
      <c r="B9955">
        <f t="shared" ca="1" si="467"/>
        <v>54463.204525572502</v>
      </c>
      <c r="C9955">
        <f t="shared" ca="1" si="465"/>
        <v>0</v>
      </c>
      <c r="D9955">
        <f t="shared" ca="1" si="466"/>
        <v>14463.204525572502</v>
      </c>
    </row>
    <row r="9956" spans="2:4" x14ac:dyDescent="0.25">
      <c r="B9956">
        <f t="shared" ca="1" si="467"/>
        <v>40962.814810058742</v>
      </c>
      <c r="C9956">
        <f t="shared" ca="1" si="465"/>
        <v>0</v>
      </c>
      <c r="D9956">
        <f t="shared" ca="1" si="466"/>
        <v>962.8148100587423</v>
      </c>
    </row>
    <row r="9957" spans="2:4" x14ac:dyDescent="0.25">
      <c r="B9957">
        <f t="shared" ca="1" si="467"/>
        <v>48115.132291840273</v>
      </c>
      <c r="C9957">
        <f t="shared" ca="1" si="465"/>
        <v>0</v>
      </c>
      <c r="D9957">
        <f t="shared" ca="1" si="466"/>
        <v>8115.132291840273</v>
      </c>
    </row>
    <row r="9958" spans="2:4" x14ac:dyDescent="0.25">
      <c r="B9958">
        <f t="shared" ca="1" si="467"/>
        <v>52197.116435863223</v>
      </c>
      <c r="C9958">
        <f t="shared" ca="1" si="465"/>
        <v>0</v>
      </c>
      <c r="D9958">
        <f t="shared" ca="1" si="466"/>
        <v>12197.116435863223</v>
      </c>
    </row>
    <row r="9959" spans="2:4" x14ac:dyDescent="0.25">
      <c r="B9959">
        <f t="shared" ca="1" si="467"/>
        <v>45099.895177979859</v>
      </c>
      <c r="C9959">
        <f t="shared" ca="1" si="465"/>
        <v>0</v>
      </c>
      <c r="D9959">
        <f t="shared" ca="1" si="466"/>
        <v>5099.895177979859</v>
      </c>
    </row>
    <row r="9960" spans="2:4" x14ac:dyDescent="0.25">
      <c r="B9960">
        <f t="shared" ca="1" si="467"/>
        <v>39162.423469604037</v>
      </c>
      <c r="C9960">
        <f t="shared" ca="1" si="465"/>
        <v>837.57653039596335</v>
      </c>
      <c r="D9960">
        <f t="shared" ca="1" si="466"/>
        <v>0</v>
      </c>
    </row>
    <row r="9961" spans="2:4" x14ac:dyDescent="0.25">
      <c r="B9961">
        <f t="shared" ca="1" si="467"/>
        <v>37586.923270048894</v>
      </c>
      <c r="C9961">
        <f t="shared" ca="1" si="465"/>
        <v>2413.0767299511062</v>
      </c>
      <c r="D9961">
        <f t="shared" ca="1" si="466"/>
        <v>0</v>
      </c>
    </row>
    <row r="9962" spans="2:4" x14ac:dyDescent="0.25">
      <c r="B9962">
        <f t="shared" ca="1" si="467"/>
        <v>45340.584418921913</v>
      </c>
      <c r="C9962">
        <f t="shared" ca="1" si="465"/>
        <v>0</v>
      </c>
      <c r="D9962">
        <f t="shared" ca="1" si="466"/>
        <v>5340.5844189219133</v>
      </c>
    </row>
    <row r="9963" spans="2:4" x14ac:dyDescent="0.25">
      <c r="B9963">
        <f t="shared" ca="1" si="467"/>
        <v>46837.560644834113</v>
      </c>
      <c r="C9963">
        <f t="shared" ca="1" si="465"/>
        <v>0</v>
      </c>
      <c r="D9963">
        <f t="shared" ca="1" si="466"/>
        <v>6837.5606448341132</v>
      </c>
    </row>
    <row r="9964" spans="2:4" x14ac:dyDescent="0.25">
      <c r="B9964">
        <f t="shared" ca="1" si="467"/>
        <v>47714.910056920024</v>
      </c>
      <c r="C9964">
        <f t="shared" ca="1" si="465"/>
        <v>0</v>
      </c>
      <c r="D9964">
        <f t="shared" ca="1" si="466"/>
        <v>7714.9100569200236</v>
      </c>
    </row>
    <row r="9965" spans="2:4" x14ac:dyDescent="0.25">
      <c r="B9965">
        <f t="shared" ca="1" si="467"/>
        <v>44768.031455702032</v>
      </c>
      <c r="C9965">
        <f t="shared" ca="1" si="465"/>
        <v>0</v>
      </c>
      <c r="D9965">
        <f t="shared" ca="1" si="466"/>
        <v>4768.031455702032</v>
      </c>
    </row>
    <row r="9966" spans="2:4" x14ac:dyDescent="0.25">
      <c r="B9966">
        <f t="shared" ca="1" si="467"/>
        <v>38021.504651025512</v>
      </c>
      <c r="C9966">
        <f t="shared" ca="1" si="465"/>
        <v>1978.4953489744876</v>
      </c>
      <c r="D9966">
        <f t="shared" ca="1" si="466"/>
        <v>0</v>
      </c>
    </row>
    <row r="9967" spans="2:4" x14ac:dyDescent="0.25">
      <c r="B9967">
        <f t="shared" ca="1" si="467"/>
        <v>44434.008988110087</v>
      </c>
      <c r="C9967">
        <f t="shared" ca="1" si="465"/>
        <v>0</v>
      </c>
      <c r="D9967">
        <f t="shared" ca="1" si="466"/>
        <v>4434.0089881100866</v>
      </c>
    </row>
    <row r="9968" spans="2:4" x14ac:dyDescent="0.25">
      <c r="B9968">
        <f t="shared" ca="1" si="467"/>
        <v>47658.186996792836</v>
      </c>
      <c r="C9968">
        <f t="shared" ca="1" si="465"/>
        <v>0</v>
      </c>
      <c r="D9968">
        <f t="shared" ca="1" si="466"/>
        <v>7658.186996792836</v>
      </c>
    </row>
    <row r="9969" spans="2:4" x14ac:dyDescent="0.25">
      <c r="B9969">
        <f t="shared" ca="1" si="467"/>
        <v>48118.289345848279</v>
      </c>
      <c r="C9969">
        <f t="shared" ca="1" si="465"/>
        <v>0</v>
      </c>
      <c r="D9969">
        <f t="shared" ca="1" si="466"/>
        <v>8118.2893458482795</v>
      </c>
    </row>
    <row r="9970" spans="2:4" x14ac:dyDescent="0.25">
      <c r="B9970">
        <f t="shared" ca="1" si="467"/>
        <v>42961.783899023016</v>
      </c>
      <c r="C9970">
        <f t="shared" ca="1" si="465"/>
        <v>0</v>
      </c>
      <c r="D9970">
        <f t="shared" ca="1" si="466"/>
        <v>2961.7838990230157</v>
      </c>
    </row>
    <row r="9971" spans="2:4" x14ac:dyDescent="0.25">
      <c r="B9971">
        <f t="shared" ca="1" si="467"/>
        <v>43188.444485957145</v>
      </c>
      <c r="C9971">
        <f t="shared" ca="1" si="465"/>
        <v>0</v>
      </c>
      <c r="D9971">
        <f t="shared" ca="1" si="466"/>
        <v>3188.4444859571449</v>
      </c>
    </row>
    <row r="9972" spans="2:4" x14ac:dyDescent="0.25">
      <c r="B9972">
        <f t="shared" ca="1" si="467"/>
        <v>45812.134238723542</v>
      </c>
      <c r="C9972">
        <f t="shared" ca="1" si="465"/>
        <v>0</v>
      </c>
      <c r="D9972">
        <f t="shared" ca="1" si="466"/>
        <v>5812.1342387235418</v>
      </c>
    </row>
    <row r="9973" spans="2:4" x14ac:dyDescent="0.25">
      <c r="B9973">
        <f t="shared" ca="1" si="467"/>
        <v>46714.406313733947</v>
      </c>
      <c r="C9973">
        <f t="shared" ca="1" si="465"/>
        <v>0</v>
      </c>
      <c r="D9973">
        <f t="shared" ca="1" si="466"/>
        <v>6714.4063137339472</v>
      </c>
    </row>
    <row r="9974" spans="2:4" x14ac:dyDescent="0.25">
      <c r="B9974">
        <f t="shared" ca="1" si="467"/>
        <v>54236.509621360688</v>
      </c>
      <c r="C9974">
        <f t="shared" ca="1" si="465"/>
        <v>0</v>
      </c>
      <c r="D9974">
        <f t="shared" ca="1" si="466"/>
        <v>14236.509621360688</v>
      </c>
    </row>
    <row r="9975" spans="2:4" x14ac:dyDescent="0.25">
      <c r="B9975">
        <f t="shared" ca="1" si="467"/>
        <v>44089.318289728319</v>
      </c>
      <c r="C9975">
        <f t="shared" ca="1" si="465"/>
        <v>0</v>
      </c>
      <c r="D9975">
        <f t="shared" ca="1" si="466"/>
        <v>4089.3182897283186</v>
      </c>
    </row>
    <row r="9976" spans="2:4" x14ac:dyDescent="0.25">
      <c r="B9976">
        <f t="shared" ca="1" si="467"/>
        <v>51991.24490337215</v>
      </c>
      <c r="C9976">
        <f t="shared" ca="1" si="465"/>
        <v>0</v>
      </c>
      <c r="D9976">
        <f t="shared" ca="1" si="466"/>
        <v>11991.24490337215</v>
      </c>
    </row>
    <row r="9977" spans="2:4" x14ac:dyDescent="0.25">
      <c r="B9977">
        <f t="shared" ca="1" si="467"/>
        <v>40863.891235491239</v>
      </c>
      <c r="C9977">
        <f t="shared" ca="1" si="465"/>
        <v>0</v>
      </c>
      <c r="D9977">
        <f t="shared" ca="1" si="466"/>
        <v>863.89123549123906</v>
      </c>
    </row>
    <row r="9978" spans="2:4" x14ac:dyDescent="0.25">
      <c r="B9978">
        <f t="shared" ca="1" si="467"/>
        <v>40908.831753414044</v>
      </c>
      <c r="C9978">
        <f t="shared" ca="1" si="465"/>
        <v>0</v>
      </c>
      <c r="D9978">
        <f t="shared" ca="1" si="466"/>
        <v>908.83175341404421</v>
      </c>
    </row>
    <row r="9979" spans="2:4" x14ac:dyDescent="0.25">
      <c r="B9979">
        <f t="shared" ca="1" si="467"/>
        <v>48222.499086695818</v>
      </c>
      <c r="C9979">
        <f t="shared" ca="1" si="465"/>
        <v>0</v>
      </c>
      <c r="D9979">
        <f t="shared" ca="1" si="466"/>
        <v>8222.4990866958178</v>
      </c>
    </row>
    <row r="9980" spans="2:4" x14ac:dyDescent="0.25">
      <c r="B9980">
        <f t="shared" ca="1" si="467"/>
        <v>52961.10768219809</v>
      </c>
      <c r="C9980">
        <f t="shared" ca="1" si="465"/>
        <v>0</v>
      </c>
      <c r="D9980">
        <f t="shared" ca="1" si="466"/>
        <v>12961.10768219809</v>
      </c>
    </row>
    <row r="9981" spans="2:4" x14ac:dyDescent="0.25">
      <c r="B9981">
        <f t="shared" ca="1" si="467"/>
        <v>45570.051260897591</v>
      </c>
      <c r="C9981">
        <f t="shared" ca="1" si="465"/>
        <v>0</v>
      </c>
      <c r="D9981">
        <f t="shared" ca="1" si="466"/>
        <v>5570.0512608975914</v>
      </c>
    </row>
    <row r="9982" spans="2:4" x14ac:dyDescent="0.25">
      <c r="B9982">
        <f t="shared" ca="1" si="467"/>
        <v>40665.424552030527</v>
      </c>
      <c r="C9982">
        <f t="shared" ca="1" si="465"/>
        <v>0</v>
      </c>
      <c r="D9982">
        <f t="shared" ca="1" si="466"/>
        <v>665.42455203052668</v>
      </c>
    </row>
    <row r="9983" spans="2:4" x14ac:dyDescent="0.25">
      <c r="B9983">
        <f t="shared" ca="1" si="467"/>
        <v>40070.240566019689</v>
      </c>
      <c r="C9983">
        <f t="shared" ca="1" si="465"/>
        <v>0</v>
      </c>
      <c r="D9983">
        <f t="shared" ca="1" si="466"/>
        <v>70.24056601968914</v>
      </c>
    </row>
    <row r="9984" spans="2:4" x14ac:dyDescent="0.25">
      <c r="B9984">
        <f t="shared" ca="1" si="467"/>
        <v>41735.0725760446</v>
      </c>
      <c r="C9984">
        <f t="shared" ca="1" si="465"/>
        <v>0</v>
      </c>
      <c r="D9984">
        <f t="shared" ca="1" si="466"/>
        <v>1735.0725760446003</v>
      </c>
    </row>
    <row r="9985" spans="2:4" x14ac:dyDescent="0.25">
      <c r="B9985">
        <f t="shared" ca="1" si="467"/>
        <v>51130.437696914087</v>
      </c>
      <c r="C9985">
        <f t="shared" ca="1" si="465"/>
        <v>0</v>
      </c>
      <c r="D9985">
        <f t="shared" ca="1" si="466"/>
        <v>11130.437696914087</v>
      </c>
    </row>
    <row r="9986" spans="2:4" x14ac:dyDescent="0.25">
      <c r="B9986">
        <f t="shared" ca="1" si="467"/>
        <v>44303.644437279116</v>
      </c>
      <c r="C9986">
        <f t="shared" ca="1" si="465"/>
        <v>0</v>
      </c>
      <c r="D9986">
        <f t="shared" ca="1" si="466"/>
        <v>4303.6444372791157</v>
      </c>
    </row>
    <row r="9987" spans="2:4" x14ac:dyDescent="0.25">
      <c r="B9987">
        <f t="shared" ca="1" si="467"/>
        <v>44130.269775845736</v>
      </c>
      <c r="C9987">
        <f t="shared" ca="1" si="465"/>
        <v>0</v>
      </c>
      <c r="D9987">
        <f t="shared" ca="1" si="466"/>
        <v>4130.2697758457361</v>
      </c>
    </row>
    <row r="9988" spans="2:4" x14ac:dyDescent="0.25">
      <c r="B9988">
        <f t="shared" ca="1" si="467"/>
        <v>45935.655931896436</v>
      </c>
      <c r="C9988">
        <f t="shared" ca="1" si="465"/>
        <v>0</v>
      </c>
      <c r="D9988">
        <f t="shared" ca="1" si="466"/>
        <v>5935.6559318964355</v>
      </c>
    </row>
    <row r="9989" spans="2:4" x14ac:dyDescent="0.25">
      <c r="B9989">
        <f t="shared" ca="1" si="467"/>
        <v>45258.704293054543</v>
      </c>
      <c r="C9989">
        <f t="shared" ca="1" si="465"/>
        <v>0</v>
      </c>
      <c r="D9989">
        <f t="shared" ca="1" si="466"/>
        <v>5258.7042930545431</v>
      </c>
    </row>
    <row r="9990" spans="2:4" x14ac:dyDescent="0.25">
      <c r="B9990">
        <f t="shared" ca="1" si="467"/>
        <v>48265.679292342429</v>
      </c>
      <c r="C9990">
        <f t="shared" ca="1" si="465"/>
        <v>0</v>
      </c>
      <c r="D9990">
        <f t="shared" ca="1" si="466"/>
        <v>8265.6792923424291</v>
      </c>
    </row>
    <row r="9991" spans="2:4" x14ac:dyDescent="0.25">
      <c r="B9991">
        <f t="shared" ca="1" si="467"/>
        <v>45303.293303210543</v>
      </c>
      <c r="C9991">
        <f t="shared" ca="1" si="465"/>
        <v>0</v>
      </c>
      <c r="D9991">
        <f t="shared" ca="1" si="466"/>
        <v>5303.2933032105429</v>
      </c>
    </row>
    <row r="9992" spans="2:4" x14ac:dyDescent="0.25">
      <c r="B9992">
        <f t="shared" ca="1" si="467"/>
        <v>44695.411126477135</v>
      </c>
      <c r="C9992">
        <f t="shared" ca="1" si="465"/>
        <v>0</v>
      </c>
      <c r="D9992">
        <f t="shared" ca="1" si="466"/>
        <v>4695.4111264771345</v>
      </c>
    </row>
    <row r="9993" spans="2:4" x14ac:dyDescent="0.25">
      <c r="B9993">
        <f t="shared" ca="1" si="467"/>
        <v>45883.591571194564</v>
      </c>
      <c r="C9993">
        <f t="shared" ca="1" si="465"/>
        <v>0</v>
      </c>
      <c r="D9993">
        <f t="shared" ca="1" si="466"/>
        <v>5883.5915711945636</v>
      </c>
    </row>
    <row r="9994" spans="2:4" x14ac:dyDescent="0.25">
      <c r="B9994">
        <f t="shared" ca="1" si="467"/>
        <v>47792.32503845833</v>
      </c>
      <c r="C9994">
        <f t="shared" ca="1" si="465"/>
        <v>0</v>
      </c>
      <c r="D9994">
        <f t="shared" ca="1" si="466"/>
        <v>7792.3250384583298</v>
      </c>
    </row>
    <row r="9995" spans="2:4" x14ac:dyDescent="0.25">
      <c r="B9995">
        <f t="shared" ca="1" si="467"/>
        <v>47407.630015885843</v>
      </c>
      <c r="C9995">
        <f t="shared" ca="1" si="465"/>
        <v>0</v>
      </c>
      <c r="D9995">
        <f t="shared" ca="1" si="466"/>
        <v>7407.630015885843</v>
      </c>
    </row>
    <row r="9996" spans="2:4" x14ac:dyDescent="0.25">
      <c r="B9996">
        <f t="shared" ca="1" si="467"/>
        <v>47919.822217949702</v>
      </c>
      <c r="C9996">
        <f t="shared" ref="C9996:C10012" ca="1" si="468">IF(MAX($B$2-B9996)&lt;0,0,$B$2-B9996)</f>
        <v>0</v>
      </c>
      <c r="D9996">
        <f t="shared" ref="D9996:D10012" ca="1" si="469">IF(MAX(B9996-$B$2)&lt;0,0,B9996-$B$2)</f>
        <v>7919.8222179497025</v>
      </c>
    </row>
    <row r="9997" spans="2:4" x14ac:dyDescent="0.25">
      <c r="B9997">
        <f t="shared" ref="B9997:B10012" ca="1" si="470">$B$1*EXP((($B$4-($B$3^2)/2)*$B$5+$B$3*SQRT($B$5)*NORMSINV(RAND())))</f>
        <v>47585.629039166684</v>
      </c>
      <c r="C9997">
        <f t="shared" ca="1" si="468"/>
        <v>0</v>
      </c>
      <c r="D9997">
        <f t="shared" ca="1" si="469"/>
        <v>7585.6290391666844</v>
      </c>
    </row>
    <row r="9998" spans="2:4" x14ac:dyDescent="0.25">
      <c r="B9998">
        <f t="shared" ca="1" si="470"/>
        <v>46417.242891177302</v>
      </c>
      <c r="C9998">
        <f t="shared" ca="1" si="468"/>
        <v>0</v>
      </c>
      <c r="D9998">
        <f t="shared" ca="1" si="469"/>
        <v>6417.2428911773022</v>
      </c>
    </row>
    <row r="9999" spans="2:4" x14ac:dyDescent="0.25">
      <c r="B9999">
        <f t="shared" ca="1" si="470"/>
        <v>41407.807578394197</v>
      </c>
      <c r="C9999">
        <f t="shared" ca="1" si="468"/>
        <v>0</v>
      </c>
      <c r="D9999">
        <f t="shared" ca="1" si="469"/>
        <v>1407.8075783941968</v>
      </c>
    </row>
    <row r="10000" spans="2:4" x14ac:dyDescent="0.25">
      <c r="B10000">
        <f t="shared" ca="1" si="470"/>
        <v>42076.882182621215</v>
      </c>
      <c r="C10000">
        <f t="shared" ca="1" si="468"/>
        <v>0</v>
      </c>
      <c r="D10000">
        <f t="shared" ca="1" si="469"/>
        <v>2076.8821826212152</v>
      </c>
    </row>
    <row r="10001" spans="2:4" x14ac:dyDescent="0.25">
      <c r="B10001">
        <f t="shared" ca="1" si="470"/>
        <v>49582.838378973662</v>
      </c>
      <c r="C10001">
        <f t="shared" ca="1" si="468"/>
        <v>0</v>
      </c>
      <c r="D10001">
        <f t="shared" ca="1" si="469"/>
        <v>9582.8383789736617</v>
      </c>
    </row>
    <row r="10002" spans="2:4" x14ac:dyDescent="0.25">
      <c r="B10002">
        <f t="shared" ca="1" si="470"/>
        <v>51975.653548600407</v>
      </c>
      <c r="C10002">
        <f t="shared" ca="1" si="468"/>
        <v>0</v>
      </c>
      <c r="D10002">
        <f t="shared" ca="1" si="469"/>
        <v>11975.653548600407</v>
      </c>
    </row>
    <row r="10003" spans="2:4" x14ac:dyDescent="0.25">
      <c r="B10003">
        <f t="shared" ca="1" si="470"/>
        <v>51918.248364154599</v>
      </c>
      <c r="C10003">
        <f t="shared" ca="1" si="468"/>
        <v>0</v>
      </c>
      <c r="D10003">
        <f t="shared" ca="1" si="469"/>
        <v>11918.248364154599</v>
      </c>
    </row>
    <row r="10004" spans="2:4" x14ac:dyDescent="0.25">
      <c r="B10004">
        <f t="shared" ca="1" si="470"/>
        <v>47699.054674945888</v>
      </c>
      <c r="C10004">
        <f t="shared" ca="1" si="468"/>
        <v>0</v>
      </c>
      <c r="D10004">
        <f t="shared" ca="1" si="469"/>
        <v>7699.0546749458881</v>
      </c>
    </row>
    <row r="10005" spans="2:4" x14ac:dyDescent="0.25">
      <c r="B10005">
        <f t="shared" ca="1" si="470"/>
        <v>39562.032339992933</v>
      </c>
      <c r="C10005">
        <f t="shared" ca="1" si="468"/>
        <v>437.96766000706702</v>
      </c>
      <c r="D10005">
        <f t="shared" ca="1" si="469"/>
        <v>0</v>
      </c>
    </row>
    <row r="10006" spans="2:4" x14ac:dyDescent="0.25">
      <c r="B10006">
        <f t="shared" ca="1" si="470"/>
        <v>44981.677903650969</v>
      </c>
      <c r="C10006">
        <f t="shared" ca="1" si="468"/>
        <v>0</v>
      </c>
      <c r="D10006">
        <f t="shared" ca="1" si="469"/>
        <v>4981.6779036509688</v>
      </c>
    </row>
    <row r="10007" spans="2:4" x14ac:dyDescent="0.25">
      <c r="B10007">
        <f t="shared" ca="1" si="470"/>
        <v>46879.939731490485</v>
      </c>
      <c r="C10007">
        <f t="shared" ca="1" si="468"/>
        <v>0</v>
      </c>
      <c r="D10007">
        <f t="shared" ca="1" si="469"/>
        <v>6879.9397314904854</v>
      </c>
    </row>
    <row r="10008" spans="2:4" x14ac:dyDescent="0.25">
      <c r="B10008">
        <f t="shared" ca="1" si="470"/>
        <v>44810.472722581304</v>
      </c>
      <c r="C10008">
        <f t="shared" ca="1" si="468"/>
        <v>0</v>
      </c>
      <c r="D10008">
        <f t="shared" ca="1" si="469"/>
        <v>4810.472722581304</v>
      </c>
    </row>
    <row r="10009" spans="2:4" x14ac:dyDescent="0.25">
      <c r="B10009">
        <f t="shared" ca="1" si="470"/>
        <v>51107.116275878107</v>
      </c>
      <c r="C10009">
        <f t="shared" ca="1" si="468"/>
        <v>0</v>
      </c>
      <c r="D10009">
        <f t="shared" ca="1" si="469"/>
        <v>11107.116275878107</v>
      </c>
    </row>
    <row r="10010" spans="2:4" x14ac:dyDescent="0.25">
      <c r="B10010">
        <f t="shared" ca="1" si="470"/>
        <v>48645.282383678699</v>
      </c>
      <c r="C10010">
        <f t="shared" ca="1" si="468"/>
        <v>0</v>
      </c>
      <c r="D10010">
        <f t="shared" ca="1" si="469"/>
        <v>8645.2823836786993</v>
      </c>
    </row>
    <row r="10011" spans="2:4" x14ac:dyDescent="0.25">
      <c r="B10011">
        <f t="shared" ca="1" si="470"/>
        <v>55500.596680229995</v>
      </c>
      <c r="C10011">
        <f t="shared" ca="1" si="468"/>
        <v>0</v>
      </c>
      <c r="D10011">
        <f t="shared" ca="1" si="469"/>
        <v>15500.596680229995</v>
      </c>
    </row>
    <row r="10012" spans="2:4" x14ac:dyDescent="0.25">
      <c r="B10012">
        <f t="shared" ca="1" si="470"/>
        <v>48810.575870726861</v>
      </c>
      <c r="C10012">
        <f t="shared" ca="1" si="468"/>
        <v>0</v>
      </c>
      <c r="D10012">
        <f t="shared" ca="1" si="469"/>
        <v>8810.5758707268615</v>
      </c>
    </row>
  </sheetData>
  <mergeCells count="2">
    <mergeCell ref="D1:E1"/>
    <mergeCell ref="G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Put y call Europeo</vt:lpstr>
      <vt:lpstr>St</vt:lpstr>
      <vt:lpstr>Put </vt:lpstr>
      <vt:lpstr>Call </vt:lpstr>
      <vt:lpstr>Alphas(call)</vt:lpstr>
      <vt:lpstr>Beta(call)</vt:lpstr>
      <vt:lpstr>Alphas(put)</vt:lpstr>
      <vt:lpstr>Betas(put)</vt:lpstr>
      <vt:lpstr>Put Americana</vt:lpstr>
      <vt:lpstr>Call Americano</vt:lpstr>
      <vt:lpstr>B&amp;S y Montecarlo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 Cuevas Pazos</cp:lastModifiedBy>
  <dcterms:created xsi:type="dcterms:W3CDTF">2012-11-28T23:09:39Z</dcterms:created>
  <dcterms:modified xsi:type="dcterms:W3CDTF">2017-09-26T02:03:40Z</dcterms:modified>
</cp:coreProperties>
</file>